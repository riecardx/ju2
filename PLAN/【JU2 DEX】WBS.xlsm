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ftware\"/>
    </mc:Choice>
  </mc:AlternateContent>
  <xr:revisionPtr revIDLastSave="0" documentId="13_ncr:1_{3BCEB3EA-9F20-4AB0-856D-1FD78CE0FE34}" xr6:coauthVersionLast="47" xr6:coauthVersionMax="47" xr10:uidLastSave="{00000000-0000-0000-0000-000000000000}"/>
  <bookViews>
    <workbookView xWindow="-120" yWindow="-120" windowWidth="29040" windowHeight="15840" tabRatio="608" xr2:uid="{00000000-000D-0000-FFFF-FFFF00000000}"/>
  </bookViews>
  <sheets>
    <sheet name="WBS" sheetId="52" r:id="rId1"/>
    <sheet name="予定一覧" sheetId="58" state="hidden" r:id="rId2"/>
    <sheet name="残工数" sheetId="56" state="hidden" r:id="rId3"/>
    <sheet name="R7" sheetId="61" state="hidden" r:id="rId4"/>
  </sheets>
  <functionGroups builtInGroupCount="19"/>
  <definedNames>
    <definedName name="_" localSheetId="0" hidden="1">{"'表紙'!$A$1:$W$39"}</definedName>
    <definedName name="_" hidden="1">{"'表紙'!$A$1:$W$39"}</definedName>
    <definedName name="__" localSheetId="0" hidden="1">{"'表紙'!$A$1:$W$39"}</definedName>
    <definedName name="__" hidden="1">{"'表紙'!$A$1:$W$39"}</definedName>
    <definedName name="____________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123Graph_A" hidden="1">#REF!</definedName>
    <definedName name="__123Graph_A部門別" hidden="1">#REF!</definedName>
    <definedName name="__123Graph_B" hidden="1">#REF!</definedName>
    <definedName name="__123Graph_B部門別" hidden="1">#REF!</definedName>
    <definedName name="__123Graph_C部門別" hidden="1">#REF!</definedName>
    <definedName name="__123Graph_D部門別" hidden="1">#REF!</definedName>
    <definedName name="__123Graph_E部門別" hidden="1">#REF!</definedName>
    <definedName name="__123Graph_X" hidden="1">#REF!</definedName>
    <definedName name="__123Graph_X部門別" hidden="1">#REF!</definedName>
    <definedName name="__IntlFixup" hidden="1">TRUE</definedName>
    <definedName name="_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6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6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7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7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BQ4.1" hidden="1">#REF!</definedName>
    <definedName name="_Dist_Values" hidden="1">#REF!</definedName>
    <definedName name="_Fill" hidden="1">#REF!</definedName>
    <definedName name="_xlnm._FilterDatabase" localSheetId="3" hidden="1">'R7'!$A$3:$FN$3</definedName>
    <definedName name="_xlnm._FilterDatabase" localSheetId="0" hidden="1">WBS!$A$4:$BA$94</definedName>
    <definedName name="_xlnm._FilterDatabase" localSheetId="2" hidden="1">残工数!$A$3:$AV$462</definedName>
    <definedName name="_xlnm._FilterDatabase" localSheetId="1" hidden="1">予定一覧!$A$2:$QS$17</definedName>
    <definedName name="_xlnm._FilterDatabase" hidden="1">#REF!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new" localSheetId="0" hidden="1">#REF!</definedName>
    <definedName name="_new" hidden="1">#REF!</definedName>
    <definedName name="_Order1" hidden="1">255</definedName>
    <definedName name="_Order2" hidden="1">255</definedName>
    <definedName name="_Parse_In" hidden="1">#REF!</definedName>
    <definedName name="_Parse_Out" hidden="1">#REF!</definedName>
    <definedName name="_Regression_X" hidden="1">#N/A</definedName>
    <definedName name="_Sort" hidden="1">#REF!</definedName>
    <definedName name="_Table1_In1" hidden="1">#REF!</definedName>
    <definedName name="_Table1_Out" hidden="1">#REF!</definedName>
    <definedName name="□効果検証" localSheetId="0" hidden="1">{"'1998'!$A$1:$Q$3"}</definedName>
    <definedName name="□効果検証" hidden="1">{"'1998'!$A$1:$Q$3"}</definedName>
    <definedName name="aaa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AAAA" localSheetId="0" hidden="1">#REF!</definedName>
    <definedName name="AAAA" hidden="1">#REF!</definedName>
    <definedName name="aaaaa" localSheetId="0" hidden="1">{"'Sheet1'!$A$3:$I$11"}</definedName>
    <definedName name="aaaaa" hidden="1">{"'Sheet1'!$A$3:$I$11"}</definedName>
    <definedName name="aaf" localSheetId="0" hidden="1">{"'表紙'!$A$1:$W$39"}</definedName>
    <definedName name="aaf" hidden="1">{"'表紙'!$A$1:$W$39"}</definedName>
    <definedName name="ab" hidden="1">#REF!</definedName>
    <definedName name="ac" hidden="1">#REF!</definedName>
    <definedName name="Access_Button" hidden="1">"外証デー他項目管理__テーブル項目説明原紙_List"</definedName>
    <definedName name="AccessDatabase" hidden="1">"C:\WINNT\Profiles\gotanda\ﾃﾞｽｸﾄｯﾌﾟ\自動生成\外証デー他項目管理 .mdb"</definedName>
    <definedName name="adh" localSheetId="0" hidden="1">{"'表紙'!$A$1:$W$39"}</definedName>
    <definedName name="adh" hidden="1">{"'表紙'!$A$1:$W$39"}</definedName>
    <definedName name="ads" hidden="1">#REF!</definedName>
    <definedName name="afiehg" localSheetId="0" hidden="1">{"'表紙'!$A$1:$W$39"}</definedName>
    <definedName name="afiehg" hidden="1">{"'表紙'!$A$1:$W$39"}</definedName>
    <definedName name="afsiehg" localSheetId="0" hidden="1">{"'表紙'!$A$1:$W$39"}</definedName>
    <definedName name="afsiehg" hidden="1">{"'表紙'!$A$1:$W$39"}</definedName>
    <definedName name="agesihg" localSheetId="0" hidden="1">{"'表紙'!$A$1:$W$39"}</definedName>
    <definedName name="agesihg" hidden="1">{"'表紙'!$A$1:$W$39"}</definedName>
    <definedName name="ags" localSheetId="0" hidden="1">{"'表紙'!$A$1:$W$39"}</definedName>
    <definedName name="ags" hidden="1">{"'表紙'!$A$1:$W$39"}</definedName>
    <definedName name="agseihg" localSheetId="0" hidden="1">{"'表紙'!$A$1:$W$39"}</definedName>
    <definedName name="agseihg" hidden="1">{"'表紙'!$A$1:$W$39"}</definedName>
    <definedName name="agsugh" localSheetId="0" hidden="1">{"'表紙'!$A$1:$W$39"}</definedName>
    <definedName name="agsugh" hidden="1">{"'表紙'!$A$1:$W$39"}</definedName>
    <definedName name="ai" localSheetId="0" hidden="1">#REF!</definedName>
    <definedName name="ai" hidden="1">#REF!</definedName>
    <definedName name="ailshegouh" localSheetId="0" hidden="1">{"'表紙'!$A$1:$W$39"}</definedName>
    <definedName name="ailshegouh" hidden="1">{"'表紙'!$A$1:$W$39"}</definedName>
    <definedName name="ajsgieh" localSheetId="0" hidden="1">{"'表紙'!$A$1:$W$39"}</definedName>
    <definedName name="ajsgieh" hidden="1">{"'表紙'!$A$1:$W$39"}</definedName>
    <definedName name="alishg" localSheetId="0" hidden="1">{"'表紙'!$A$1:$W$39"}</definedName>
    <definedName name="alishg" hidden="1">{"'表紙'!$A$1:$W$39"}</definedName>
    <definedName name="alsirhg" localSheetId="0" hidden="1">{"'表紙'!$A$1:$W$39"}</definedName>
    <definedName name="alsirhg" hidden="1">{"'表紙'!$A$1:$W$39"}</definedName>
    <definedName name="asdf" localSheetId="0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asdf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asdfasd" localSheetId="0" hidden="1">{"'表紙'!$A$1:$W$39"}</definedName>
    <definedName name="asdfasd" hidden="1">{"'表紙'!$A$1:$W$39"}</definedName>
    <definedName name="asg" localSheetId="0" hidden="1">{"'表紙'!$A$1:$W$39"}</definedName>
    <definedName name="asg" hidden="1">{"'表紙'!$A$1:$W$39"}</definedName>
    <definedName name="asge" localSheetId="0" hidden="1">{"'表紙'!$A$1:$W$39"}</definedName>
    <definedName name="asge" hidden="1">{"'表紙'!$A$1:$W$39"}</definedName>
    <definedName name="asgg" localSheetId="0" hidden="1">{"'表紙'!$A$1:$W$39"}</definedName>
    <definedName name="asgg" hidden="1">{"'表紙'!$A$1:$W$39"}</definedName>
    <definedName name="ashgaseh" localSheetId="0" hidden="1">{"'表紙'!$A$1:$W$39"}</definedName>
    <definedName name="ashgaseh" hidden="1">{"'表紙'!$A$1:$W$39"}</definedName>
    <definedName name="ashgiue" localSheetId="0" hidden="1">{"'表紙'!$A$1:$W$39"}</definedName>
    <definedName name="ashgiue" hidden="1">{"'表紙'!$A$1:$W$39"}</definedName>
    <definedName name="ASSSSs" localSheetId="0" hidden="1">#REF!</definedName>
    <definedName name="ASSSSs" hidden="1">#REF!</definedName>
    <definedName name="av" localSheetId="0" hidden="1">#REF!</definedName>
    <definedName name="av" hidden="1">#REF!</definedName>
    <definedName name="b" localSheetId="0" hidden="1">{"'表紙'!$A$1:$W$39"}</definedName>
    <definedName name="b" hidden="1">{"'表紙'!$A$1:$W$39"}</definedName>
    <definedName name="bbb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bbb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bbbb" localSheetId="0" hidden="1">{"'Sheet1'!$A$3:$I$11"}</definedName>
    <definedName name="bbbb" hidden="1">{"'Sheet1'!$A$3:$I$11"}</definedName>
    <definedName name="bbbbb" hidden="1">#REF!</definedName>
    <definedName name="ccccc" localSheetId="0" hidden="1">{"'Sheet1'!$A$3:$I$11"}</definedName>
    <definedName name="ccccc" hidden="1">{"'Sheet1'!$A$3:$I$11"}</definedName>
    <definedName name="d" localSheetId="3">#REF!</definedName>
    <definedName name="ｄ" localSheetId="0" hidden="1">{"'1998'!$A$1:$Q$3"}</definedName>
    <definedName name="ｄ" hidden="1">{"'1998'!$A$1:$Q$3"}</definedName>
    <definedName name="DD" hidden="1">#REF!</definedName>
    <definedName name="ｄｇｓがｓｆｇｈｓｄｆ" localSheetId="0" hidden="1">{"'表紙'!$A$1:$W$39"}</definedName>
    <definedName name="ｄｇｓがｓｆｇｈｓｄｆ" hidden="1">{"'表紙'!$A$1:$W$39"}</definedName>
    <definedName name="eee" localSheetId="0" hidden="1">{"'Sheet2 (2)'!$AF$67","'Sheet2 (2)'!$A$1:$Z$82"}</definedName>
    <definedName name="eee" hidden="1">{"'Sheet2 (2)'!$AF$67","'Sheet2 (2)'!$A$1:$Z$82"}</definedName>
    <definedName name="egte" localSheetId="0" hidden="1">{"'表紙'!$A$1:$W$39"}</definedName>
    <definedName name="egte" hidden="1">{"'表紙'!$A$1:$W$39"}</definedName>
    <definedName name="eijgoieg" localSheetId="0" hidden="1">{"'表紙'!$A$1:$W$39"}</definedName>
    <definedName name="eijgoieg" hidden="1">{"'表紙'!$A$1:$W$39"}</definedName>
    <definedName name="ertwet" localSheetId="0" hidden="1">{"'表紙'!$A$1:$W$39"}</definedName>
    <definedName name="ertwet" hidden="1">{"'表紙'!$A$1:$W$39"}</definedName>
    <definedName name="fahsgf" localSheetId="0" hidden="1">{"'表紙'!$A$1:$W$39"}</definedName>
    <definedName name="fahsgf" hidden="1">{"'表紙'!$A$1:$W$39"}</definedName>
    <definedName name="faksuheg" localSheetId="0" hidden="1">{"'表紙'!$A$1:$W$39"}</definedName>
    <definedName name="faksuheg" hidden="1">{"'表紙'!$A$1:$W$39"}</definedName>
    <definedName name="ｆｄｆ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ｆｄｆ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fiehg" localSheetId="0" hidden="1">{"'表紙'!$A$1:$W$39"}</definedName>
    <definedName name="fiehg" hidden="1">{"'表紙'!$A$1:$W$39"}</definedName>
    <definedName name="Fill" hidden="1">#REF!</definedName>
    <definedName name="filsiehg" localSheetId="0" hidden="1">{"'表紙'!$A$1:$W$39"}</definedName>
    <definedName name="filsiehg" hidden="1">{"'表紙'!$A$1:$W$39"}</definedName>
    <definedName name="fseihg" localSheetId="0" hidden="1">{"'表紙'!$A$1:$W$39"}</definedName>
    <definedName name="fseihg" hidden="1">{"'表紙'!$A$1:$W$39"}</definedName>
    <definedName name="g" localSheetId="0" hidden="1">{"'表紙'!$A$1:$W$39"}</definedName>
    <definedName name="g" hidden="1">{"'表紙'!$A$1:$W$39"}</definedName>
    <definedName name="gah" localSheetId="0" hidden="1">{"'表紙'!$A$1:$W$39"}</definedName>
    <definedName name="gah" hidden="1">{"'表紙'!$A$1:$W$39"}</definedName>
    <definedName name="galsiehg" localSheetId="0" hidden="1">{"'表紙'!$A$1:$W$39"}</definedName>
    <definedName name="galsiehg" hidden="1">{"'表紙'!$A$1:$W$39"}</definedName>
    <definedName name="gasegh" localSheetId="0" hidden="1">{"'表紙'!$A$1:$W$39"}</definedName>
    <definedName name="gasegh" hidden="1">{"'表紙'!$A$1:$W$39"}</definedName>
    <definedName name="gasiehg" localSheetId="0" hidden="1">{"'表紙'!$A$1:$W$39"}</definedName>
    <definedName name="gasiehg" hidden="1">{"'表紙'!$A$1:$W$39"}</definedName>
    <definedName name="geh" localSheetId="0" hidden="1">{"'表紙'!$A$1:$W$39"}</definedName>
    <definedName name="geh" hidden="1">{"'表紙'!$A$1:$W$39"}</definedName>
    <definedName name="geihg" localSheetId="0" hidden="1">{"'表紙'!$A$1:$W$39"}</definedName>
    <definedName name="geihg" hidden="1">{"'表紙'!$A$1:$W$39"}</definedName>
    <definedName name="ghaseh" localSheetId="0" hidden="1">{"'表紙'!$A$1:$W$39"}</definedName>
    <definedName name="ghaseh" hidden="1">{"'表紙'!$A$1:$W$39"}</definedName>
    <definedName name="giehag" localSheetId="0" hidden="1">{"'表紙'!$A$1:$W$39"}</definedName>
    <definedName name="giehag" hidden="1">{"'表紙'!$A$1:$W$39"}</definedName>
    <definedName name="gsuerhg" localSheetId="0" hidden="1">{"'表紙'!$A$1:$W$39"}</definedName>
    <definedName name="gsuerhg" hidden="1">{"'表紙'!$A$1:$W$39"}</definedName>
    <definedName name="ＧＷメッセージ一覧" localSheetId="0" hidden="1">#REF!</definedName>
    <definedName name="ＧＷメッセージ一覧" hidden="1">#REF!</definedName>
    <definedName name="GWメッセージ一覧２" localSheetId="0" hidden="1">#REF!</definedName>
    <definedName name="GWメッセージ一覧２" hidden="1">#REF!</definedName>
    <definedName name="ＧＷメッセージ一覧３" hidden="1">#REF!</definedName>
    <definedName name="ＧＷメッセージ一覧４" hidden="1">#REF!</definedName>
    <definedName name="hfiushe" localSheetId="0" hidden="1">{"'表紙'!$A$1:$W$39"}</definedName>
    <definedName name="hfiushe" hidden="1">{"'表紙'!$A$1:$W$39"}</definedName>
    <definedName name="hgaseh" localSheetId="0" hidden="1">{"'表紙'!$A$1:$W$39"}</definedName>
    <definedName name="hgaseh" hidden="1">{"'表紙'!$A$1:$W$39"}</definedName>
    <definedName name="HTML_CodePage" hidden="1">932</definedName>
    <definedName name="HTML_Control" localSheetId="0" hidden="1">{"'表紙'!$A$1:$W$39"}</definedName>
    <definedName name="HTML_Control" hidden="1">{"'表紙'!$A$1:$W$39"}</definedName>
    <definedName name="HTML_Control_2" localSheetId="0" hidden="1">{"'Sheet1'!$A$1:$O$49"}</definedName>
    <definedName name="HTML_Control_2" hidden="1">{"'Sheet1'!$A$1:$O$49"}</definedName>
    <definedName name="HTML_Control1" localSheetId="0" hidden="1">{"'Sheet1'!$A$1:$O$49"}</definedName>
    <definedName name="HTML_Control1" hidden="1">{"'Sheet1'!$A$1:$O$49"}</definedName>
    <definedName name="HTML_Control2" localSheetId="0" hidden="1">{"'Sheet1'!$A$3:$I$11"}</definedName>
    <definedName name="HTML_Control2" hidden="1">{"'Sheet1'!$A$3:$I$11"}</definedName>
    <definedName name="HTML_Control3" localSheetId="0" hidden="1">{"'Sheet1'!$A$1:$O$49"}</definedName>
    <definedName name="HTML_Control3" hidden="1">{"'Sheet1'!$A$1:$O$49"}</definedName>
    <definedName name="HTML_Description" hidden="1">""</definedName>
    <definedName name="HTML_Email" hidden="1">""</definedName>
    <definedName name="HTML_Header" hidden="1">"表紙"</definedName>
    <definedName name="HTML_LastUpdate" hidden="1">"99/05/04"</definedName>
    <definedName name="HTML_LineAfter" hidden="1">FALSE</definedName>
    <definedName name="HTML_LineBefore" hidden="1">FALSE</definedName>
    <definedName name="HTML_Name" hidden="1">"Toyo"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"C:\temp\MyHTML.htm"</definedName>
    <definedName name="HTML_PathTemplate" hidden="1">"C:\My Documents\HTMLTemp.htm"</definedName>
    <definedName name="HTML_Title" hidden="1">"見積検討会"</definedName>
    <definedName name="HTML1_1" hidden="1">"[format.xls]サンプル!$A$1:$AC$36"</definedName>
    <definedName name="HTML1_10" hidden="1">""</definedName>
    <definedName name="HTML1_11" hidden="1">1</definedName>
    <definedName name="HTML1_12" hidden="1">"D:\WorkArea\9710\MyHTML.htm"</definedName>
    <definedName name="HTML1_13" hidden="1">#N/A</definedName>
    <definedName name="HTML1_14" hidden="1">#N/A</definedName>
    <definedName name="HTML1_15" hidden="1">#N/A</definedName>
    <definedName name="HTML1_2" hidden="1">1</definedName>
    <definedName name="HTML1_3" hidden="1">"format"</definedName>
    <definedName name="HTML1_4" hidden="1">"サンプル"</definedName>
    <definedName name="HTML1_5" hidden="1">""</definedName>
    <definedName name="HTML1_6" hidden="1">-4146</definedName>
    <definedName name="HTML1_7" hidden="1">-4146</definedName>
    <definedName name="HTML1_8" hidden="1">"97/10/28"</definedName>
    <definedName name="HTML1_9" hidden="1">"Keisui ASAI"</definedName>
    <definedName name="HTML2_1" hidden="1">"'[ＥＤ－ＮＥＴ・ＩＰアドレス一覧.xls]新規・端末一覧'!$B$2:$J$14"</definedName>
    <definedName name="HTML2_10" hidden="1">""</definedName>
    <definedName name="HTML2_11" hidden="1">1</definedName>
    <definedName name="HTML2_12" hidden="1">"J:\ednet\new_ip.htm"</definedName>
    <definedName name="HTML2_2" hidden="1">1</definedName>
    <definedName name="HTML2_3" hidden="1">"ＥＤ－ＮＥＴ・ＩＰアドレス一覧"</definedName>
    <definedName name="HTML2_4" hidden="1">"新規導入・ＩＰアドレス一覧"</definedName>
    <definedName name="HTML2_5" hidden="1">""</definedName>
    <definedName name="HTML2_6" hidden="1">-4146</definedName>
    <definedName name="HTML2_7" hidden="1">-4146</definedName>
    <definedName name="HTML2_8" hidden="1">"98/05/19"</definedName>
    <definedName name="HTML2_9" hidden="1">"ネットワーク開発チーム　野沢"</definedName>
    <definedName name="HTML3_1" hidden="1">"'[ＥＤ－ＮＥＴ・ＩＰアドレス一覧.xls]1184'!$A$1:$I$10"</definedName>
    <definedName name="HTML3_10" hidden="1">""</definedName>
    <definedName name="HTML3_11" hidden="1">1</definedName>
    <definedName name="HTML3_12" hidden="1">"J:\ednet\fp1184.html"</definedName>
    <definedName name="HTML3_2" hidden="1">1</definedName>
    <definedName name="HTML3_3" hidden="1">"＃春日部（１１８４）端末一覧"</definedName>
    <definedName name="HTML3_4" hidden="1">"＃春日部（１１８４）端末一覧"</definedName>
    <definedName name="HTML3_5" hidden="1">"＃東村山集線１ 配下（＃ＦＥＰ１）"</definedName>
    <definedName name="HTML3_6" hidden="1">1</definedName>
    <definedName name="HTML3_7" hidden="1">1</definedName>
    <definedName name="HTML3_8" hidden="1">"98/05/26"</definedName>
    <definedName name="HTML3_9" hidden="1">"ネットワーク開発チーム"</definedName>
    <definedName name="HTML4_1" hidden="1">"'[ＥＤ－ＮＥＴ・ＩＰアドレス一覧.xls]1184'!$A$2:$I$10"</definedName>
    <definedName name="HTML4_10" hidden="1">""</definedName>
    <definedName name="HTML4_11" hidden="1">1</definedName>
    <definedName name="HTML4_12" hidden="1">"j:\ednet\fp1184.html"</definedName>
    <definedName name="HTML4_2" hidden="1">1</definedName>
    <definedName name="HTML4_3" hidden="1">"＃春日部（１１８４）"</definedName>
    <definedName name="HTML4_4" hidden="1">"＃春日部（１１８４）【ＩＰ＝１０．４．０．１】"</definedName>
    <definedName name="HTML4_5" hidden="1">"切替済（98.03.17）　：　＃東村山集線１ 配下  （＃ＦＥＰ１）　：　【ＲＩＰ大宮】"</definedName>
    <definedName name="HTML4_6" hidden="1">1</definedName>
    <definedName name="HTML4_7" hidden="1">1</definedName>
    <definedName name="HTML4_8" hidden="1">"98/05/26"</definedName>
    <definedName name="HTML4_9" hidden="1">"ネットワーク開発チーム"</definedName>
    <definedName name="HTMLCount" hidden="1">1</definedName>
    <definedName name="Ｉ" hidden="1">#REF!</definedName>
    <definedName name="IBD00110チェック仕様" localSheetId="0" hidden="1">{"'Sheet1'!$A$3:$I$11"}</definedName>
    <definedName name="IBD00110チェック仕様" hidden="1">{"'Sheet1'!$A$3:$I$11"}</definedName>
    <definedName name="IBE09000チェック仕様" localSheetId="0" hidden="1">{"'Sheet1'!$A$3:$I$11"}</definedName>
    <definedName name="IBE09000チェック仕様" hidden="1">{"'Sheet1'!$A$3:$I$11"}</definedName>
    <definedName name="ibm" hidden="1">#REF!</definedName>
    <definedName name="ishg" localSheetId="0" hidden="1">{"'表紙'!$A$1:$W$39"}</definedName>
    <definedName name="ishg" hidden="1">{"'表紙'!$A$1:$W$39"}</definedName>
    <definedName name="ｊ" localSheetId="0" hidden="1">#REF!</definedName>
    <definedName name="ｊ" hidden="1">#REF!</definedName>
    <definedName name="ｋ" localSheetId="0" hidden="1">#REF!</definedName>
    <definedName name="ｋ" hidden="1">#REF!</definedName>
    <definedName name="ko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ko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ｌ" hidden="1">#REF!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ｍ" localSheetId="0" hidden="1">#REF!</definedName>
    <definedName name="ｍ" hidden="1">#REF!</definedName>
    <definedName name="n" localSheetId="0" hidden="1">#REF!</definedName>
    <definedName name="n" hidden="1">#REF!</definedName>
    <definedName name="o" localSheetId="0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o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ｐ" hidden="1">#REF!</definedName>
    <definedName name="_xlnm.Print_Area" localSheetId="3">'R7'!$F$1:$ED$30</definedName>
    <definedName name="_xlnm.Print_Area" localSheetId="0">WBS!$A$1:$AA$94</definedName>
    <definedName name="_xlnm.Print_Titles" localSheetId="3">'R7'!$1:$3</definedName>
    <definedName name="ｑ" localSheetId="0" hidden="1">#REF!</definedName>
    <definedName name="ｑ" hidden="1">#REF!</definedName>
    <definedName name="qqqqq" localSheetId="0" hidden="1">#REF!</definedName>
    <definedName name="qqqqq" hidden="1">#REF!</definedName>
    <definedName name="s" localSheetId="0" hidden="1">#REF!</definedName>
    <definedName name="s" hidden="1">#REF!</definedName>
    <definedName name="SA" hidden="1">#N/A</definedName>
    <definedName name="sada" localSheetId="0" hidden="1">#REF!</definedName>
    <definedName name="sada" hidden="1">#REF!</definedName>
    <definedName name="SAPBEXrevision" hidden="1">3</definedName>
    <definedName name="SAPBEXsysID" hidden="1">"BW1"</definedName>
    <definedName name="SAPBEXwbID" hidden="1">"3SDE71NL9JJB2F6LMYQ0XGE9S"</definedName>
    <definedName name="ｓｄｆｓｄｆｓｄｆｓｄｆ" localSheetId="0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ｓｄｆｓｄｆｓｄｆｓｄｆ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ｓｇ" localSheetId="0" hidden="1">{"'表紙'!$A$1:$W$39"}</definedName>
    <definedName name="ｓｇ" hidden="1">{"'表紙'!$A$1:$W$39"}</definedName>
    <definedName name="ｓｇｓｇｄ" localSheetId="0" hidden="1">{"'表紙'!$A$1:$W$39"}</definedName>
    <definedName name="ｓｇｓｇｄ" hidden="1">{"'表紙'!$A$1:$W$39"}</definedName>
    <definedName name="sidrhg" localSheetId="0" hidden="1">{"'表紙'!$A$1:$W$39"}</definedName>
    <definedName name="sidrhg" hidden="1">{"'表紙'!$A$1:$W$39"}</definedName>
    <definedName name="ｓｓｓ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ｓｓｓ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t" localSheetId="0" hidden="1">#REF!</definedName>
    <definedName name="t" hidden="1">#REF!</definedName>
    <definedName name="test" localSheetId="0" hidden="1">{"'表紙'!$A$1:$W$39"}</definedName>
    <definedName name="test" hidden="1">{"'表紙'!$A$1:$W$39"}</definedName>
    <definedName name="u" localSheetId="0" hidden="1">#REF!</definedName>
    <definedName name="u" hidden="1">#REF!</definedName>
    <definedName name="vertex42_copyright" hidden="1">"© 2006-2018 Vertex42 LLC"</definedName>
    <definedName name="vertex42_id" hidden="1">"gantt-chart_L2.xlsx"</definedName>
    <definedName name="vertex42_title" hidden="1">"Gantt Chart Template"</definedName>
    <definedName name="ｗ" localSheetId="0" hidden="1">{#N/A,#N/A,FALSE,"進捗"}</definedName>
    <definedName name="ｗ" hidden="1">{#N/A,#N/A,FALSE,"進捗"}</definedName>
    <definedName name="wrn.confshet." localSheetId="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HCDN_全印刷." localSheetId="0" hidden="1">{"HCDN_注釈以外",#N/A,FALSE,"10.0対応";"HCDN_注釈",#N/A,FALSE,"10.0対応";"HCDN_注釈以外",#N/A,FALSE,"9.0対応";"HCDN_注釈",#N/A,FALSE,"9.0対応";#N/A,#N/A,FALSE,"ﾏﾆｭｱﾙ一覧";#N/A,#N/A,FALSE,"ﾏﾆｭｱﾙ一覧 (2)"}</definedName>
    <definedName name="wrn.HCDN_全印刷." hidden="1">{"HCDN_注釈以外",#N/A,FALSE,"10.0対応";"HCDN_注釈",#N/A,FALSE,"10.0対応";"HCDN_注釈以外",#N/A,FALSE,"9.0対応";"HCDN_注釈",#N/A,FALSE,"9.0対応";#N/A,#N/A,FALSE,"ﾏﾆｭｱﾙ一覧";#N/A,#N/A,FALSE,"ﾏﾆｭｱﾙ一覧 (2)"}</definedName>
    <definedName name="wrn.Ｍ系全体." localSheetId="0" hidden="1">{"Ｍ系全体",#N/A,FALSE,"業務改造"}</definedName>
    <definedName name="wrn.Ｍ系全体." hidden="1">{"Ｍ系全体",#N/A,FALSE,"業務改造"}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rp1." localSheetId="0" hidden="1">{#N/A,#N/A,FALSE,"進捗"}</definedName>
    <definedName name="wrn.rp1." hidden="1">{#N/A,#N/A,FALSE,"進捗"}</definedName>
    <definedName name="wrn.サーバ別." localSheetId="0" hidden="1">{"サーバ別",#N/A,FALSE,"業務改造"}</definedName>
    <definedName name="wrn.サーバ別." hidden="1">{"サーバ別",#N/A,FALSE,"業務改造"}</definedName>
    <definedName name="wrn.すべて印刷." localSheetId="0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wrn.すべて印刷." hidden="1">{#N/A,#N/A,FALSE,"１）背景";#N/A,#N/A,FALSE,"２）前提事項";#N/A,#N/A,FALSE,"３）優先順位";#N/A,#N/A,FALSE,"４）改善サマリー";#N/A,#N/A,FALSE,"５）懸念-1";#N/A,#N/A,FALSE,"５）懸念-2";#N/A,#N/A,FALSE,"５）懸念-3";#N/A,#N/A,FALSE,"５）懸念-4";#N/A,#N/A,FALSE,"６）組織図";#N/A,#N/A,FALSE,"６）スケジュール"}</definedName>
    <definedName name="wrn.構成ｶﾞｲﾄﾞ_全印刷." localSheetId="0" hidden="1">{"構成ｶﾞｲﾄﾞ_注釈以外",#N/A,FALSE,"10.0対応";"構成ｶﾞｲﾄﾞ_注釈",#N/A,FALSE,"10.0対応";"構成ｶﾞｲﾄﾞ_注釈以外",#N/A,FALSE,"9.0対応";"構成ｶﾞｲﾄﾞ_注釈",#N/A,FALSE,"9.0対応";#N/A,#N/A,FALSE,"マニュアル一覧表について";#N/A,#N/A,FALSE,"ﾏﾆｭｱﾙ一覧";#N/A,#N/A,FALSE,"ﾏﾆｭｱﾙ一覧 (2)";#N/A,#N/A,FALSE,"ﾏﾆｭｱﾙ一覧 (3)"}</definedName>
    <definedName name="wrn.構成ｶﾞｲﾄﾞ_全印刷." hidden="1">{"構成ｶﾞｲﾄﾞ_注釈以外",#N/A,FALSE,"10.0対応";"構成ｶﾞｲﾄﾞ_注釈",#N/A,FALSE,"10.0対応";"構成ｶﾞｲﾄﾞ_注釈以外",#N/A,FALSE,"9.0対応";"構成ｶﾞｲﾄﾞ_注釈",#N/A,FALSE,"9.0対応";#N/A,#N/A,FALSE,"マニュアル一覧表について";#N/A,#N/A,FALSE,"ﾏﾆｭｱﾙ一覧";#N/A,#N/A,FALSE,"ﾏﾆｭｱﾙ一覧 (2)";#N/A,#N/A,FALSE,"ﾏﾆｭｱﾙ一覧 (3)"}</definedName>
    <definedName name="wrn.全体andサーバ別." localSheetId="0" hidden="1">{"Ｍ系全体",#N/A,FALSE,"業務改造";"サーバ別",#N/A,FALSE,"業務改造"}</definedName>
    <definedName name="wrn.全体andサーバ別." hidden="1">{"Ｍ系全体",#N/A,FALSE,"業務改造";"サーバ別",#N/A,FALSE,"業務改造"}</definedName>
    <definedName name="wrn.全体and担当." localSheetId="0" hidden="1">{"Ｍ系全体",#N/A,FALSE,"業務改造";"担当",#N/A,FALSE,"担当"}</definedName>
    <definedName name="wrn.全体and担当." hidden="1">{"Ｍ系全体",#N/A,FALSE,"業務改造";"担当",#N/A,FALSE,"担当"}</definedName>
    <definedName name="wrn.担当." localSheetId="0" hidden="1">{#N/A,#N/A,FALSE,"担当"}</definedName>
    <definedName name="wrn.担当." hidden="1">{#N/A,#N/A,FALSE,"担当"}</definedName>
    <definedName name="WW" localSheetId="0" hidden="1">#REF!</definedName>
    <definedName name="WW" hidden="1">#REF!</definedName>
    <definedName name="wwww" localSheetId="0" hidden="1">{"'表紙'!$A$1:$W$39"}</definedName>
    <definedName name="wwww" hidden="1">{"'表紙'!$A$1:$W$39"}</definedName>
    <definedName name="x" hidden="1">#REF!</definedName>
    <definedName name="ｙ" hidden="1">#REF!</definedName>
    <definedName name="ywery" localSheetId="0" hidden="1">{"'表紙'!$A$1:$W$39"}</definedName>
    <definedName name="ywery" hidden="1">{"'表紙'!$A$1:$W$39"}</definedName>
    <definedName name="ｚ" localSheetId="0" hidden="1">#REF!</definedName>
    <definedName name="ｚ" hidden="1">#REF!</definedName>
    <definedName name="zx" localSheetId="0" hidden="1">{#N/A,#N/A,FALSE,"進捗"}</definedName>
    <definedName name="zx" hidden="1">{#N/A,#N/A,FALSE,"進捗"}</definedName>
    <definedName name="zz" localSheetId="0" hidden="1">{#N/A,#N/A,FALSE,"進捗"}</definedName>
    <definedName name="zz" hidden="1">{#N/A,#N/A,FALSE,"進捗"}</definedName>
    <definedName name="zzz" hidden="1">#REF!</definedName>
    <definedName name="あｓｄ" localSheetId="0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あｓ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ああ" localSheetId="0" hidden="1">{"Ｍ系全体",#N/A,FALSE,"業務改造";"担当",#N/A,FALSE,"担当"}</definedName>
    <definedName name="ああ" hidden="1">{"Ｍ系全体",#N/A,FALSE,"業務改造";"担当",#N/A,FALSE,"担当"}</definedName>
    <definedName name="ああああ" localSheetId="0" hidden="1">{"'Sheet2 (2)'!$AF$67","'Sheet2 (2)'!$A$1:$Z$82"}</definedName>
    <definedName name="ああああ" hidden="1">{"'Sheet2 (2)'!$AF$67","'Sheet2 (2)'!$A$1:$Z$82"}</definedName>
    <definedName name="あああああ" hidden="1">#REF!</definedName>
    <definedName name="あああああああ" localSheetId="0" hidden="1">{"'1998'!$A$1:$Q$3"}</definedName>
    <definedName name="あああああああ" hidden="1">{"'1998'!$A$1:$Q$3"}</definedName>
    <definedName name="あーもー" hidden="1">#REF!</definedName>
    <definedName name="あいあい" localSheetId="0" hidden="1">{"'Sheet2 (2)'!$AF$67","'Sheet2 (2)'!$A$1:$Z$82"}</definedName>
    <definedName name="あいあい" hidden="1">{"'Sheet2 (2)'!$AF$67","'Sheet2 (2)'!$A$1:$Z$82"}</definedName>
    <definedName name="あいおえお" hidden="1">#REF!</definedName>
    <definedName name="あかさたな" localSheetId="0" hidden="1">#REF!</definedName>
    <definedName name="あかさたな" hidden="1">#REF!</definedName>
    <definedName name="あふぁ" localSheetId="0" hidden="1">{"'表紙'!$A$1:$W$39"}</definedName>
    <definedName name="あふぁ" hidden="1">{"'表紙'!$A$1:$W$39"}</definedName>
    <definedName name="いあいあ" localSheetId="0" hidden="1">{"'Sheet2 (2)'!$AF$67","'Sheet2 (2)'!$A$1:$Z$82"}</definedName>
    <definedName name="いあいあ" hidden="1">{"'Sheet2 (2)'!$AF$67","'Sheet2 (2)'!$A$1:$Z$82"}</definedName>
    <definedName name="いいいい" localSheetId="0" hidden="1">{"'Sheet2 (2)'!$AF$67","'Sheet2 (2)'!$A$1:$Z$82"}</definedName>
    <definedName name="いいいい" hidden="1">{"'Sheet2 (2)'!$AF$67","'Sheet2 (2)'!$A$1:$Z$82"}</definedName>
    <definedName name="いいいいい" localSheetId="0" hidden="1">{"'Sheet2 (2)'!$AF$67","'Sheet2 (2)'!$A$1:$Z$82"}</definedName>
    <definedName name="いいいいい" hidden="1">{"'Sheet2 (2)'!$AF$67","'Sheet2 (2)'!$A$1:$Z$82"}</definedName>
    <definedName name="いきしちに" hidden="1">#REF!</definedName>
    <definedName name="う" localSheetId="0" hidden="1">{"'Sheet1'!$A$3:$I$11"}</definedName>
    <definedName name="う" hidden="1">{"'Sheet1'!$A$3:$I$11"}</definedName>
    <definedName name="ううう" localSheetId="0" hidden="1">{"'1998'!$A$1:$Q$3"}</definedName>
    <definedName name="ううう" hidden="1">{"'1998'!$A$1:$Q$3"}</definedName>
    <definedName name="えーかげんに" localSheetId="0" hidden="1">#REF!</definedName>
    <definedName name="えーかげんに" hidden="1">#REF!</definedName>
    <definedName name="かいな" localSheetId="0" hidden="1">#REF!</definedName>
    <definedName name="かいな" hidden="1">#REF!</definedName>
    <definedName name="かな" hidden="1">#REF!</definedName>
    <definedName name="グラフ" localSheetId="0" hidden="1">{"'表紙'!$A$1:$W$39"}</definedName>
    <definedName name="グラフ" hidden="1">{"'表紙'!$A$1:$W$39"}</definedName>
    <definedName name="くれん" hidden="1">#REF!</definedName>
    <definedName name="ケース封入機リカバリ機能" localSheetId="0" hidden="1">{"'表紙'!$A$1:$W$39"}</definedName>
    <definedName name="ケース封入機リカバリ機能" hidden="1">{"'表紙'!$A$1:$W$39"}</definedName>
    <definedName name="けーちゃう" hidden="1">#REF!</definedName>
    <definedName name="コミニュケーション" localSheetId="0" hidden="1">{"'表紙'!$A$1:$W$39"}</definedName>
    <definedName name="コミニュケーション" hidden="1">{"'表紙'!$A$1:$W$39"}</definedName>
    <definedName name="ｺﾐﾆｭｹｰｼｮﾝ計画" localSheetId="0" hidden="1">{"'表紙'!$A$1:$W$39"}</definedName>
    <definedName name="ｺﾐﾆｭｹｰｼｮﾝ計画" hidden="1">{"'表紙'!$A$1:$W$39"}</definedName>
    <definedName name="こみゅ" localSheetId="0" hidden="1">{"'表紙'!$A$1:$W$39"}</definedName>
    <definedName name="こみゅ" hidden="1">{"'表紙'!$A$1:$W$39"}</definedName>
    <definedName name="ささ" localSheetId="0" hidden="1">{"'Sheet1'!$A$3:$I$11"}</definedName>
    <definedName name="ささ" hidden="1">{"'Sheet1'!$A$3:$I$11"}</definedName>
    <definedName name="サンプル" hidden="1">#REF!</definedName>
    <definedName name="システムテスト計画書表紙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システムテスト計画書表紙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システム品質③" localSheetId="0" hidden="1">{"'OT-障害発生・対応件数表'!$E$27"}</definedName>
    <definedName name="システム品質③" hidden="1">{"'OT-障害発生・対応件数表'!$E$27"}</definedName>
    <definedName name="スケジュール" localSheetId="0" hidden="1">{"'表紙'!$A$1:$W$39"}</definedName>
    <definedName name="スケジュール" hidden="1">{"'表紙'!$A$1:$W$39"}</definedName>
    <definedName name="スケジュール２" localSheetId="0" hidden="1">{"'表紙'!$A$1:$W$39"}</definedName>
    <definedName name="スケジュール２" hidden="1">{"'表紙'!$A$1:$W$39"}</definedName>
    <definedName name="せんかい" hidden="1">#REF!</definedName>
    <definedName name="そろそろ" hidden="1">#REF!</definedName>
    <definedName name="たいうおう" localSheetId="0" hidden="1">{"'表紙'!$A$1:$W$39"}</definedName>
    <definedName name="たいうおう" hidden="1">{"'表紙'!$A$1:$W$39"}</definedName>
    <definedName name="タスクドキュメント１" hidden="1">#N/A</definedName>
    <definedName name="ちがうでしょ" localSheetId="0" hidden="1">#REF!</definedName>
    <definedName name="ちがうでしょ" hidden="1">#REF!</definedName>
    <definedName name="っちゅーねん" localSheetId="0" hidden="1">#REF!</definedName>
    <definedName name="っちゅーねん" hidden="1">#REF!</definedName>
    <definedName name="っっj" localSheetId="0" hidden="1">{"'表紙'!$A$1:$W$39"}</definedName>
    <definedName name="っっj" hidden="1">{"'表紙'!$A$1:$W$39"}</definedName>
    <definedName name="っっっＫ" localSheetId="0" hidden="1">{"'Sheet2 (2)'!$AF$67","'Sheet2 (2)'!$A$1:$Z$82"}</definedName>
    <definedName name="っっっＫ" hidden="1">{"'Sheet2 (2)'!$AF$67","'Sheet2 (2)'!$A$1:$Z$82"}</definedName>
    <definedName name="っっっっっっｄ" localSheetId="0" hidden="1">{"'Sheet1'!$A$1:$I$153"}</definedName>
    <definedName name="っっっっっっｄ" hidden="1">{"'Sheet1'!$A$1:$I$153"}</definedName>
    <definedName name="てう３" localSheetId="0" hidden="1">{"'表紙'!$A$1:$W$39"}</definedName>
    <definedName name="てう３" hidden="1">{"'表紙'!$A$1:$W$39"}</definedName>
    <definedName name="テスト" hidden="1">#REF!</definedName>
    <definedName name="テスト５" localSheetId="0" hidden="1">{"'Sheet1'!$A$1:$I$153"}</definedName>
    <definedName name="テスト５" hidden="1">{"'Sheet1'!$A$1:$I$153"}</definedName>
    <definedName name="てつ" localSheetId="0" hidden="1">{"'表紙'!$A$1:$W$39"}</definedName>
    <definedName name="てつ" hidden="1">{"'表紙'!$A$1:$W$39"}</definedName>
    <definedName name="てつ２" localSheetId="0" hidden="1">{"'表紙'!$A$1:$W$39"}</definedName>
    <definedName name="てつ２" hidden="1">{"'表紙'!$A$1:$W$39"}</definedName>
    <definedName name="てててて" localSheetId="0" hidden="1">{"'Sheet1'!$A$1:$I$153"}</definedName>
    <definedName name="てててて" hidden="1">{"'Sheet1'!$A$1:$I$153"}</definedName>
    <definedName name="てら" localSheetId="0" hidden="1">{"'表紙'!$A$1:$W$39"}</definedName>
    <definedName name="てら" hidden="1">{"'表紙'!$A$1:$W$39"}</definedName>
    <definedName name="どこまで" hidden="1">#REF!</definedName>
    <definedName name="とととと" localSheetId="0" hidden="1">{"'Sheet1'!$A$1:$I$153"}</definedName>
    <definedName name="とととと" hidden="1">{"'Sheet1'!$A$1:$I$153"}</definedName>
    <definedName name="なんで" hidden="1">#REF!</definedName>
    <definedName name="ね表紙" hidden="1">#REF!</definedName>
    <definedName name="プレーヤー区分" hidden="1">#REF!</definedName>
    <definedName name="ベリファイ２" localSheetId="0" hidden="1">{"'表紙'!$A$1:$W$39"}</definedName>
    <definedName name="ベリファイ２" hidden="1">{"'表紙'!$A$1:$W$39"}</definedName>
    <definedName name="ベリファイ機能" localSheetId="0" hidden="1">{"'表紙'!$A$1:$W$39"}</definedName>
    <definedName name="ベリファイ機能" hidden="1">{"'表紙'!$A$1:$W$39"}</definedName>
    <definedName name="マスタ" localSheetId="0" hidden="1">{"'表紙'!$A$1:$W$39"}</definedName>
    <definedName name="マスタ" hidden="1">{"'表紙'!$A$1:$W$39"}</definedName>
    <definedName name="まだ" hidden="1">#REF!</definedName>
    <definedName name="やねんな" localSheetId="0" hidden="1">#REF!</definedName>
    <definedName name="やねんな" hidden="1">#REF!</definedName>
    <definedName name="やるん" localSheetId="0" hidden="1">#REF!</definedName>
    <definedName name="やるん" hidden="1">#REF!</definedName>
    <definedName name="やろが" hidden="1">#REF!</definedName>
    <definedName name="んんんん" localSheetId="0" hidden="1">{"'Sheet1'!$A$1:$I$153"}</definedName>
    <definedName name="んんんん" hidden="1">{"'Sheet1'!$A$1:$I$153"}</definedName>
    <definedName name="安藤" hidden="1">#REF!</definedName>
    <definedName name="安藤？" hidden="1">#REF!</definedName>
    <definedName name="一括先" hidden="1">#REF!</definedName>
    <definedName name="一括先用" hidden="1">#REF!</definedName>
    <definedName name="仮単価発注" localSheetId="0" hidden="1">{"'Sheet1'!$A$3:$I$11"}</definedName>
    <definedName name="仮単価発注" hidden="1">{"'Sheet1'!$A$3:$I$11"}</definedName>
    <definedName name="画面キャプチャ_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画面キャプチャ_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改革" localSheetId="0" hidden="1">{"'表紙'!$A$1:$W$39"}</definedName>
    <definedName name="改革" hidden="1">{"'表紙'!$A$1:$W$39"}</definedName>
    <definedName name="関連表" hidden="1">#N/A</definedName>
    <definedName name="関連表ｘ" localSheetId="0" hidden="1">#REF!</definedName>
    <definedName name="関連表ｘ" hidden="1">#REF!</definedName>
    <definedName name="計画" localSheetId="0" hidden="1">{"'表紙'!$A$1:$W$39"}</definedName>
    <definedName name="計画" hidden="1">{"'表紙'!$A$1:$W$39"}</definedName>
    <definedName name="最小単位" localSheetId="3">'R7'!$T$1</definedName>
    <definedName name="参考出力イメージ" hidden="1">#REF!</definedName>
    <definedName name="資料２" localSheetId="0" hidden="1">{"'Sheet2 (2)'!$AF$67","'Sheet2 (2)'!$A$1:$Z$82"}</definedName>
    <definedName name="資料２" hidden="1">{"'Sheet2 (2)'!$AF$67","'Sheet2 (2)'!$A$1:$Z$82"}</definedName>
    <definedName name="終わって" hidden="1">#REF!</definedName>
    <definedName name="住所区分" localSheetId="0" hidden="1">#REF!</definedName>
    <definedName name="住所区分" hidden="1">#REF!</definedName>
    <definedName name="処理サイクル" localSheetId="0" hidden="1">{"'Sheet1'!$A$1:$I$153"}</definedName>
    <definedName name="処理サイクル" hidden="1">{"'Sheet1'!$A$1:$I$153"}</definedName>
    <definedName name="成果物一覧２" localSheetId="0" hidden="1">#REF!</definedName>
    <definedName name="成果物一覧２" hidden="1">#REF!</definedName>
    <definedName name="請求入金業務" localSheetId="0" hidden="1">{"'Sheet1'!$A$1:$O$49"}</definedName>
    <definedName name="請求入金業務" hidden="1">{"'Sheet1'!$A$1:$O$49"}</definedName>
    <definedName name="責任体制" localSheetId="0" hidden="1">{"'表紙'!$A$1:$W$39"}</definedName>
    <definedName name="責任体制" hidden="1">{"'表紙'!$A$1:$W$39"}</definedName>
    <definedName name="全体" localSheetId="0" hidden="1">{"'表紙'!$A$1:$W$39"}</definedName>
    <definedName name="全体" hidden="1">{"'表紙'!$A$1:$W$39"}</definedName>
    <definedName name="束原" hidden="1">#REF!</definedName>
    <definedName name="体制" localSheetId="0" hidden="1">{"'表紙'!$A$1:$W$39"}</definedName>
    <definedName name="体制" hidden="1">{"'表紙'!$A$1:$W$39"}</definedName>
    <definedName name="体制図04.01.22" localSheetId="0" hidden="1">{"'Sheet2 (2)'!$AF$67","'Sheet2 (2)'!$A$1:$Z$82"}</definedName>
    <definedName name="体制図04.01.22" hidden="1">{"'Sheet2 (2)'!$AF$67","'Sheet2 (2)'!$A$1:$Z$82"}</definedName>
    <definedName name="誰や" localSheetId="0" hidden="1">#REF!</definedName>
    <definedName name="誰や" hidden="1">#REF!</definedName>
    <definedName name="表紙" hidden="1">#REF!</definedName>
    <definedName name="表紙１" hidden="1">#REF!</definedName>
    <definedName name="表紙新" localSheetId="0" hidden="1">{"'1998'!$A$1:$Q$3"}</definedName>
    <definedName name="表紙新" hidden="1">{"'1998'!$A$1:$Q$3"}</definedName>
    <definedName name="品質" localSheetId="0" hidden="1">{"'表紙'!$A$1:$W$39"}</definedName>
    <definedName name="品質" hidden="1">{"'表紙'!$A$1:$W$39"}</definedName>
    <definedName name="返戻種類追加" localSheetId="0" hidden="1">{"'Sheet1'!$A$1:$I$153"}</definedName>
    <definedName name="返戻種類追加" hidden="1">{"'Sheet1'!$A$1:$I$153"}</definedName>
    <definedName name="目次２" hidden="1">#REF!</definedName>
    <definedName name="目次ｘ" hidden="1">#REF!</definedName>
    <definedName name="流用率" localSheetId="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33" i="52" l="1"/>
  <c r="AU33" i="52"/>
  <c r="AA33" i="52"/>
  <c r="Z33" i="52"/>
  <c r="Y33" i="52"/>
  <c r="B33" i="52"/>
  <c r="AZ35" i="52"/>
  <c r="AU35" i="52"/>
  <c r="AA35" i="52"/>
  <c r="Z35" i="52"/>
  <c r="Y35" i="52"/>
  <c r="B35" i="52"/>
  <c r="AZ31" i="52"/>
  <c r="AU31" i="52"/>
  <c r="AA31" i="52"/>
  <c r="Z31" i="52"/>
  <c r="Y31" i="52"/>
  <c r="B31" i="52"/>
  <c r="AZ29" i="52"/>
  <c r="AU29" i="52"/>
  <c r="AA29" i="52"/>
  <c r="Z29" i="52"/>
  <c r="Y29" i="52"/>
  <c r="B29" i="52"/>
  <c r="AZ27" i="52"/>
  <c r="AU27" i="52"/>
  <c r="AA27" i="52"/>
  <c r="Z27" i="52"/>
  <c r="Y27" i="52"/>
  <c r="B27" i="52"/>
  <c r="AZ24" i="52" l="1"/>
  <c r="AU24" i="52"/>
  <c r="AA24" i="52"/>
  <c r="Z24" i="52"/>
  <c r="Y24" i="52"/>
  <c r="B24" i="52"/>
  <c r="AZ22" i="52"/>
  <c r="AU22" i="52"/>
  <c r="AA22" i="52"/>
  <c r="Z22" i="52"/>
  <c r="Y22" i="52"/>
  <c r="B22" i="52"/>
  <c r="AZ20" i="52"/>
  <c r="AU20" i="52"/>
  <c r="AA20" i="52"/>
  <c r="Z20" i="52"/>
  <c r="Y20" i="52"/>
  <c r="B20" i="52"/>
  <c r="AZ18" i="52"/>
  <c r="AU18" i="52"/>
  <c r="AA18" i="52"/>
  <c r="Z18" i="52"/>
  <c r="Y18" i="52"/>
  <c r="B18" i="52"/>
  <c r="AZ16" i="52"/>
  <c r="AU16" i="52"/>
  <c r="AA16" i="52"/>
  <c r="Z16" i="52"/>
  <c r="Y16" i="52"/>
  <c r="B16" i="52"/>
  <c r="AZ13" i="52"/>
  <c r="AU13" i="52"/>
  <c r="AA13" i="52"/>
  <c r="Z13" i="52"/>
  <c r="Y13" i="52"/>
  <c r="B13" i="52"/>
  <c r="AZ11" i="52"/>
  <c r="AU11" i="52"/>
  <c r="AA11" i="52"/>
  <c r="Z11" i="52"/>
  <c r="Y11" i="52"/>
  <c r="B11" i="52"/>
  <c r="AZ9" i="52"/>
  <c r="AU9" i="52"/>
  <c r="AA9" i="52"/>
  <c r="Z9" i="52"/>
  <c r="Y9" i="52"/>
  <c r="B9" i="52"/>
  <c r="AZ7" i="52"/>
  <c r="AU7" i="52"/>
  <c r="AA7" i="52"/>
  <c r="Z7" i="52"/>
  <c r="Y7" i="52"/>
  <c r="B7" i="52"/>
  <c r="AZ94" i="52" l="1"/>
  <c r="AZ93" i="52"/>
  <c r="AZ92" i="52"/>
  <c r="AZ91" i="52"/>
  <c r="AZ90" i="52"/>
  <c r="AZ89" i="52"/>
  <c r="AZ88" i="52"/>
  <c r="AZ87" i="52"/>
  <c r="AZ86" i="52"/>
  <c r="AZ85" i="52"/>
  <c r="AZ84" i="52"/>
  <c r="AZ83" i="52"/>
  <c r="AZ82" i="52"/>
  <c r="AZ81" i="52"/>
  <c r="AZ80" i="52"/>
  <c r="AZ79" i="52"/>
  <c r="AZ78" i="52"/>
  <c r="AZ77" i="52"/>
  <c r="AZ76" i="52"/>
  <c r="AZ75" i="52"/>
  <c r="AZ74" i="52"/>
  <c r="AZ73" i="52"/>
  <c r="AZ72" i="52"/>
  <c r="AZ71" i="52"/>
  <c r="AZ70" i="52"/>
  <c r="AZ69" i="52"/>
  <c r="AZ68" i="52"/>
  <c r="AZ67" i="52"/>
  <c r="AZ66" i="52"/>
  <c r="AZ65" i="52"/>
  <c r="AZ64" i="52"/>
  <c r="AZ63" i="52"/>
  <c r="AZ62" i="52"/>
  <c r="AZ61" i="52"/>
  <c r="AZ60" i="52"/>
  <c r="AZ59" i="52"/>
  <c r="AZ58" i="52"/>
  <c r="AZ57" i="52"/>
  <c r="AZ56" i="52"/>
  <c r="AZ55" i="52"/>
  <c r="AZ54" i="52"/>
  <c r="AZ53" i="52"/>
  <c r="AZ52" i="52"/>
  <c r="AZ51" i="52"/>
  <c r="AZ50" i="52"/>
  <c r="AZ49" i="52"/>
  <c r="AZ48" i="52"/>
  <c r="AZ47" i="52"/>
  <c r="AZ46" i="52"/>
  <c r="AZ45" i="52"/>
  <c r="AZ44" i="52"/>
  <c r="AZ43" i="52"/>
  <c r="AZ42" i="52"/>
  <c r="AZ41" i="52"/>
  <c r="AZ40" i="52"/>
  <c r="AZ39" i="52"/>
  <c r="AZ38" i="52"/>
  <c r="AZ37" i="52"/>
  <c r="AZ36" i="52"/>
  <c r="AZ34" i="52"/>
  <c r="AZ32" i="52"/>
  <c r="AZ30" i="52"/>
  <c r="AZ28" i="52"/>
  <c r="AZ26" i="52"/>
  <c r="AZ25" i="52"/>
  <c r="AZ23" i="52"/>
  <c r="AZ21" i="52"/>
  <c r="AZ19" i="52"/>
  <c r="AZ17" i="52"/>
  <c r="AZ15" i="52"/>
  <c r="AZ14" i="52"/>
  <c r="AZ12" i="52"/>
  <c r="AZ10" i="52"/>
  <c r="AZ8" i="52"/>
  <c r="AZ6" i="52"/>
  <c r="AZ5" i="52"/>
  <c r="Z88" i="52" l="1"/>
  <c r="Z80" i="52"/>
  <c r="Z72" i="52"/>
  <c r="Z63" i="52"/>
  <c r="Z59" i="52"/>
  <c r="Z51" i="52"/>
  <c r="Z43" i="52"/>
  <c r="Z37" i="52"/>
  <c r="Z23" i="52"/>
  <c r="Z8" i="52"/>
  <c r="AA94" i="52"/>
  <c r="AA93" i="52"/>
  <c r="AA92" i="52"/>
  <c r="AA91" i="52"/>
  <c r="AA90" i="52"/>
  <c r="AA89" i="52"/>
  <c r="AA88" i="52"/>
  <c r="AA87" i="52"/>
  <c r="AA86" i="52"/>
  <c r="AA85" i="52"/>
  <c r="Z85" i="52"/>
  <c r="Y85" i="52"/>
  <c r="AA84" i="52"/>
  <c r="Z84" i="52"/>
  <c r="Y84" i="52"/>
  <c r="AA83" i="52"/>
  <c r="Z83" i="52"/>
  <c r="Y83" i="52"/>
  <c r="AA82" i="52"/>
  <c r="Z82" i="52"/>
  <c r="Y82" i="52"/>
  <c r="AA81" i="52"/>
  <c r="Z81" i="52"/>
  <c r="Y81" i="52"/>
  <c r="AA80" i="52"/>
  <c r="Y80" i="52"/>
  <c r="AA79" i="52"/>
  <c r="Z79" i="52"/>
  <c r="Y79" i="52"/>
  <c r="AA78" i="52"/>
  <c r="AA77" i="52"/>
  <c r="AA76" i="52"/>
  <c r="AA75" i="52"/>
  <c r="AA74" i="52"/>
  <c r="AA73" i="52"/>
  <c r="AA72" i="52"/>
  <c r="AA71" i="52"/>
  <c r="AA70" i="52"/>
  <c r="AA69" i="52"/>
  <c r="Z69" i="52"/>
  <c r="Y69" i="52"/>
  <c r="AA68" i="52"/>
  <c r="Z68" i="52"/>
  <c r="Y68" i="52"/>
  <c r="AA67" i="52"/>
  <c r="Z67" i="52"/>
  <c r="Y67" i="52"/>
  <c r="AA66" i="52"/>
  <c r="Z66" i="52"/>
  <c r="Y66" i="52"/>
  <c r="AA65" i="52"/>
  <c r="Z65" i="52"/>
  <c r="Y65" i="52"/>
  <c r="AA64" i="52"/>
  <c r="Z64" i="52"/>
  <c r="Y64" i="52"/>
  <c r="AA63" i="52"/>
  <c r="Y63" i="52"/>
  <c r="AA62" i="52"/>
  <c r="Z62" i="52"/>
  <c r="Y62" i="52"/>
  <c r="AA61" i="52"/>
  <c r="Z61" i="52"/>
  <c r="Y61" i="52"/>
  <c r="AA60" i="52"/>
  <c r="Z60" i="52"/>
  <c r="Y60" i="52"/>
  <c r="AA59" i="52"/>
  <c r="Y59" i="52"/>
  <c r="AA58" i="52"/>
  <c r="Z58" i="52"/>
  <c r="Y58" i="52"/>
  <c r="AA57" i="52"/>
  <c r="Z57" i="52"/>
  <c r="Y57" i="52"/>
  <c r="AA56" i="52"/>
  <c r="Z56" i="52"/>
  <c r="Y56" i="52"/>
  <c r="AA55" i="52"/>
  <c r="Z55" i="52"/>
  <c r="Y55" i="52"/>
  <c r="AA54" i="52"/>
  <c r="Z54" i="52"/>
  <c r="Y54" i="52"/>
  <c r="AA53" i="52"/>
  <c r="Z53" i="52"/>
  <c r="Y53" i="52"/>
  <c r="AA52" i="52"/>
  <c r="Z52" i="52"/>
  <c r="Y52" i="52"/>
  <c r="AA51" i="52"/>
  <c r="Y51" i="52"/>
  <c r="AA50" i="52"/>
  <c r="Z50" i="52"/>
  <c r="Y50" i="52"/>
  <c r="AA49" i="52"/>
  <c r="Z49" i="52"/>
  <c r="Y49" i="52"/>
  <c r="AA48" i="52"/>
  <c r="Z48" i="52"/>
  <c r="Y48" i="52"/>
  <c r="AA47" i="52"/>
  <c r="Z47" i="52"/>
  <c r="Y47" i="52"/>
  <c r="AA46" i="52"/>
  <c r="Z46" i="52"/>
  <c r="Y46" i="52"/>
  <c r="AA45" i="52"/>
  <c r="Z45" i="52"/>
  <c r="Y45" i="52"/>
  <c r="AA44" i="52"/>
  <c r="Z44" i="52"/>
  <c r="Y44" i="52"/>
  <c r="AA43" i="52"/>
  <c r="Y43" i="52"/>
  <c r="AA42" i="52"/>
  <c r="Z42" i="52"/>
  <c r="Y42" i="52"/>
  <c r="AA41" i="52"/>
  <c r="Z41" i="52"/>
  <c r="Y41" i="52"/>
  <c r="AA40" i="52"/>
  <c r="Z40" i="52"/>
  <c r="Y40" i="52"/>
  <c r="AA39" i="52"/>
  <c r="Z39" i="52"/>
  <c r="Y39" i="52"/>
  <c r="AA38" i="52"/>
  <c r="Z38" i="52"/>
  <c r="Y38" i="52"/>
  <c r="AA37" i="52"/>
  <c r="Y37" i="52"/>
  <c r="AA36" i="52"/>
  <c r="Z36" i="52"/>
  <c r="Y36" i="52"/>
  <c r="AA34" i="52"/>
  <c r="Z34" i="52"/>
  <c r="Y34" i="52"/>
  <c r="AA32" i="52"/>
  <c r="Z32" i="52"/>
  <c r="Y32" i="52"/>
  <c r="AA30" i="52"/>
  <c r="Z30" i="52"/>
  <c r="Y30" i="52"/>
  <c r="AA28" i="52"/>
  <c r="Z28" i="52"/>
  <c r="Y28" i="52"/>
  <c r="AA26" i="52"/>
  <c r="Z26" i="52"/>
  <c r="Y26" i="52"/>
  <c r="AA25" i="52"/>
  <c r="Z25" i="52"/>
  <c r="Y25" i="52"/>
  <c r="AA23" i="52"/>
  <c r="Y23" i="52"/>
  <c r="AA21" i="52"/>
  <c r="Z21" i="52"/>
  <c r="Y21" i="52"/>
  <c r="AA19" i="52"/>
  <c r="Z19" i="52"/>
  <c r="Y19" i="52"/>
  <c r="AA17" i="52"/>
  <c r="Z17" i="52"/>
  <c r="Y17" i="52"/>
  <c r="AA15" i="52"/>
  <c r="Z15" i="52"/>
  <c r="Y15" i="52"/>
  <c r="AA14" i="52"/>
  <c r="Z14" i="52"/>
  <c r="Y14" i="52"/>
  <c r="AA12" i="52"/>
  <c r="Z12" i="52"/>
  <c r="Y12" i="52"/>
  <c r="AA10" i="52"/>
  <c r="Z10" i="52"/>
  <c r="Y10" i="52"/>
  <c r="AA8" i="52"/>
  <c r="Y8" i="52"/>
  <c r="AA6" i="52"/>
  <c r="Z6" i="52"/>
  <c r="Y6" i="52"/>
  <c r="AA5" i="52"/>
  <c r="Z5" i="52"/>
  <c r="Y5" i="52"/>
  <c r="CE17" i="58" a="1"/>
  <c r="CE17" i="58" s="1"/>
  <c r="CD17" i="58" a="1"/>
  <c r="CD17" i="58" s="1"/>
  <c r="BX17" i="58" a="1"/>
  <c r="BX17" i="58" s="1"/>
  <c r="BW17" i="58" a="1"/>
  <c r="BW17" i="58" s="1"/>
  <c r="BQ17" i="58" a="1"/>
  <c r="BQ17" i="58" s="1"/>
  <c r="BP17" i="58" a="1"/>
  <c r="BP17" i="58" s="1"/>
  <c r="BJ17" i="58" a="1"/>
  <c r="BJ17" i="58" s="1"/>
  <c r="BI17" i="58" a="1"/>
  <c r="BI17" i="58" s="1"/>
  <c r="CE16" i="58" a="1"/>
  <c r="CE16" i="58" s="1"/>
  <c r="CD16" i="58" a="1"/>
  <c r="CD16" i="58" s="1"/>
  <c r="BX16" i="58" a="1"/>
  <c r="BX16" i="58" s="1"/>
  <c r="BW16" i="58" a="1"/>
  <c r="BW16" i="58" s="1"/>
  <c r="BQ16" i="58" a="1"/>
  <c r="BQ16" i="58" s="1"/>
  <c r="BP16" i="58" a="1"/>
  <c r="BP16" i="58" s="1"/>
  <c r="BJ16" i="58" a="1"/>
  <c r="BJ16" i="58" s="1"/>
  <c r="BI16" i="58" a="1"/>
  <c r="BI16" i="58" s="1"/>
  <c r="CE15" i="58" a="1"/>
  <c r="CE15" i="58" s="1"/>
  <c r="CD15" i="58" a="1"/>
  <c r="CD15" i="58" s="1"/>
  <c r="BX15" i="58" a="1"/>
  <c r="BX15" i="58" s="1"/>
  <c r="BW15" i="58" a="1"/>
  <c r="BW15" i="58" s="1"/>
  <c r="BQ15" i="58" a="1"/>
  <c r="BQ15" i="58" s="1"/>
  <c r="BP15" i="58" a="1"/>
  <c r="BP15" i="58" s="1"/>
  <c r="BJ15" i="58" a="1"/>
  <c r="BJ15" i="58" s="1"/>
  <c r="BI15" i="58" a="1"/>
  <c r="BI15" i="58" s="1"/>
  <c r="CE14" i="58" a="1"/>
  <c r="CE14" i="58" s="1"/>
  <c r="CD14" i="58" a="1"/>
  <c r="CD14" i="58" s="1"/>
  <c r="BX14" i="58" a="1"/>
  <c r="BX14" i="58" s="1"/>
  <c r="BW14" i="58" a="1"/>
  <c r="BW14" i="58" s="1"/>
  <c r="BQ14" i="58" a="1"/>
  <c r="BQ14" i="58" s="1"/>
  <c r="BP14" i="58" a="1"/>
  <c r="BP14" i="58" s="1"/>
  <c r="BJ14" i="58" a="1"/>
  <c r="BJ14" i="58" s="1"/>
  <c r="BI14" i="58" a="1"/>
  <c r="BI14" i="58" s="1"/>
  <c r="CE13" i="58" a="1"/>
  <c r="CE13" i="58" s="1"/>
  <c r="CD13" i="58" a="1"/>
  <c r="CD13" i="58" s="1"/>
  <c r="BX13" i="58" a="1"/>
  <c r="BX13" i="58" s="1"/>
  <c r="BW13" i="58" a="1"/>
  <c r="BW13" i="58" s="1"/>
  <c r="BQ13" i="58" a="1"/>
  <c r="BQ13" i="58" s="1"/>
  <c r="BP13" i="58" a="1"/>
  <c r="BP13" i="58" s="1"/>
  <c r="BJ13" i="58" a="1"/>
  <c r="BJ13" i="58" s="1"/>
  <c r="BI13" i="58" a="1"/>
  <c r="BI13" i="58" s="1"/>
  <c r="CE12" i="58" a="1"/>
  <c r="CE12" i="58" s="1"/>
  <c r="CD12" i="58" a="1"/>
  <c r="CD12" i="58" s="1"/>
  <c r="BX12" i="58" a="1"/>
  <c r="BX12" i="58" s="1"/>
  <c r="BW12" i="58" a="1"/>
  <c r="BW12" i="58" s="1"/>
  <c r="BQ12" i="58" a="1"/>
  <c r="BQ12" i="58" s="1"/>
  <c r="BP12" i="58" a="1"/>
  <c r="BP12" i="58" s="1"/>
  <c r="BJ12" i="58" a="1"/>
  <c r="BJ12" i="58" s="1"/>
  <c r="BI12" i="58" a="1"/>
  <c r="BI12" i="58" s="1"/>
  <c r="CE11" i="58" a="1"/>
  <c r="CE11" i="58" s="1"/>
  <c r="CD11" i="58" a="1"/>
  <c r="CD11" i="58" s="1"/>
  <c r="BX11" i="58" a="1"/>
  <c r="BX11" i="58" s="1"/>
  <c r="BW11" i="58" a="1"/>
  <c r="BW11" i="58" s="1"/>
  <c r="BQ11" i="58" a="1"/>
  <c r="BQ11" i="58" s="1"/>
  <c r="BP11" i="58" a="1"/>
  <c r="BP11" i="58" s="1"/>
  <c r="BJ11" i="58" a="1"/>
  <c r="BJ11" i="58" s="1"/>
  <c r="BI11" i="58" a="1"/>
  <c r="BI11" i="58" s="1"/>
  <c r="CE10" i="58" a="1"/>
  <c r="CE10" i="58" s="1"/>
  <c r="CD10" i="58" a="1"/>
  <c r="CD10" i="58" s="1"/>
  <c r="BX10" i="58" a="1"/>
  <c r="BX10" i="58" s="1"/>
  <c r="BW10" i="58" a="1"/>
  <c r="BW10" i="58" s="1"/>
  <c r="BQ10" i="58" a="1"/>
  <c r="BQ10" i="58" s="1"/>
  <c r="BP10" i="58" a="1"/>
  <c r="BP10" i="58" s="1"/>
  <c r="BJ10" i="58" a="1"/>
  <c r="BJ10" i="58" s="1"/>
  <c r="BI10" i="58" a="1"/>
  <c r="BI10" i="58" s="1"/>
  <c r="CE9" i="58" a="1"/>
  <c r="CE9" i="58" s="1"/>
  <c r="CD9" i="58" a="1"/>
  <c r="CD9" i="58" s="1"/>
  <c r="BX9" i="58" a="1"/>
  <c r="BX9" i="58" s="1"/>
  <c r="BW9" i="58" a="1"/>
  <c r="BW9" i="58" s="1"/>
  <c r="BQ9" i="58" a="1"/>
  <c r="BQ9" i="58" s="1"/>
  <c r="BP9" i="58" a="1"/>
  <c r="BP9" i="58" s="1"/>
  <c r="BJ9" i="58" a="1"/>
  <c r="BJ9" i="58" s="1"/>
  <c r="BI9" i="58" a="1"/>
  <c r="BI9" i="58" s="1"/>
  <c r="CE8" i="58" a="1"/>
  <c r="CE8" i="58" s="1"/>
  <c r="CD8" i="58" a="1"/>
  <c r="CD8" i="58" s="1"/>
  <c r="BX8" i="58" a="1"/>
  <c r="BX8" i="58" s="1"/>
  <c r="BW8" i="58" a="1"/>
  <c r="BW8" i="58" s="1"/>
  <c r="BQ8" i="58" a="1"/>
  <c r="BQ8" i="58" s="1"/>
  <c r="BP8" i="58" a="1"/>
  <c r="BP8" i="58" s="1"/>
  <c r="BJ8" i="58" a="1"/>
  <c r="BJ8" i="58" s="1"/>
  <c r="BI8" i="58" a="1"/>
  <c r="BI8" i="58" s="1"/>
  <c r="CE7" i="58" a="1"/>
  <c r="CE7" i="58" s="1"/>
  <c r="CD7" i="58" a="1"/>
  <c r="CD7" i="58" s="1"/>
  <c r="BX7" i="58" a="1"/>
  <c r="BX7" i="58" s="1"/>
  <c r="BW7" i="58" a="1"/>
  <c r="BW7" i="58" s="1"/>
  <c r="BQ7" i="58" a="1"/>
  <c r="BQ7" i="58" s="1"/>
  <c r="BP7" i="58" a="1"/>
  <c r="BP7" i="58" s="1"/>
  <c r="BJ7" i="58" a="1"/>
  <c r="BJ7" i="58" s="1"/>
  <c r="BI7" i="58" a="1"/>
  <c r="BI7" i="58" s="1"/>
  <c r="CE6" i="58" a="1"/>
  <c r="CE6" i="58" s="1"/>
  <c r="CD6" i="58" a="1"/>
  <c r="CD6" i="58" s="1"/>
  <c r="BX6" i="58" a="1"/>
  <c r="BX6" i="58" s="1"/>
  <c r="BW6" i="58" a="1"/>
  <c r="BW6" i="58" s="1"/>
  <c r="BQ6" i="58" a="1"/>
  <c r="BQ6" i="58" s="1"/>
  <c r="BP6" i="58" a="1"/>
  <c r="BP6" i="58" s="1"/>
  <c r="BJ6" i="58" a="1"/>
  <c r="BJ6" i="58" s="1"/>
  <c r="BI6" i="58" a="1"/>
  <c r="BI6" i="58" s="1"/>
  <c r="CE5" i="58" a="1"/>
  <c r="CE5" i="58" s="1"/>
  <c r="CD5" i="58" a="1"/>
  <c r="CD5" i="58" s="1"/>
  <c r="BX5" i="58" a="1"/>
  <c r="BX5" i="58" s="1"/>
  <c r="BW5" i="58" a="1"/>
  <c r="BW5" i="58" s="1"/>
  <c r="BQ5" i="58" a="1"/>
  <c r="BQ5" i="58" s="1"/>
  <c r="BP5" i="58" a="1"/>
  <c r="BP5" i="58" s="1"/>
  <c r="BJ5" i="58" a="1"/>
  <c r="BJ5" i="58" s="1"/>
  <c r="BI5" i="58" a="1"/>
  <c r="BI5" i="58" s="1"/>
  <c r="CE4" i="58" a="1"/>
  <c r="CE4" i="58" s="1"/>
  <c r="CD4" i="58" a="1"/>
  <c r="CD4" i="58" s="1"/>
  <c r="BX4" i="58" a="1"/>
  <c r="BX4" i="58" s="1"/>
  <c r="BW4" i="58" a="1"/>
  <c r="BW4" i="58" s="1"/>
  <c r="BQ4" i="58" a="1"/>
  <c r="BQ4" i="58" s="1"/>
  <c r="BP4" i="58" a="1"/>
  <c r="BP4" i="58" s="1"/>
  <c r="BJ4" i="58" a="1"/>
  <c r="BJ4" i="58" s="1"/>
  <c r="BI4" i="58" a="1"/>
  <c r="BI4" i="58" s="1"/>
  <c r="CE3" i="58" a="1"/>
  <c r="CE3" i="58" s="1"/>
  <c r="CD3" i="58" a="1"/>
  <c r="CD3" i="58" s="1"/>
  <c r="BX3" i="58" a="1"/>
  <c r="BX3" i="58" s="1"/>
  <c r="BW3" i="58" a="1"/>
  <c r="BW3" i="58" s="1"/>
  <c r="BQ3" i="58" a="1"/>
  <c r="BQ3" i="58" s="1"/>
  <c r="BP3" i="58" a="1"/>
  <c r="BP3" i="58" s="1"/>
  <c r="BJ3" i="58" a="1"/>
  <c r="BJ3" i="58" s="1"/>
  <c r="BI3" i="58" a="1"/>
  <c r="BI3" i="58" s="1"/>
  <c r="Y72" i="52" l="1"/>
  <c r="Y88" i="52"/>
  <c r="E19" i="58"/>
  <c r="BC17" i="58" a="1"/>
  <c r="BC17" i="58" s="1"/>
  <c r="BB17" i="58" a="1"/>
  <c r="BB17" i="58" s="1"/>
  <c r="AV17" i="58" a="1"/>
  <c r="AV17" i="58" s="1"/>
  <c r="AU17" i="58" a="1"/>
  <c r="AU17" i="58" s="1"/>
  <c r="AO17" i="58" a="1"/>
  <c r="AO17" i="58" s="1"/>
  <c r="AN17" i="58" a="1"/>
  <c r="AN17" i="58" s="1"/>
  <c r="AH17" i="58" a="1"/>
  <c r="AH17" i="58" s="1"/>
  <c r="AG17" i="58" a="1"/>
  <c r="AG17" i="58" s="1"/>
  <c r="AA17" i="58" a="1"/>
  <c r="AA17" i="58" s="1"/>
  <c r="Z17" i="58" a="1"/>
  <c r="Z17" i="58" s="1"/>
  <c r="T17" i="58" a="1"/>
  <c r="T17" i="58" s="1"/>
  <c r="S17" i="58" a="1"/>
  <c r="S17" i="58" s="1"/>
  <c r="M17" i="58" a="1"/>
  <c r="M17" i="58" s="1"/>
  <c r="L17" i="58" a="1"/>
  <c r="L17" i="58" s="1"/>
  <c r="F17" i="58" a="1"/>
  <c r="F17" i="58" s="1"/>
  <c r="E17" i="58" a="1"/>
  <c r="E17" i="58" s="1"/>
  <c r="BC16" i="58" a="1"/>
  <c r="BC16" i="58" s="1"/>
  <c r="BB16" i="58" a="1"/>
  <c r="BB16" i="58" s="1"/>
  <c r="AV16" i="58" a="1"/>
  <c r="AV16" i="58" s="1"/>
  <c r="AU16" i="58" a="1"/>
  <c r="AU16" i="58" s="1"/>
  <c r="AO16" i="58" a="1"/>
  <c r="AO16" i="58" s="1"/>
  <c r="AN16" i="58" a="1"/>
  <c r="AN16" i="58" s="1"/>
  <c r="AH16" i="58" a="1"/>
  <c r="AH16" i="58" s="1"/>
  <c r="AG16" i="58" a="1"/>
  <c r="AG16" i="58" s="1"/>
  <c r="AA16" i="58" a="1"/>
  <c r="AA16" i="58" s="1"/>
  <c r="Z16" i="58" a="1"/>
  <c r="Z16" i="58" s="1"/>
  <c r="T16" i="58" a="1"/>
  <c r="T16" i="58" s="1"/>
  <c r="S16" i="58" a="1"/>
  <c r="S16" i="58" s="1"/>
  <c r="M16" i="58" a="1"/>
  <c r="M16" i="58" s="1"/>
  <c r="L16" i="58" a="1"/>
  <c r="L16" i="58" s="1"/>
  <c r="F16" i="58" a="1"/>
  <c r="F16" i="58" s="1"/>
  <c r="E16" i="58" a="1"/>
  <c r="E16" i="58" s="1"/>
  <c r="BC15" i="58" a="1"/>
  <c r="BC15" i="58" s="1"/>
  <c r="BB15" i="58" a="1"/>
  <c r="BB15" i="58" s="1"/>
  <c r="AV15" i="58" a="1"/>
  <c r="AV15" i="58" s="1"/>
  <c r="AU15" i="58" a="1"/>
  <c r="AU15" i="58" s="1"/>
  <c r="AO15" i="58" a="1"/>
  <c r="AO15" i="58" s="1"/>
  <c r="AN15" i="58" a="1"/>
  <c r="AN15" i="58" s="1"/>
  <c r="AH15" i="58" a="1"/>
  <c r="AH15" i="58" s="1"/>
  <c r="AG15" i="58" a="1"/>
  <c r="AG15" i="58" s="1"/>
  <c r="AA15" i="58" a="1"/>
  <c r="AA15" i="58" s="1"/>
  <c r="Z15" i="58" a="1"/>
  <c r="Z15" i="58" s="1"/>
  <c r="T15" i="58" a="1"/>
  <c r="T15" i="58" s="1"/>
  <c r="S15" i="58" a="1"/>
  <c r="S15" i="58" s="1"/>
  <c r="M15" i="58" a="1"/>
  <c r="M15" i="58" s="1"/>
  <c r="L15" i="58" a="1"/>
  <c r="L15" i="58" s="1"/>
  <c r="F15" i="58" a="1"/>
  <c r="F15" i="58" s="1"/>
  <c r="E15" i="58" a="1"/>
  <c r="E15" i="58" s="1"/>
  <c r="BC14" i="58" a="1"/>
  <c r="BC14" i="58" s="1"/>
  <c r="BB14" i="58" a="1"/>
  <c r="BB14" i="58" s="1"/>
  <c r="AV14" i="58" a="1"/>
  <c r="AV14" i="58" s="1"/>
  <c r="AU14" i="58" a="1"/>
  <c r="AU14" i="58" s="1"/>
  <c r="AO14" i="58" a="1"/>
  <c r="AO14" i="58" s="1"/>
  <c r="AN14" i="58" a="1"/>
  <c r="AN14" i="58" s="1"/>
  <c r="AH14" i="58" a="1"/>
  <c r="AH14" i="58" s="1"/>
  <c r="AG14" i="58" a="1"/>
  <c r="AG14" i="58" s="1"/>
  <c r="AA14" i="58" a="1"/>
  <c r="AA14" i="58" s="1"/>
  <c r="Z14" i="58" a="1"/>
  <c r="Z14" i="58" s="1"/>
  <c r="T14" i="58" a="1"/>
  <c r="T14" i="58" s="1"/>
  <c r="S14" i="58" a="1"/>
  <c r="S14" i="58" s="1"/>
  <c r="M14" i="58" a="1"/>
  <c r="M14" i="58" s="1"/>
  <c r="L14" i="58" a="1"/>
  <c r="L14" i="58" s="1"/>
  <c r="F14" i="58" a="1"/>
  <c r="F14" i="58" s="1"/>
  <c r="E14" i="58" a="1"/>
  <c r="E14" i="58" s="1"/>
  <c r="BC13" i="58" a="1"/>
  <c r="BC13" i="58" s="1"/>
  <c r="BB13" i="58" a="1"/>
  <c r="BB13" i="58" s="1"/>
  <c r="AV13" i="58" a="1"/>
  <c r="AV13" i="58" s="1"/>
  <c r="AU13" i="58" a="1"/>
  <c r="AU13" i="58" s="1"/>
  <c r="AO13" i="58" a="1"/>
  <c r="AO13" i="58" s="1"/>
  <c r="AN13" i="58" a="1"/>
  <c r="AN13" i="58" s="1"/>
  <c r="AH13" i="58" a="1"/>
  <c r="AH13" i="58" s="1"/>
  <c r="AG13" i="58" a="1"/>
  <c r="AG13" i="58" s="1"/>
  <c r="AA13" i="58" a="1"/>
  <c r="AA13" i="58" s="1"/>
  <c r="Z13" i="58" a="1"/>
  <c r="Z13" i="58" s="1"/>
  <c r="T13" i="58" a="1"/>
  <c r="T13" i="58" s="1"/>
  <c r="S13" i="58" a="1"/>
  <c r="S13" i="58" s="1"/>
  <c r="M13" i="58" a="1"/>
  <c r="M13" i="58" s="1"/>
  <c r="L13" i="58" a="1"/>
  <c r="L13" i="58" s="1"/>
  <c r="F13" i="58" a="1"/>
  <c r="F13" i="58" s="1"/>
  <c r="E13" i="58" a="1"/>
  <c r="E13" i="58" s="1"/>
  <c r="BC12" i="58" a="1"/>
  <c r="BC12" i="58" s="1"/>
  <c r="BB12" i="58" a="1"/>
  <c r="BB12" i="58" s="1"/>
  <c r="AV12" i="58" a="1"/>
  <c r="AV12" i="58" s="1"/>
  <c r="AU12" i="58" a="1"/>
  <c r="AU12" i="58" s="1"/>
  <c r="AO12" i="58" a="1"/>
  <c r="AO12" i="58" s="1"/>
  <c r="AN12" i="58" a="1"/>
  <c r="AN12" i="58" s="1"/>
  <c r="AH12" i="58" a="1"/>
  <c r="AH12" i="58" s="1"/>
  <c r="AG12" i="58" a="1"/>
  <c r="AG12" i="58" s="1"/>
  <c r="AA12" i="58" a="1"/>
  <c r="AA12" i="58" s="1"/>
  <c r="Z12" i="58" a="1"/>
  <c r="Z12" i="58" s="1"/>
  <c r="T12" i="58" a="1"/>
  <c r="T12" i="58" s="1"/>
  <c r="S12" i="58" a="1"/>
  <c r="S12" i="58" s="1"/>
  <c r="M12" i="58" a="1"/>
  <c r="M12" i="58" s="1"/>
  <c r="L12" i="58" a="1"/>
  <c r="L12" i="58" s="1"/>
  <c r="F12" i="58" a="1"/>
  <c r="F12" i="58" s="1"/>
  <c r="E12" i="58" a="1"/>
  <c r="E12" i="58" s="1"/>
  <c r="BC11" i="58" a="1"/>
  <c r="BC11" i="58" s="1"/>
  <c r="BB11" i="58" a="1"/>
  <c r="BB11" i="58" s="1"/>
  <c r="AV11" i="58" a="1"/>
  <c r="AV11" i="58" s="1"/>
  <c r="AU11" i="58" a="1"/>
  <c r="AU11" i="58" s="1"/>
  <c r="AO11" i="58" a="1"/>
  <c r="AO11" i="58" s="1"/>
  <c r="AN11" i="58" a="1"/>
  <c r="AN11" i="58" s="1"/>
  <c r="AH11" i="58" a="1"/>
  <c r="AH11" i="58" s="1"/>
  <c r="AG11" i="58" a="1"/>
  <c r="AG11" i="58" s="1"/>
  <c r="AA11" i="58" a="1"/>
  <c r="AA11" i="58" s="1"/>
  <c r="Z11" i="58" a="1"/>
  <c r="Z11" i="58" s="1"/>
  <c r="T11" i="58" a="1"/>
  <c r="T11" i="58" s="1"/>
  <c r="S11" i="58" a="1"/>
  <c r="S11" i="58" s="1"/>
  <c r="M11" i="58" a="1"/>
  <c r="M11" i="58" s="1"/>
  <c r="L11" i="58" a="1"/>
  <c r="L11" i="58" s="1"/>
  <c r="F11" i="58" a="1"/>
  <c r="F11" i="58" s="1"/>
  <c r="E11" i="58" a="1"/>
  <c r="E11" i="58" s="1"/>
  <c r="BC10" i="58" a="1"/>
  <c r="BC10" i="58" s="1"/>
  <c r="BB10" i="58" a="1"/>
  <c r="BB10" i="58" s="1"/>
  <c r="AV10" i="58" a="1"/>
  <c r="AV10" i="58" s="1"/>
  <c r="AU10" i="58" a="1"/>
  <c r="AU10" i="58" s="1"/>
  <c r="AO10" i="58" a="1"/>
  <c r="AO10" i="58" s="1"/>
  <c r="AN10" i="58" a="1"/>
  <c r="AN10" i="58" s="1"/>
  <c r="AH10" i="58" a="1"/>
  <c r="AH10" i="58" s="1"/>
  <c r="AG10" i="58" a="1"/>
  <c r="AG10" i="58" s="1"/>
  <c r="AA10" i="58" a="1"/>
  <c r="AA10" i="58" s="1"/>
  <c r="Z10" i="58" a="1"/>
  <c r="Z10" i="58" s="1"/>
  <c r="T10" i="58" a="1"/>
  <c r="T10" i="58" s="1"/>
  <c r="S10" i="58" a="1"/>
  <c r="S10" i="58" s="1"/>
  <c r="M10" i="58" a="1"/>
  <c r="M10" i="58" s="1"/>
  <c r="L10" i="58" a="1"/>
  <c r="L10" i="58" s="1"/>
  <c r="F10" i="58" a="1"/>
  <c r="F10" i="58" s="1"/>
  <c r="E10" i="58" a="1"/>
  <c r="E10" i="58" s="1"/>
  <c r="BC9" i="58" a="1"/>
  <c r="BC9" i="58" s="1"/>
  <c r="BB9" i="58" a="1"/>
  <c r="BB9" i="58" s="1"/>
  <c r="AV9" i="58" a="1"/>
  <c r="AV9" i="58" s="1"/>
  <c r="AU9" i="58" a="1"/>
  <c r="AU9" i="58" s="1"/>
  <c r="AO9" i="58" a="1"/>
  <c r="AO9" i="58" s="1"/>
  <c r="AN9" i="58" a="1"/>
  <c r="AN9" i="58" s="1"/>
  <c r="AH9" i="58" a="1"/>
  <c r="AH9" i="58" s="1"/>
  <c r="AG9" i="58" a="1"/>
  <c r="AG9" i="58" s="1"/>
  <c r="AA9" i="58" a="1"/>
  <c r="AA9" i="58" s="1"/>
  <c r="Z9" i="58" a="1"/>
  <c r="Z9" i="58" s="1"/>
  <c r="T9" i="58" a="1"/>
  <c r="T9" i="58" s="1"/>
  <c r="S9" i="58" a="1"/>
  <c r="S9" i="58" s="1"/>
  <c r="M9" i="58" a="1"/>
  <c r="M9" i="58" s="1"/>
  <c r="L9" i="58" a="1"/>
  <c r="L9" i="58" s="1"/>
  <c r="F9" i="58" a="1"/>
  <c r="F9" i="58" s="1"/>
  <c r="E9" i="58" a="1"/>
  <c r="E9" i="58" s="1"/>
  <c r="BC8" i="58" a="1"/>
  <c r="BC8" i="58" s="1"/>
  <c r="BB8" i="58" a="1"/>
  <c r="BB8" i="58" s="1"/>
  <c r="AV8" i="58" a="1"/>
  <c r="AV8" i="58" s="1"/>
  <c r="AU8" i="58" a="1"/>
  <c r="AU8" i="58" s="1"/>
  <c r="AO8" i="58" a="1"/>
  <c r="AO8" i="58" s="1"/>
  <c r="AN8" i="58" a="1"/>
  <c r="AN8" i="58" s="1"/>
  <c r="AH8" i="58" a="1"/>
  <c r="AH8" i="58" s="1"/>
  <c r="AG8" i="58" a="1"/>
  <c r="AG8" i="58" s="1"/>
  <c r="AA8" i="58" a="1"/>
  <c r="AA8" i="58" s="1"/>
  <c r="Z8" i="58" a="1"/>
  <c r="Z8" i="58" s="1"/>
  <c r="T8" i="58" a="1"/>
  <c r="T8" i="58" s="1"/>
  <c r="S8" i="58" a="1"/>
  <c r="S8" i="58" s="1"/>
  <c r="M8" i="58" a="1"/>
  <c r="M8" i="58" s="1"/>
  <c r="L8" i="58" a="1"/>
  <c r="L8" i="58" s="1"/>
  <c r="F8" i="58" a="1"/>
  <c r="F8" i="58" s="1"/>
  <c r="E8" i="58" a="1"/>
  <c r="E8" i="58" s="1"/>
  <c r="BC7" i="58" a="1"/>
  <c r="BC7" i="58" s="1"/>
  <c r="BB7" i="58" a="1"/>
  <c r="BB7" i="58" s="1"/>
  <c r="AV7" i="58" a="1"/>
  <c r="AV7" i="58" s="1"/>
  <c r="AU7" i="58" a="1"/>
  <c r="AU7" i="58" s="1"/>
  <c r="AO7" i="58" a="1"/>
  <c r="AO7" i="58" s="1"/>
  <c r="AN7" i="58" a="1"/>
  <c r="AN7" i="58" s="1"/>
  <c r="AH7" i="58" a="1"/>
  <c r="AH7" i="58" s="1"/>
  <c r="AG7" i="58" a="1"/>
  <c r="AG7" i="58" s="1"/>
  <c r="AA7" i="58" a="1"/>
  <c r="AA7" i="58" s="1"/>
  <c r="Z7" i="58" a="1"/>
  <c r="Z7" i="58" s="1"/>
  <c r="T7" i="58" a="1"/>
  <c r="T7" i="58" s="1"/>
  <c r="S7" i="58" a="1"/>
  <c r="S7" i="58" s="1"/>
  <c r="M7" i="58" a="1"/>
  <c r="M7" i="58" s="1"/>
  <c r="L7" i="58" a="1"/>
  <c r="L7" i="58" s="1"/>
  <c r="F7" i="58" a="1"/>
  <c r="F7" i="58" s="1"/>
  <c r="E7" i="58" a="1"/>
  <c r="E7" i="58" s="1"/>
  <c r="BC6" i="58" a="1"/>
  <c r="BC6" i="58" s="1"/>
  <c r="BB6" i="58" a="1"/>
  <c r="BB6" i="58" s="1"/>
  <c r="AV6" i="58" a="1"/>
  <c r="AV6" i="58" s="1"/>
  <c r="AU6" i="58" a="1"/>
  <c r="AU6" i="58" s="1"/>
  <c r="AO6" i="58" a="1"/>
  <c r="AO6" i="58" s="1"/>
  <c r="AN6" i="58" a="1"/>
  <c r="AN6" i="58" s="1"/>
  <c r="AH6" i="58" a="1"/>
  <c r="AH6" i="58" s="1"/>
  <c r="AG6" i="58" a="1"/>
  <c r="AG6" i="58" s="1"/>
  <c r="AA6" i="58" a="1"/>
  <c r="AA6" i="58" s="1"/>
  <c r="Z6" i="58" a="1"/>
  <c r="Z6" i="58" s="1"/>
  <c r="T6" i="58" a="1"/>
  <c r="T6" i="58" s="1"/>
  <c r="S6" i="58" a="1"/>
  <c r="S6" i="58" s="1"/>
  <c r="M6" i="58" a="1"/>
  <c r="M6" i="58" s="1"/>
  <c r="L6" i="58" a="1"/>
  <c r="L6" i="58" s="1"/>
  <c r="F6" i="58" a="1"/>
  <c r="F6" i="58" s="1"/>
  <c r="E6" i="58" a="1"/>
  <c r="E6" i="58" s="1"/>
  <c r="BC5" i="58" a="1"/>
  <c r="BC5" i="58" s="1"/>
  <c r="BB5" i="58" a="1"/>
  <c r="BB5" i="58" s="1"/>
  <c r="AV5" i="58" a="1"/>
  <c r="AV5" i="58" s="1"/>
  <c r="AU5" i="58" a="1"/>
  <c r="AU5" i="58" s="1"/>
  <c r="AO5" i="58" a="1"/>
  <c r="AO5" i="58" s="1"/>
  <c r="AN5" i="58" a="1"/>
  <c r="AN5" i="58" s="1"/>
  <c r="AH5" i="58" a="1"/>
  <c r="AH5" i="58" s="1"/>
  <c r="AG5" i="58" a="1"/>
  <c r="AG5" i="58" s="1"/>
  <c r="AA5" i="58" a="1"/>
  <c r="AA5" i="58" s="1"/>
  <c r="Z5" i="58" a="1"/>
  <c r="Z5" i="58" s="1"/>
  <c r="T5" i="58" a="1"/>
  <c r="T5" i="58" s="1"/>
  <c r="S5" i="58" a="1"/>
  <c r="S5" i="58" s="1"/>
  <c r="M5" i="58" a="1"/>
  <c r="M5" i="58" s="1"/>
  <c r="L5" i="58" a="1"/>
  <c r="L5" i="58" s="1"/>
  <c r="F5" i="58" a="1"/>
  <c r="F5" i="58" s="1"/>
  <c r="E5" i="58" a="1"/>
  <c r="E5" i="58" s="1"/>
  <c r="BC4" i="58" a="1"/>
  <c r="BC4" i="58" s="1"/>
  <c r="BB4" i="58" a="1"/>
  <c r="BB4" i="58" s="1"/>
  <c r="AV4" i="58" a="1"/>
  <c r="AV4" i="58" s="1"/>
  <c r="AU4" i="58" a="1"/>
  <c r="AU4" i="58" s="1"/>
  <c r="AO4" i="58" a="1"/>
  <c r="AO4" i="58" s="1"/>
  <c r="AN4" i="58" a="1"/>
  <c r="AN4" i="58" s="1"/>
  <c r="AH4" i="58" a="1"/>
  <c r="AH4" i="58" s="1"/>
  <c r="AG4" i="58" a="1"/>
  <c r="AG4" i="58" s="1"/>
  <c r="AA4" i="58" a="1"/>
  <c r="AA4" i="58" s="1"/>
  <c r="Z4" i="58" a="1"/>
  <c r="Z4" i="58" s="1"/>
  <c r="T4" i="58" a="1"/>
  <c r="T4" i="58" s="1"/>
  <c r="S4" i="58" a="1"/>
  <c r="S4" i="58" s="1"/>
  <c r="M4" i="58" a="1"/>
  <c r="M4" i="58" s="1"/>
  <c r="L4" i="58" a="1"/>
  <c r="L4" i="58" s="1"/>
  <c r="F4" i="58" a="1"/>
  <c r="F4" i="58" s="1"/>
  <c r="E4" i="58" a="1"/>
  <c r="E4" i="58" s="1"/>
  <c r="BC3" i="58" a="1"/>
  <c r="BC3" i="58" s="1"/>
  <c r="BB3" i="58" a="1"/>
  <c r="BB3" i="58" s="1"/>
  <c r="AV3" i="58" a="1"/>
  <c r="AV3" i="58" s="1"/>
  <c r="AU3" i="58" a="1"/>
  <c r="AU3" i="58" s="1"/>
  <c r="AO3" i="58" a="1"/>
  <c r="AO3" i="58" s="1"/>
  <c r="AN3" i="58" a="1"/>
  <c r="AN3" i="58" s="1"/>
  <c r="AH3" i="58" a="1"/>
  <c r="AH3" i="58" s="1"/>
  <c r="AG3" i="58" a="1"/>
  <c r="AG3" i="58" s="1"/>
  <c r="AA3" i="58" a="1"/>
  <c r="AA3" i="58" s="1"/>
  <c r="Z3" i="58" a="1"/>
  <c r="Z3" i="58" s="1"/>
  <c r="T3" i="58" a="1"/>
  <c r="T3" i="58" s="1"/>
  <c r="S3" i="58" a="1"/>
  <c r="S3" i="58" s="1"/>
  <c r="M3" i="58" a="1"/>
  <c r="M3" i="58" s="1"/>
  <c r="L3" i="58" a="1"/>
  <c r="L3" i="58" s="1"/>
  <c r="F3" i="58" a="1"/>
  <c r="F3" i="58" s="1"/>
  <c r="E3" i="58" a="1"/>
  <c r="E3" i="58" s="1"/>
  <c r="AU94" i="52"/>
  <c r="AU93" i="52"/>
  <c r="AU92" i="52"/>
  <c r="AU91" i="52"/>
  <c r="AU90" i="52"/>
  <c r="AU89" i="52"/>
  <c r="AU88" i="52"/>
  <c r="AU87" i="52"/>
  <c r="AU86" i="52"/>
  <c r="AU85" i="52"/>
  <c r="AU84" i="52"/>
  <c r="AU83" i="52"/>
  <c r="AU82" i="52"/>
  <c r="AU81" i="52"/>
  <c r="AU80" i="52"/>
  <c r="AU79" i="52"/>
  <c r="AU78" i="52"/>
  <c r="AU77" i="52"/>
  <c r="AU76" i="52"/>
  <c r="AU75" i="52"/>
  <c r="AU74" i="52"/>
  <c r="AU73" i="52"/>
  <c r="AU72" i="52"/>
  <c r="AU71" i="52"/>
  <c r="AU70" i="52"/>
  <c r="AU69" i="52"/>
  <c r="AU68" i="52"/>
  <c r="AU67" i="52"/>
  <c r="AU66" i="52"/>
  <c r="AU65" i="52"/>
  <c r="AU64" i="52"/>
  <c r="AU63" i="52"/>
  <c r="AU62" i="52"/>
  <c r="AU61" i="52"/>
  <c r="AU60" i="52"/>
  <c r="AU59" i="52"/>
  <c r="AU58" i="52"/>
  <c r="AU57" i="52"/>
  <c r="AU56" i="52"/>
  <c r="AU55" i="52"/>
  <c r="AU54" i="52"/>
  <c r="AU53" i="52"/>
  <c r="AU52" i="52"/>
  <c r="AU51" i="52"/>
  <c r="AU50" i="52"/>
  <c r="AU49" i="52"/>
  <c r="AU48" i="52"/>
  <c r="AU47" i="52"/>
  <c r="AU46" i="52"/>
  <c r="AU45" i="52"/>
  <c r="AU44" i="52"/>
  <c r="AU43" i="52"/>
  <c r="AU42" i="52"/>
  <c r="AU41" i="52"/>
  <c r="AU40" i="52"/>
  <c r="AU39" i="52"/>
  <c r="AU38" i="52"/>
  <c r="AU37" i="52"/>
  <c r="AU36" i="52"/>
  <c r="AU34" i="52"/>
  <c r="AU32" i="52"/>
  <c r="AU30" i="52"/>
  <c r="AU28" i="52"/>
  <c r="AU26" i="52"/>
  <c r="AU25" i="52"/>
  <c r="AU23" i="52"/>
  <c r="AU21" i="52"/>
  <c r="AU19" i="52"/>
  <c r="AU17" i="52"/>
  <c r="AU15" i="52"/>
  <c r="AU14" i="52"/>
  <c r="AU12" i="52"/>
  <c r="AU10" i="52"/>
  <c r="AU8" i="52"/>
  <c r="AU6" i="52"/>
  <c r="AU5" i="52"/>
  <c r="FK30" i="61" l="1"/>
  <c r="FJ30" i="61"/>
  <c r="FI30" i="61"/>
  <c r="FG30" i="61"/>
  <c r="FF30" i="61"/>
  <c r="FK29" i="61"/>
  <c r="FJ29" i="61"/>
  <c r="FI29" i="61"/>
  <c r="FG29" i="61"/>
  <c r="FF29" i="61"/>
  <c r="FK28" i="61"/>
  <c r="FJ28" i="61"/>
  <c r="FI28" i="61"/>
  <c r="FG28" i="61"/>
  <c r="FF28" i="61"/>
  <c r="FK27" i="61"/>
  <c r="FJ27" i="61"/>
  <c r="FI27" i="61"/>
  <c r="FG27" i="61"/>
  <c r="FF27" i="61"/>
  <c r="FK26" i="61"/>
  <c r="FJ26" i="61"/>
  <c r="FI26" i="61"/>
  <c r="FG26" i="61"/>
  <c r="FF26" i="61"/>
  <c r="FK25" i="61"/>
  <c r="FJ25" i="61"/>
  <c r="FI25" i="61"/>
  <c r="FG25" i="61"/>
  <c r="FF25" i="61"/>
  <c r="FK24" i="61"/>
  <c r="FJ24" i="61"/>
  <c r="FI24" i="61"/>
  <c r="FG24" i="61"/>
  <c r="FF24" i="61"/>
  <c r="FK23" i="61"/>
  <c r="FJ23" i="61"/>
  <c r="FI23" i="61"/>
  <c r="FG23" i="61"/>
  <c r="FF23" i="61"/>
  <c r="FK22" i="61"/>
  <c r="FJ22" i="61"/>
  <c r="FI22" i="61"/>
  <c r="FG22" i="61"/>
  <c r="FF22" i="61"/>
  <c r="FK21" i="61"/>
  <c r="FJ21" i="61"/>
  <c r="FI21" i="61"/>
  <c r="FG21" i="61"/>
  <c r="FF21" i="61"/>
  <c r="FK20" i="61"/>
  <c r="FJ20" i="61"/>
  <c r="FI20" i="61"/>
  <c r="FG20" i="61"/>
  <c r="FF20" i="61"/>
  <c r="FK19" i="61"/>
  <c r="FJ19" i="61"/>
  <c r="FI19" i="61"/>
  <c r="FG19" i="61"/>
  <c r="FF19" i="61"/>
  <c r="FK18" i="61"/>
  <c r="FJ18" i="61"/>
  <c r="FI18" i="61"/>
  <c r="FG18" i="61"/>
  <c r="FF18" i="61"/>
  <c r="FK17" i="61"/>
  <c r="FJ17" i="61"/>
  <c r="FI17" i="61"/>
  <c r="FG17" i="61"/>
  <c r="FF17" i="61"/>
  <c r="FK16" i="61"/>
  <c r="FJ16" i="61"/>
  <c r="FI16" i="61"/>
  <c r="FG16" i="61"/>
  <c r="FF16" i="61"/>
  <c r="FK15" i="61"/>
  <c r="FJ15" i="61"/>
  <c r="FI15" i="61"/>
  <c r="FG15" i="61"/>
  <c r="FF15" i="61"/>
  <c r="FK14" i="61"/>
  <c r="FJ14" i="61"/>
  <c r="FI14" i="61"/>
  <c r="FG14" i="61"/>
  <c r="FF14" i="61"/>
  <c r="FK13" i="61"/>
  <c r="FJ13" i="61"/>
  <c r="FI13" i="61"/>
  <c r="FG13" i="61"/>
  <c r="FF13" i="61"/>
  <c r="FK12" i="61"/>
  <c r="FJ12" i="61"/>
  <c r="FI12" i="61"/>
  <c r="FG12" i="61"/>
  <c r="FF12" i="61"/>
  <c r="FK11" i="61"/>
  <c r="FJ11" i="61"/>
  <c r="FI11" i="61"/>
  <c r="FG11" i="61"/>
  <c r="FF11" i="61"/>
  <c r="FK10" i="61"/>
  <c r="FJ10" i="61"/>
  <c r="FI10" i="61"/>
  <c r="FG10" i="61"/>
  <c r="FF10" i="61"/>
  <c r="FK9" i="61"/>
  <c r="FJ9" i="61"/>
  <c r="FI9" i="61"/>
  <c r="FG9" i="61"/>
  <c r="FF9" i="61"/>
  <c r="FK8" i="61"/>
  <c r="FJ8" i="61"/>
  <c r="FI8" i="61"/>
  <c r="FG8" i="61"/>
  <c r="FF8" i="61"/>
  <c r="FK7" i="61"/>
  <c r="FJ7" i="61"/>
  <c r="FI7" i="61"/>
  <c r="FG7" i="61"/>
  <c r="FF7" i="61"/>
  <c r="FK6" i="61"/>
  <c r="FJ6" i="61"/>
  <c r="FI6" i="61"/>
  <c r="FG6" i="61"/>
  <c r="FF6" i="61"/>
  <c r="FK4" i="61"/>
  <c r="FJ4" i="61"/>
  <c r="FI4" i="61"/>
  <c r="FG4" i="61"/>
  <c r="FF4" i="61"/>
  <c r="FI5" i="61"/>
  <c r="FK5" i="61"/>
  <c r="FJ5" i="61"/>
  <c r="FG5" i="61"/>
  <c r="FF5" i="61"/>
  <c r="B38" i="52" l="1"/>
  <c r="B37" i="52"/>
  <c r="B36" i="52"/>
  <c r="B34" i="52"/>
  <c r="B32" i="52"/>
  <c r="B30" i="52"/>
  <c r="B28" i="52"/>
  <c r="B26" i="52"/>
  <c r="FE31" i="61"/>
  <c r="FE30" i="61"/>
  <c r="FE29" i="61"/>
  <c r="FE28" i="61"/>
  <c r="FE27" i="61"/>
  <c r="FE26" i="61"/>
  <c r="FE25" i="61"/>
  <c r="FE24" i="61"/>
  <c r="FE23" i="61"/>
  <c r="FE22" i="61"/>
  <c r="FE21" i="61"/>
  <c r="FE20" i="61"/>
  <c r="FE19" i="61"/>
  <c r="FE18" i="61"/>
  <c r="FE17" i="61"/>
  <c r="FE16" i="61"/>
  <c r="FE15" i="61"/>
  <c r="FE14" i="61"/>
  <c r="FE13" i="61"/>
  <c r="FE12" i="61"/>
  <c r="FE11" i="61"/>
  <c r="FE10" i="61"/>
  <c r="FE9" i="61"/>
  <c r="FE8" i="61"/>
  <c r="FE7" i="61"/>
  <c r="FE6" i="61"/>
  <c r="FE5" i="61"/>
  <c r="FE4" i="61"/>
  <c r="B25" i="52" l="1"/>
  <c r="B23" i="52"/>
  <c r="B21" i="52"/>
  <c r="B19" i="52"/>
  <c r="B6" i="52"/>
  <c r="D19" i="58" l="1"/>
  <c r="G19" i="58"/>
  <c r="H19" i="58"/>
  <c r="I19" i="58"/>
  <c r="J19" i="58"/>
  <c r="K19" i="58"/>
  <c r="N19" i="58"/>
  <c r="O19" i="58"/>
  <c r="P19" i="58"/>
  <c r="Q19" i="58"/>
  <c r="R19" i="58"/>
  <c r="U19" i="58"/>
  <c r="V19" i="58"/>
  <c r="W19" i="58"/>
  <c r="X19" i="58"/>
  <c r="Y19" i="58"/>
  <c r="AB19" i="58"/>
  <c r="AC19" i="58"/>
  <c r="AD19" i="58"/>
  <c r="AE19" i="58"/>
  <c r="AF19" i="58"/>
  <c r="AI19" i="58"/>
  <c r="AJ19" i="58"/>
  <c r="AK19" i="58"/>
  <c r="AL19" i="58"/>
  <c r="AM19" i="58"/>
  <c r="AP19" i="58"/>
  <c r="AQ19" i="58"/>
  <c r="AR19" i="58"/>
  <c r="AS19" i="58"/>
  <c r="AT19" i="58"/>
  <c r="AW19" i="58"/>
  <c r="AX19" i="58"/>
  <c r="AY19" i="58"/>
  <c r="AZ19" i="58"/>
  <c r="BA19" i="58"/>
  <c r="C19" i="58"/>
  <c r="BC21" i="58" l="1"/>
  <c r="Y21" i="58"/>
  <c r="AA20" i="58" l="1"/>
  <c r="L20" i="58"/>
  <c r="M20" i="58"/>
  <c r="AN20" i="58"/>
  <c r="BC20" i="58"/>
  <c r="AO20" i="58"/>
  <c r="BB20" i="58"/>
  <c r="Z20" i="58"/>
  <c r="AV20" i="58"/>
  <c r="AH20" i="58"/>
  <c r="T20" i="58"/>
  <c r="F20" i="58"/>
  <c r="AU20" i="58"/>
  <c r="AG20" i="58"/>
  <c r="S20" i="58"/>
  <c r="E20" i="58"/>
  <c r="B50" i="52"/>
  <c r="B60" i="52"/>
  <c r="B59" i="52"/>
  <c r="B58" i="52"/>
  <c r="B57" i="52"/>
  <c r="B56" i="52"/>
  <c r="B55" i="52"/>
  <c r="B54" i="52"/>
  <c r="B53" i="52"/>
  <c r="B52" i="52"/>
  <c r="B51" i="52"/>
  <c r="B49" i="52"/>
  <c r="B48" i="52"/>
  <c r="B47" i="52"/>
  <c r="B46" i="52"/>
  <c r="B45" i="52"/>
  <c r="B44" i="52"/>
  <c r="B43" i="52"/>
  <c r="B42" i="52"/>
  <c r="B63" i="52"/>
  <c r="B62" i="52"/>
  <c r="B61" i="52"/>
  <c r="B64" i="52"/>
  <c r="B88" i="52"/>
  <c r="B72" i="52"/>
  <c r="B17" i="52"/>
  <c r="B15" i="52" l="1"/>
  <c r="B41" i="52"/>
  <c r="B40" i="52"/>
  <c r="B39" i="52"/>
  <c r="B14" i="52"/>
  <c r="B12" i="52"/>
  <c r="B10" i="52"/>
  <c r="B8" i="52"/>
  <c r="B5" i="52"/>
  <c r="B94" i="52" l="1"/>
  <c r="B93" i="52"/>
  <c r="B92" i="52"/>
  <c r="B91" i="52"/>
  <c r="B90" i="52"/>
  <c r="B89" i="52"/>
  <c r="B87" i="52"/>
  <c r="B86" i="52"/>
  <c r="B85" i="52"/>
  <c r="B84" i="52"/>
  <c r="B83" i="52"/>
  <c r="B82" i="52"/>
  <c r="B81" i="52"/>
  <c r="B80" i="52"/>
  <c r="B79" i="52"/>
  <c r="B78" i="52"/>
  <c r="B77" i="52"/>
  <c r="B76" i="52"/>
  <c r="B75" i="52"/>
  <c r="B74" i="52"/>
  <c r="B73" i="52"/>
  <c r="B71" i="52"/>
  <c r="B70" i="52"/>
  <c r="B69" i="52"/>
  <c r="B68" i="52"/>
  <c r="B67" i="52"/>
  <c r="B66" i="52"/>
  <c r="B65" i="52"/>
  <c r="AT461" i="56"/>
  <c r="AR461" i="56"/>
  <c r="AT460" i="56"/>
  <c r="AR460" i="56"/>
  <c r="AT459" i="56"/>
  <c r="AR459" i="56"/>
  <c r="AT458" i="56"/>
  <c r="AR458" i="56"/>
  <c r="AT457" i="56"/>
  <c r="AR457" i="56"/>
  <c r="AT456" i="56"/>
  <c r="AR456" i="56"/>
  <c r="AT455" i="56"/>
  <c r="AR455" i="56"/>
  <c r="AT454" i="56"/>
  <c r="AR454" i="56"/>
  <c r="AT453" i="56"/>
  <c r="AR453" i="56"/>
  <c r="AT452" i="56"/>
  <c r="AR452" i="56"/>
  <c r="AT451" i="56"/>
  <c r="AR451" i="56"/>
  <c r="AT450" i="56"/>
  <c r="AR450" i="56"/>
  <c r="AT449" i="56"/>
  <c r="AR449" i="56"/>
  <c r="AT448" i="56"/>
  <c r="AR448" i="56"/>
  <c r="AT447" i="56"/>
  <c r="AR447" i="56"/>
  <c r="AT446" i="56"/>
  <c r="AR446" i="56"/>
  <c r="AT445" i="56"/>
  <c r="AR445" i="56"/>
  <c r="AT444" i="56"/>
  <c r="AR444" i="56"/>
  <c r="AT443" i="56"/>
  <c r="AR443" i="56"/>
  <c r="AT442" i="56"/>
  <c r="AR442" i="56"/>
  <c r="AT441" i="56"/>
  <c r="AR441" i="56"/>
  <c r="AT440" i="56"/>
  <c r="AR440" i="56"/>
  <c r="AT439" i="56"/>
  <c r="AR439" i="56"/>
  <c r="AT438" i="56"/>
  <c r="AR438" i="56"/>
  <c r="AT437" i="56"/>
  <c r="AR437" i="56"/>
  <c r="AT436" i="56"/>
  <c r="AR436" i="56"/>
  <c r="AT435" i="56"/>
  <c r="AR435" i="56"/>
  <c r="AT434" i="56"/>
  <c r="AR434" i="56"/>
  <c r="AT433" i="56"/>
  <c r="AR433" i="56"/>
  <c r="AT432" i="56"/>
  <c r="AR432" i="56"/>
  <c r="AT431" i="56"/>
  <c r="AR431" i="56"/>
  <c r="AT430" i="56"/>
  <c r="AR430" i="56"/>
  <c r="AT429" i="56"/>
  <c r="AR429" i="56"/>
  <c r="AT428" i="56"/>
  <c r="AR428" i="56"/>
  <c r="AT427" i="56"/>
  <c r="AR427" i="56"/>
  <c r="AT426" i="56"/>
  <c r="AR426" i="56"/>
  <c r="AT425" i="56"/>
  <c r="AR425" i="56"/>
  <c r="AT424" i="56"/>
  <c r="AR424" i="56"/>
  <c r="AT423" i="56"/>
  <c r="AR423" i="56"/>
  <c r="AT422" i="56"/>
  <c r="AR422" i="56"/>
  <c r="AT421" i="56"/>
  <c r="AR421" i="56"/>
  <c r="AT420" i="56"/>
  <c r="AR420" i="56"/>
  <c r="AT419" i="56"/>
  <c r="AR419" i="56"/>
  <c r="AT418" i="56"/>
  <c r="AR418" i="56"/>
  <c r="AT417" i="56"/>
  <c r="AR417" i="56"/>
  <c r="AT416" i="56"/>
  <c r="AR416" i="56"/>
  <c r="AT415" i="56"/>
  <c r="AR415" i="56"/>
  <c r="AT414" i="56"/>
  <c r="AR414" i="56"/>
  <c r="AT413" i="56"/>
  <c r="AR413" i="56"/>
  <c r="AT412" i="56"/>
  <c r="AR412" i="56"/>
  <c r="AT411" i="56"/>
  <c r="AR411" i="56"/>
  <c r="AT410" i="56"/>
  <c r="AR410" i="56"/>
  <c r="AT409" i="56"/>
  <c r="AR409" i="56"/>
  <c r="AT408" i="56"/>
  <c r="AR408" i="56"/>
  <c r="AT407" i="56"/>
  <c r="AR407" i="56"/>
  <c r="AT406" i="56"/>
  <c r="AR406" i="56"/>
  <c r="AT405" i="56"/>
  <c r="AR405" i="56"/>
  <c r="AT404" i="56"/>
  <c r="AR404" i="56"/>
  <c r="AT403" i="56"/>
  <c r="AR403" i="56"/>
  <c r="AT402" i="56"/>
  <c r="AR402" i="56"/>
  <c r="AT401" i="56"/>
  <c r="AR401" i="56"/>
  <c r="AT400" i="56"/>
  <c r="AR400" i="56"/>
  <c r="AT399" i="56"/>
  <c r="AR399" i="56"/>
  <c r="AT398" i="56"/>
  <c r="AR398" i="56"/>
  <c r="AT397" i="56"/>
  <c r="AR397" i="56"/>
  <c r="AT396" i="56"/>
  <c r="AR396" i="56"/>
  <c r="AT395" i="56"/>
  <c r="AR395" i="56"/>
  <c r="AT394" i="56"/>
  <c r="AR394" i="56"/>
  <c r="AT393" i="56"/>
  <c r="AR393" i="56"/>
  <c r="AT392" i="56"/>
  <c r="AR392" i="56"/>
  <c r="AT391" i="56"/>
  <c r="AR391" i="56"/>
  <c r="AT390" i="56"/>
  <c r="AR390" i="56"/>
  <c r="AT389" i="56"/>
  <c r="AR389" i="56"/>
  <c r="AT388" i="56"/>
  <c r="AR388" i="56"/>
  <c r="AT387" i="56"/>
  <c r="AR387" i="56"/>
  <c r="AT386" i="56"/>
  <c r="AR386" i="56"/>
  <c r="AT385" i="56"/>
  <c r="AR385" i="56"/>
  <c r="AT384" i="56"/>
  <c r="AR384" i="56"/>
  <c r="AT383" i="56"/>
  <c r="AR383" i="56"/>
  <c r="AT382" i="56"/>
  <c r="AR382" i="56"/>
  <c r="AT381" i="56"/>
  <c r="AR381" i="56"/>
  <c r="AT380" i="56"/>
  <c r="AR380" i="56"/>
  <c r="AT379" i="56"/>
  <c r="AR379" i="56"/>
  <c r="AT378" i="56"/>
  <c r="AR378" i="56"/>
  <c r="AT377" i="56"/>
  <c r="AR377" i="56"/>
  <c r="AT376" i="56"/>
  <c r="AR376" i="56"/>
  <c r="AT375" i="56"/>
  <c r="AR375" i="56"/>
  <c r="AT374" i="56"/>
  <c r="AR374" i="56"/>
  <c r="AT373" i="56"/>
  <c r="AR373" i="56"/>
  <c r="AT372" i="56"/>
  <c r="AR372" i="56"/>
  <c r="AT371" i="56"/>
  <c r="AR371" i="56"/>
  <c r="AT370" i="56"/>
  <c r="AR370" i="56"/>
  <c r="AT369" i="56"/>
  <c r="AR369" i="56"/>
  <c r="AT368" i="56"/>
  <c r="AR368" i="56"/>
  <c r="AT367" i="56"/>
  <c r="AR367" i="56"/>
  <c r="AT366" i="56"/>
  <c r="AR366" i="56"/>
  <c r="AT365" i="56"/>
  <c r="AR365" i="56"/>
  <c r="AT364" i="56"/>
  <c r="AR364" i="56"/>
  <c r="AT363" i="56"/>
  <c r="AR363" i="56"/>
  <c r="AT362" i="56"/>
  <c r="AR362" i="56"/>
  <c r="AT361" i="56"/>
  <c r="AR361" i="56"/>
  <c r="AT360" i="56"/>
  <c r="AR360" i="56"/>
  <c r="AT359" i="56"/>
  <c r="AR359" i="56"/>
  <c r="AT358" i="56"/>
  <c r="AR358" i="56"/>
  <c r="AT357" i="56"/>
  <c r="AR357" i="56"/>
  <c r="AT356" i="56"/>
  <c r="AR356" i="56"/>
  <c r="AT355" i="56"/>
  <c r="AR355" i="56"/>
  <c r="AT354" i="56"/>
  <c r="AR354" i="56"/>
  <c r="AT353" i="56"/>
  <c r="AR353" i="56"/>
  <c r="AT352" i="56"/>
  <c r="AR352" i="56"/>
  <c r="AT351" i="56"/>
  <c r="AR351" i="56"/>
  <c r="AT350" i="56"/>
  <c r="AR350" i="56"/>
  <c r="AT349" i="56"/>
  <c r="AR349" i="56"/>
  <c r="AT348" i="56"/>
  <c r="AR348" i="56"/>
  <c r="AT347" i="56"/>
  <c r="AR347" i="56"/>
  <c r="AT346" i="56"/>
  <c r="AR346" i="56"/>
  <c r="AT345" i="56"/>
  <c r="AR345" i="56"/>
  <c r="AT344" i="56"/>
  <c r="AR344" i="56"/>
  <c r="AT343" i="56"/>
  <c r="AR343" i="56"/>
  <c r="AT342" i="56"/>
  <c r="AR342" i="56"/>
  <c r="AT341" i="56"/>
  <c r="AR341" i="56"/>
  <c r="AT340" i="56"/>
  <c r="AR340" i="56"/>
  <c r="AT339" i="56"/>
  <c r="AR339" i="56"/>
  <c r="AT338" i="56"/>
  <c r="AR338" i="56"/>
  <c r="AT337" i="56"/>
  <c r="AR337" i="56"/>
  <c r="AT336" i="56"/>
  <c r="AR336" i="56"/>
  <c r="AT335" i="56"/>
  <c r="AR335" i="56"/>
  <c r="AT334" i="56"/>
  <c r="AR334" i="56"/>
  <c r="AT333" i="56"/>
  <c r="AR333" i="56"/>
  <c r="AT332" i="56"/>
  <c r="AR332" i="56"/>
  <c r="AT331" i="56"/>
  <c r="AR331" i="56"/>
  <c r="AT330" i="56"/>
  <c r="AR330" i="56"/>
  <c r="AT329" i="56"/>
  <c r="AR329" i="56"/>
  <c r="AT328" i="56"/>
  <c r="AR328" i="56"/>
  <c r="AT327" i="56"/>
  <c r="AR327" i="56"/>
  <c r="AT326" i="56"/>
  <c r="AR326" i="56"/>
  <c r="AT325" i="56"/>
  <c r="AR325" i="56"/>
  <c r="AT324" i="56"/>
  <c r="AR324" i="56"/>
  <c r="AT323" i="56"/>
  <c r="AR323" i="56"/>
  <c r="AT322" i="56"/>
  <c r="AR322" i="56"/>
  <c r="AT321" i="56"/>
  <c r="AR321" i="56"/>
  <c r="AT320" i="56"/>
  <c r="AR320" i="56"/>
  <c r="AT319" i="56"/>
  <c r="AR319" i="56"/>
  <c r="AT318" i="56"/>
  <c r="AR318" i="56"/>
  <c r="AT317" i="56"/>
  <c r="AR317" i="56"/>
  <c r="AT316" i="56"/>
  <c r="AR316" i="56"/>
  <c r="AT315" i="56"/>
  <c r="AR315" i="56"/>
  <c r="AT314" i="56"/>
  <c r="AR314" i="56"/>
  <c r="AT313" i="56"/>
  <c r="AR313" i="56"/>
  <c r="AT312" i="56"/>
  <c r="AR312" i="56"/>
  <c r="AT311" i="56"/>
  <c r="AR311" i="56"/>
  <c r="AT310" i="56"/>
  <c r="AR310" i="56"/>
  <c r="AT309" i="56"/>
  <c r="AR309" i="56"/>
  <c r="AT308" i="56"/>
  <c r="AR308" i="56"/>
  <c r="AT307" i="56"/>
  <c r="AR307" i="56"/>
  <c r="AT306" i="56"/>
  <c r="AR306" i="56"/>
  <c r="AT305" i="56"/>
  <c r="AR305" i="56"/>
  <c r="AT304" i="56"/>
  <c r="AR304" i="56"/>
  <c r="AT303" i="56"/>
  <c r="AR303" i="56"/>
  <c r="AT302" i="56"/>
  <c r="AR302" i="56"/>
  <c r="AT301" i="56"/>
  <c r="AR301" i="56"/>
  <c r="AT300" i="56"/>
  <c r="AR300" i="56"/>
  <c r="AT299" i="56"/>
  <c r="AR299" i="56"/>
  <c r="AT298" i="56"/>
  <c r="AR298" i="56"/>
  <c r="AT297" i="56"/>
  <c r="AR297" i="56"/>
  <c r="AT296" i="56"/>
  <c r="AR296" i="56"/>
  <c r="AT295" i="56"/>
  <c r="AR295" i="56"/>
  <c r="AT294" i="56"/>
  <c r="AR294" i="56"/>
  <c r="AT293" i="56"/>
  <c r="AR293" i="56"/>
  <c r="AT292" i="56"/>
  <c r="AR292" i="56"/>
  <c r="AT291" i="56"/>
  <c r="AR291" i="56"/>
  <c r="AT290" i="56"/>
  <c r="AR290" i="56"/>
  <c r="AT289" i="56"/>
  <c r="AR289" i="56"/>
  <c r="AT288" i="56"/>
  <c r="AR288" i="56"/>
  <c r="AT287" i="56"/>
  <c r="AR287" i="56"/>
  <c r="AT286" i="56"/>
  <c r="AR286" i="56"/>
  <c r="AT285" i="56"/>
  <c r="AR285" i="56"/>
  <c r="AT284" i="56"/>
  <c r="AR284" i="56"/>
  <c r="AT283" i="56"/>
  <c r="AR283" i="56"/>
  <c r="AT282" i="56"/>
  <c r="AR282" i="56"/>
  <c r="AT281" i="56"/>
  <c r="AR281" i="56"/>
  <c r="AT280" i="56"/>
  <c r="AR280" i="56"/>
  <c r="AT279" i="56"/>
  <c r="AR279" i="56"/>
  <c r="AT278" i="56"/>
  <c r="AR278" i="56"/>
  <c r="AT277" i="56"/>
  <c r="AR277" i="56"/>
  <c r="AT276" i="56"/>
  <c r="AR276" i="56"/>
  <c r="AT275" i="56"/>
  <c r="AR275" i="56"/>
  <c r="AT274" i="56"/>
  <c r="AR274" i="56"/>
  <c r="AT273" i="56"/>
  <c r="AR273" i="56"/>
  <c r="AT272" i="56"/>
  <c r="AR272" i="56"/>
  <c r="AT271" i="56"/>
  <c r="AR271" i="56"/>
  <c r="AT270" i="56"/>
  <c r="AR270" i="56"/>
  <c r="AT269" i="56"/>
  <c r="AR269" i="56"/>
  <c r="AT268" i="56"/>
  <c r="AR268" i="56"/>
  <c r="AT267" i="56"/>
  <c r="AR267" i="56"/>
  <c r="AT266" i="56"/>
  <c r="AR266" i="56"/>
  <c r="AT265" i="56"/>
  <c r="AR265" i="56"/>
  <c r="AT264" i="56"/>
  <c r="AR264" i="56"/>
  <c r="AT263" i="56"/>
  <c r="AR263" i="56"/>
  <c r="AT262" i="56"/>
  <c r="AR262" i="56"/>
  <c r="AT261" i="56"/>
  <c r="AR261" i="56"/>
  <c r="AT260" i="56"/>
  <c r="AR260" i="56"/>
  <c r="AT259" i="56"/>
  <c r="AR259" i="56"/>
  <c r="AT258" i="56"/>
  <c r="AR258" i="56"/>
  <c r="AT257" i="56"/>
  <c r="AR257" i="56"/>
  <c r="AT256" i="56"/>
  <c r="AR256" i="56"/>
  <c r="AT255" i="56"/>
  <c r="AR255" i="56"/>
  <c r="AT254" i="56"/>
  <c r="AR254" i="56"/>
  <c r="AT253" i="56"/>
  <c r="AR253" i="56"/>
  <c r="AT252" i="56"/>
  <c r="AR252" i="56"/>
  <c r="AT251" i="56"/>
  <c r="AR251" i="56"/>
  <c r="AT250" i="56"/>
  <c r="AR250" i="56"/>
  <c r="AT249" i="56"/>
  <c r="AR249" i="56"/>
  <c r="AT248" i="56"/>
  <c r="AR248" i="56"/>
  <c r="AT247" i="56"/>
  <c r="AR247" i="56"/>
  <c r="AT246" i="56"/>
  <c r="AR246" i="56"/>
  <c r="AT245" i="56"/>
  <c r="AR245" i="56"/>
  <c r="AT244" i="56"/>
  <c r="AR244" i="56"/>
  <c r="AT243" i="56"/>
  <c r="AR243" i="56"/>
  <c r="AT242" i="56"/>
  <c r="AR242" i="56"/>
  <c r="AT241" i="56"/>
  <c r="AR241" i="56"/>
  <c r="AT240" i="56"/>
  <c r="AR240" i="56"/>
  <c r="AT239" i="56"/>
  <c r="AR239" i="56"/>
  <c r="AT238" i="56"/>
  <c r="AR238" i="56"/>
  <c r="AT237" i="56"/>
  <c r="AR237" i="56"/>
  <c r="AT236" i="56"/>
  <c r="AR236" i="56"/>
  <c r="AT235" i="56"/>
  <c r="AR235" i="56"/>
  <c r="AT234" i="56"/>
  <c r="AR234" i="56"/>
  <c r="AT233" i="56"/>
  <c r="AR233" i="56"/>
  <c r="AT232" i="56"/>
  <c r="AR232" i="56"/>
  <c r="AT231" i="56"/>
  <c r="AR231" i="56"/>
  <c r="AT230" i="56"/>
  <c r="AR230" i="56"/>
  <c r="AT229" i="56"/>
  <c r="AR229" i="56"/>
  <c r="AT228" i="56"/>
  <c r="AR228" i="56"/>
  <c r="AT227" i="56"/>
  <c r="AR227" i="56"/>
  <c r="AT226" i="56"/>
  <c r="AR226" i="56"/>
  <c r="AT225" i="56"/>
  <c r="AR225" i="56"/>
  <c r="AT224" i="56"/>
  <c r="AR224" i="56"/>
  <c r="AT223" i="56"/>
  <c r="AR223" i="56"/>
  <c r="AT222" i="56"/>
  <c r="AR222" i="56"/>
  <c r="AT221" i="56"/>
  <c r="AR221" i="56"/>
  <c r="AT220" i="56"/>
  <c r="AR220" i="56"/>
  <c r="AT219" i="56"/>
  <c r="AR219" i="56"/>
  <c r="AT218" i="56"/>
  <c r="AR218" i="56"/>
  <c r="AT217" i="56"/>
  <c r="AR217" i="56"/>
  <c r="AT216" i="56"/>
  <c r="AR216" i="56"/>
  <c r="AT215" i="56"/>
  <c r="AR215" i="56"/>
  <c r="AT214" i="56"/>
  <c r="AR214" i="56"/>
  <c r="AT213" i="56"/>
  <c r="AR213" i="56"/>
  <c r="AT212" i="56"/>
  <c r="AR212" i="56"/>
  <c r="AT211" i="56"/>
  <c r="AR211" i="56"/>
  <c r="AT210" i="56"/>
  <c r="AR210" i="56"/>
  <c r="AT209" i="56"/>
  <c r="AR209" i="56"/>
  <c r="AT208" i="56"/>
  <c r="AR208" i="56"/>
  <c r="AT207" i="56"/>
  <c r="AR207" i="56"/>
  <c r="AT206" i="56"/>
  <c r="AR206" i="56"/>
  <c r="AT205" i="56"/>
  <c r="AR205" i="56"/>
  <c r="AT204" i="56"/>
  <c r="AR204" i="56"/>
  <c r="AT203" i="56"/>
  <c r="AR203" i="56"/>
  <c r="AT202" i="56"/>
  <c r="AR202" i="56"/>
  <c r="AT201" i="56"/>
  <c r="AR201" i="56"/>
  <c r="AT200" i="56"/>
  <c r="AR200" i="56"/>
  <c r="AT199" i="56"/>
  <c r="AR199" i="56"/>
  <c r="AT198" i="56"/>
  <c r="AR198" i="56"/>
  <c r="AT197" i="56"/>
  <c r="AR197" i="56"/>
  <c r="AT196" i="56"/>
  <c r="AR196" i="56"/>
  <c r="AT195" i="56"/>
  <c r="AR195" i="56"/>
  <c r="AT194" i="56"/>
  <c r="AR194" i="56"/>
  <c r="AT193" i="56"/>
  <c r="AR193" i="56"/>
  <c r="AT192" i="56"/>
  <c r="AR192" i="56"/>
  <c r="AT191" i="56"/>
  <c r="AR191" i="56"/>
  <c r="AT190" i="56"/>
  <c r="AR190" i="56"/>
  <c r="AT189" i="56"/>
  <c r="AR189" i="56"/>
  <c r="AT188" i="56"/>
  <c r="AR188" i="56"/>
  <c r="AT187" i="56"/>
  <c r="AR187" i="56"/>
  <c r="AT186" i="56"/>
  <c r="AR186" i="56"/>
  <c r="AT185" i="56"/>
  <c r="AR185" i="56"/>
  <c r="AT184" i="56"/>
  <c r="AR184" i="56"/>
  <c r="AT183" i="56"/>
  <c r="AR183" i="56"/>
  <c r="AT182" i="56"/>
  <c r="AR182" i="56"/>
  <c r="AT181" i="56"/>
  <c r="AR181" i="56"/>
  <c r="AT180" i="56"/>
  <c r="AR180" i="56"/>
  <c r="AT179" i="56"/>
  <c r="AR179" i="56"/>
  <c r="AT178" i="56"/>
  <c r="AR178" i="56"/>
  <c r="AT177" i="56"/>
  <c r="AR177" i="56"/>
  <c r="AT176" i="56"/>
  <c r="AR176" i="56"/>
  <c r="AT175" i="56"/>
  <c r="AR175" i="56"/>
  <c r="AT174" i="56"/>
  <c r="AR174" i="56"/>
  <c r="AT173" i="56"/>
  <c r="AR173" i="56"/>
  <c r="AT172" i="56"/>
  <c r="AR172" i="56"/>
  <c r="AT171" i="56"/>
  <c r="AR171" i="56"/>
  <c r="AT170" i="56"/>
  <c r="AR170" i="56"/>
  <c r="AT169" i="56"/>
  <c r="AR169" i="56"/>
  <c r="AT168" i="56"/>
  <c r="AR168" i="56"/>
  <c r="AT167" i="56"/>
  <c r="AR167" i="56"/>
  <c r="AT166" i="56"/>
  <c r="AR166" i="56"/>
  <c r="AT165" i="56"/>
  <c r="AR165" i="56"/>
  <c r="AT164" i="56"/>
  <c r="AR164" i="56"/>
  <c r="AT163" i="56"/>
  <c r="AR163" i="56"/>
  <c r="AT162" i="56"/>
  <c r="AR162" i="56"/>
  <c r="AT161" i="56"/>
  <c r="AR161" i="56"/>
  <c r="AT160" i="56"/>
  <c r="AR160" i="56"/>
  <c r="AT159" i="56"/>
  <c r="AR159" i="56"/>
  <c r="AT158" i="56"/>
  <c r="AR158" i="56"/>
  <c r="AT157" i="56"/>
  <c r="AR157" i="56"/>
  <c r="AT156" i="56"/>
  <c r="AR156" i="56"/>
  <c r="AT155" i="56"/>
  <c r="AR155" i="56"/>
  <c r="AT154" i="56"/>
  <c r="AR154" i="56"/>
  <c r="AT153" i="56"/>
  <c r="AR153" i="56"/>
  <c r="AT152" i="56"/>
  <c r="AR152" i="56"/>
  <c r="AT151" i="56"/>
  <c r="AR151" i="56"/>
  <c r="AT150" i="56"/>
  <c r="AR150" i="56"/>
  <c r="AT149" i="56"/>
  <c r="AR149" i="56"/>
  <c r="AT148" i="56"/>
  <c r="AR148" i="56"/>
  <c r="AT147" i="56"/>
  <c r="AR147" i="56"/>
  <c r="AT146" i="56"/>
  <c r="AR146" i="56"/>
  <c r="AT145" i="56"/>
  <c r="AR145" i="56"/>
  <c r="AT144" i="56"/>
  <c r="AR144" i="56"/>
  <c r="AT143" i="56"/>
  <c r="AR143" i="56"/>
  <c r="AT142" i="56"/>
  <c r="AR142" i="56"/>
  <c r="AT141" i="56"/>
  <c r="AR141" i="56"/>
  <c r="AT140" i="56"/>
  <c r="AR140" i="56"/>
  <c r="AT139" i="56"/>
  <c r="AR139" i="56"/>
  <c r="AT138" i="56"/>
  <c r="AR138" i="56"/>
  <c r="AT137" i="56"/>
  <c r="AR137" i="56"/>
  <c r="AT136" i="56"/>
  <c r="AR136" i="56"/>
  <c r="AT135" i="56"/>
  <c r="AR135" i="56"/>
  <c r="AT134" i="56"/>
  <c r="AR134" i="56"/>
  <c r="AT133" i="56"/>
  <c r="AR133" i="56"/>
  <c r="AT132" i="56"/>
  <c r="AR132" i="56"/>
  <c r="AT131" i="56"/>
  <c r="AR131" i="56"/>
  <c r="AT130" i="56"/>
  <c r="AR130" i="56"/>
  <c r="AT129" i="56"/>
  <c r="AR129" i="56"/>
  <c r="AT128" i="56"/>
  <c r="AR128" i="56"/>
  <c r="AT127" i="56"/>
  <c r="AR127" i="56"/>
  <c r="AT126" i="56"/>
  <c r="AR126" i="56"/>
  <c r="AT125" i="56"/>
  <c r="AR125" i="56"/>
  <c r="AT124" i="56"/>
  <c r="AR124" i="56"/>
  <c r="AT123" i="56"/>
  <c r="AR123" i="56"/>
  <c r="AT122" i="56"/>
  <c r="AR122" i="56"/>
  <c r="AT121" i="56"/>
  <c r="AR121" i="56"/>
  <c r="AT120" i="56"/>
  <c r="AR120" i="56"/>
  <c r="AT119" i="56"/>
  <c r="AR119" i="56"/>
  <c r="AT118" i="56"/>
  <c r="AR118" i="56"/>
  <c r="AT117" i="56"/>
  <c r="AR117" i="56"/>
  <c r="AT116" i="56"/>
  <c r="AR116" i="56"/>
  <c r="AT115" i="56"/>
  <c r="AR115" i="56"/>
  <c r="AT114" i="56"/>
  <c r="AR114" i="56"/>
  <c r="AT113" i="56"/>
  <c r="AR113" i="56"/>
  <c r="AT112" i="56"/>
  <c r="AR112" i="56"/>
  <c r="AT111" i="56"/>
  <c r="AR111" i="56"/>
  <c r="AT110" i="56"/>
  <c r="AR110" i="56"/>
  <c r="AT109" i="56"/>
  <c r="AR109" i="56"/>
  <c r="AT108" i="56"/>
  <c r="AR108" i="56"/>
  <c r="AT107" i="56"/>
  <c r="AR107" i="56"/>
  <c r="AT106" i="56"/>
  <c r="AR106" i="56"/>
  <c r="AT105" i="56"/>
  <c r="AR105" i="56"/>
  <c r="AT104" i="56"/>
  <c r="AR104" i="56"/>
  <c r="AT103" i="56"/>
  <c r="AR103" i="56"/>
  <c r="AT102" i="56"/>
  <c r="AR102" i="56"/>
  <c r="AT101" i="56"/>
  <c r="AR101" i="56"/>
  <c r="AT100" i="56"/>
  <c r="AR100" i="56"/>
  <c r="AT99" i="56"/>
  <c r="AR99" i="56"/>
  <c r="AT98" i="56"/>
  <c r="AR98" i="56"/>
  <c r="AT97" i="56"/>
  <c r="AR97" i="56"/>
  <c r="AT96" i="56"/>
  <c r="AR96" i="56"/>
  <c r="AT95" i="56"/>
  <c r="AR95" i="56"/>
  <c r="AT94" i="56"/>
  <c r="AR94" i="56"/>
  <c r="AT93" i="56"/>
  <c r="AR93" i="56"/>
  <c r="AT92" i="56"/>
  <c r="AR92" i="56"/>
  <c r="AT91" i="56"/>
  <c r="AR91" i="56"/>
  <c r="AT90" i="56"/>
  <c r="AR90" i="56"/>
  <c r="AT89" i="56"/>
  <c r="AR89" i="56"/>
  <c r="AT88" i="56"/>
  <c r="AR88" i="56"/>
  <c r="AT87" i="56"/>
  <c r="AR87" i="56"/>
  <c r="AT86" i="56"/>
  <c r="AR86" i="56"/>
  <c r="AT85" i="56"/>
  <c r="AR85" i="56"/>
  <c r="AT84" i="56"/>
  <c r="AR84" i="56"/>
  <c r="AT83" i="56"/>
  <c r="AR83" i="56"/>
  <c r="AT82" i="56"/>
  <c r="AR82" i="56"/>
  <c r="AT81" i="56"/>
  <c r="AR81" i="56"/>
  <c r="AT80" i="56"/>
  <c r="AR80" i="56"/>
  <c r="AT79" i="56"/>
  <c r="AR79" i="56"/>
  <c r="AT78" i="56"/>
  <c r="AR78" i="56"/>
  <c r="AT77" i="56"/>
  <c r="AR77" i="56"/>
  <c r="AT76" i="56"/>
  <c r="AR76" i="56"/>
  <c r="AT75" i="56"/>
  <c r="AR75" i="56"/>
  <c r="AT74" i="56"/>
  <c r="AR74" i="56"/>
  <c r="AT73" i="56"/>
  <c r="AR73" i="56"/>
  <c r="AT72" i="56"/>
  <c r="AR72" i="56"/>
  <c r="AT71" i="56"/>
  <c r="AR71" i="56"/>
  <c r="AT70" i="56"/>
  <c r="AR70" i="56"/>
  <c r="AT69" i="56"/>
  <c r="AR69" i="56"/>
  <c r="AT68" i="56"/>
  <c r="AR68" i="56"/>
  <c r="AT67" i="56"/>
  <c r="AR67" i="56"/>
  <c r="AT66" i="56"/>
  <c r="AR66" i="56"/>
  <c r="AT65" i="56"/>
  <c r="AR65" i="56"/>
  <c r="AT64" i="56"/>
  <c r="AR64" i="56"/>
  <c r="AT63" i="56"/>
  <c r="AR63" i="56"/>
  <c r="AT62" i="56"/>
  <c r="AR62" i="56"/>
  <c r="AT61" i="56"/>
  <c r="AR61" i="56"/>
  <c r="AT60" i="56"/>
  <c r="AR60" i="56"/>
  <c r="AT59" i="56"/>
  <c r="AR59" i="56"/>
  <c r="AT58" i="56"/>
  <c r="AR58" i="56"/>
  <c r="AT57" i="56"/>
  <c r="AR57" i="56"/>
  <c r="AT56" i="56"/>
  <c r="AR56" i="56"/>
  <c r="AT55" i="56"/>
  <c r="AR55" i="56"/>
  <c r="AT54" i="56"/>
  <c r="AR54" i="56"/>
  <c r="AT53" i="56"/>
  <c r="AR53" i="56"/>
  <c r="AT52" i="56"/>
  <c r="AR52" i="56"/>
  <c r="AT51" i="56"/>
  <c r="AR51" i="56"/>
  <c r="AT50" i="56"/>
  <c r="AR50" i="56"/>
  <c r="AT49" i="56"/>
  <c r="AR49" i="56"/>
  <c r="AT48" i="56"/>
  <c r="AR48" i="56"/>
  <c r="AT47" i="56"/>
  <c r="AR47" i="56"/>
  <c r="AT46" i="56"/>
  <c r="AR46" i="56"/>
  <c r="AT45" i="56"/>
  <c r="AR45" i="56"/>
  <c r="AT44" i="56"/>
  <c r="AR44" i="56"/>
  <c r="AT43" i="56"/>
  <c r="AR43" i="56"/>
  <c r="AT42" i="56"/>
  <c r="AR42" i="56"/>
  <c r="AT41" i="56"/>
  <c r="AR41" i="56"/>
  <c r="AT40" i="56"/>
  <c r="AR40" i="56"/>
  <c r="AT39" i="56"/>
  <c r="AR39" i="56"/>
  <c r="AT38" i="56"/>
  <c r="AR38" i="56"/>
  <c r="AT37" i="56"/>
  <c r="AR37" i="56"/>
  <c r="AT36" i="56"/>
  <c r="AR36" i="56"/>
  <c r="AT35" i="56"/>
  <c r="AR35" i="56"/>
  <c r="AT34" i="56"/>
  <c r="AR34" i="56"/>
  <c r="AT33" i="56"/>
  <c r="AR33" i="56"/>
  <c r="AT32" i="56"/>
  <c r="AR32" i="56"/>
  <c r="AT31" i="56"/>
  <c r="AR31" i="56"/>
  <c r="AT30" i="56"/>
  <c r="AR30" i="56"/>
  <c r="AT29" i="56"/>
  <c r="AR29" i="56"/>
  <c r="AT28" i="56"/>
  <c r="AR28" i="56"/>
  <c r="AT27" i="56"/>
  <c r="AR27" i="56"/>
  <c r="AT26" i="56"/>
  <c r="AR26" i="56"/>
  <c r="AT25" i="56"/>
  <c r="AR25" i="56"/>
  <c r="AT24" i="56"/>
  <c r="AR24" i="56"/>
  <c r="AT23" i="56"/>
  <c r="AR23" i="56"/>
  <c r="AT22" i="56"/>
  <c r="AR22" i="56"/>
  <c r="AT21" i="56"/>
  <c r="AR21" i="56"/>
  <c r="AT20" i="56"/>
  <c r="AR20" i="56"/>
  <c r="AT19" i="56"/>
  <c r="AR19" i="56"/>
  <c r="AT18" i="56"/>
  <c r="AR18" i="56"/>
  <c r="AT17" i="56"/>
  <c r="AR17" i="56"/>
  <c r="AT16" i="56"/>
  <c r="AR16" i="56"/>
  <c r="AT15" i="56"/>
  <c r="AR15" i="56"/>
  <c r="AT14" i="56"/>
  <c r="AR14" i="56"/>
  <c r="AT13" i="56"/>
  <c r="AR13" i="56"/>
  <c r="AT12" i="56"/>
  <c r="AR12" i="56"/>
  <c r="AT11" i="56"/>
  <c r="AR11" i="56"/>
  <c r="AT10" i="56"/>
  <c r="AR10" i="56"/>
  <c r="AT9" i="56"/>
  <c r="AR9" i="56"/>
  <c r="AT8" i="56"/>
  <c r="AR8" i="56"/>
  <c r="AT7" i="56"/>
  <c r="AR7" i="56"/>
  <c r="AT6" i="56"/>
  <c r="AR6" i="56"/>
  <c r="AT5" i="56"/>
  <c r="AR5" i="56"/>
  <c r="AT4" i="56"/>
  <c r="AR4" i="56"/>
  <c r="AO461" i="56"/>
  <c r="AV461" i="56" s="1"/>
  <c r="AN461" i="56"/>
  <c r="AU461" i="56" s="1"/>
  <c r="AM461" i="56"/>
  <c r="AL461" i="56"/>
  <c r="AK461" i="56"/>
  <c r="AJ461" i="56"/>
  <c r="AI461" i="56"/>
  <c r="AS461" i="56" s="1"/>
  <c r="AO460" i="56"/>
  <c r="AV460" i="56" s="1"/>
  <c r="AN460" i="56"/>
  <c r="AU460" i="56" s="1"/>
  <c r="AM460" i="56"/>
  <c r="AL460" i="56"/>
  <c r="AK460" i="56"/>
  <c r="AJ460" i="56"/>
  <c r="AI460" i="56"/>
  <c r="AS460" i="56" s="1"/>
  <c r="AO459" i="56"/>
  <c r="AV459" i="56" s="1"/>
  <c r="AN459" i="56"/>
  <c r="AU459" i="56" s="1"/>
  <c r="AM459" i="56"/>
  <c r="AL459" i="56"/>
  <c r="AK459" i="56"/>
  <c r="AJ459" i="56"/>
  <c r="AI459" i="56"/>
  <c r="AS459" i="56" s="1"/>
  <c r="AO458" i="56"/>
  <c r="AV458" i="56" s="1"/>
  <c r="AN458" i="56"/>
  <c r="AU458" i="56" s="1"/>
  <c r="AM458" i="56"/>
  <c r="AL458" i="56"/>
  <c r="AK458" i="56"/>
  <c r="AJ458" i="56"/>
  <c r="AI458" i="56"/>
  <c r="AS458" i="56" s="1"/>
  <c r="AO457" i="56"/>
  <c r="AV457" i="56" s="1"/>
  <c r="AN457" i="56"/>
  <c r="AU457" i="56" s="1"/>
  <c r="AM457" i="56"/>
  <c r="AL457" i="56"/>
  <c r="AK457" i="56"/>
  <c r="AJ457" i="56"/>
  <c r="AI457" i="56"/>
  <c r="AS457" i="56" s="1"/>
  <c r="AO456" i="56"/>
  <c r="AV456" i="56" s="1"/>
  <c r="AN456" i="56"/>
  <c r="AU456" i="56" s="1"/>
  <c r="AM456" i="56"/>
  <c r="AL456" i="56"/>
  <c r="AK456" i="56"/>
  <c r="AJ456" i="56"/>
  <c r="AI456" i="56"/>
  <c r="AS456" i="56" s="1"/>
  <c r="AO455" i="56"/>
  <c r="AV455" i="56" s="1"/>
  <c r="AN455" i="56"/>
  <c r="AU455" i="56" s="1"/>
  <c r="AM455" i="56"/>
  <c r="AL455" i="56"/>
  <c r="AK455" i="56"/>
  <c r="AJ455" i="56"/>
  <c r="AI455" i="56"/>
  <c r="AS455" i="56" s="1"/>
  <c r="AO454" i="56"/>
  <c r="AV454" i="56" s="1"/>
  <c r="AN454" i="56"/>
  <c r="AU454" i="56" s="1"/>
  <c r="AM454" i="56"/>
  <c r="AL454" i="56"/>
  <c r="AK454" i="56"/>
  <c r="AJ454" i="56"/>
  <c r="AI454" i="56"/>
  <c r="AS454" i="56" s="1"/>
  <c r="AO453" i="56"/>
  <c r="AV453" i="56" s="1"/>
  <c r="AN453" i="56"/>
  <c r="AU453" i="56" s="1"/>
  <c r="AM453" i="56"/>
  <c r="AL453" i="56"/>
  <c r="AK453" i="56"/>
  <c r="AJ453" i="56"/>
  <c r="AI453" i="56"/>
  <c r="AS453" i="56" s="1"/>
  <c r="AO452" i="56"/>
  <c r="AV452" i="56" s="1"/>
  <c r="AN452" i="56"/>
  <c r="AU452" i="56" s="1"/>
  <c r="AM452" i="56"/>
  <c r="AL452" i="56"/>
  <c r="AK452" i="56"/>
  <c r="AJ452" i="56"/>
  <c r="AI452" i="56"/>
  <c r="AS452" i="56" s="1"/>
  <c r="AO451" i="56"/>
  <c r="AV451" i="56" s="1"/>
  <c r="AN451" i="56"/>
  <c r="AU451" i="56" s="1"/>
  <c r="AM451" i="56"/>
  <c r="AL451" i="56"/>
  <c r="AK451" i="56"/>
  <c r="AJ451" i="56"/>
  <c r="AI451" i="56"/>
  <c r="AS451" i="56" s="1"/>
  <c r="AO450" i="56"/>
  <c r="AV450" i="56" s="1"/>
  <c r="AN450" i="56"/>
  <c r="AU450" i="56" s="1"/>
  <c r="AM450" i="56"/>
  <c r="AL450" i="56"/>
  <c r="AK450" i="56"/>
  <c r="AJ450" i="56"/>
  <c r="AI450" i="56"/>
  <c r="AS450" i="56" s="1"/>
  <c r="AO449" i="56"/>
  <c r="AV449" i="56" s="1"/>
  <c r="AN449" i="56"/>
  <c r="AU449" i="56" s="1"/>
  <c r="AM449" i="56"/>
  <c r="AL449" i="56"/>
  <c r="AK449" i="56"/>
  <c r="AJ449" i="56"/>
  <c r="AI449" i="56"/>
  <c r="AS449" i="56" s="1"/>
  <c r="AO448" i="56"/>
  <c r="AV448" i="56" s="1"/>
  <c r="AN448" i="56"/>
  <c r="AU448" i="56" s="1"/>
  <c r="AM448" i="56"/>
  <c r="AL448" i="56"/>
  <c r="AK448" i="56"/>
  <c r="AJ448" i="56"/>
  <c r="AI448" i="56"/>
  <c r="AS448" i="56" s="1"/>
  <c r="AO447" i="56"/>
  <c r="AV447" i="56" s="1"/>
  <c r="AN447" i="56"/>
  <c r="AU447" i="56" s="1"/>
  <c r="AM447" i="56"/>
  <c r="AL447" i="56"/>
  <c r="AK447" i="56"/>
  <c r="AJ447" i="56"/>
  <c r="AI447" i="56"/>
  <c r="AS447" i="56" s="1"/>
  <c r="AO446" i="56"/>
  <c r="AV446" i="56" s="1"/>
  <c r="AN446" i="56"/>
  <c r="AU446" i="56" s="1"/>
  <c r="AM446" i="56"/>
  <c r="AL446" i="56"/>
  <c r="AK446" i="56"/>
  <c r="AJ446" i="56"/>
  <c r="AI446" i="56"/>
  <c r="AS446" i="56" s="1"/>
  <c r="AO445" i="56"/>
  <c r="AV445" i="56" s="1"/>
  <c r="AN445" i="56"/>
  <c r="AU445" i="56" s="1"/>
  <c r="AM445" i="56"/>
  <c r="AL445" i="56"/>
  <c r="AK445" i="56"/>
  <c r="AJ445" i="56"/>
  <c r="AI445" i="56"/>
  <c r="AS445" i="56" s="1"/>
  <c r="AO444" i="56"/>
  <c r="AV444" i="56" s="1"/>
  <c r="AN444" i="56"/>
  <c r="AU444" i="56" s="1"/>
  <c r="AM444" i="56"/>
  <c r="AL444" i="56"/>
  <c r="AK444" i="56"/>
  <c r="AJ444" i="56"/>
  <c r="AI444" i="56"/>
  <c r="AS444" i="56" s="1"/>
  <c r="AO443" i="56"/>
  <c r="AV443" i="56" s="1"/>
  <c r="AN443" i="56"/>
  <c r="AU443" i="56" s="1"/>
  <c r="AM443" i="56"/>
  <c r="AL443" i="56"/>
  <c r="AK443" i="56"/>
  <c r="AJ443" i="56"/>
  <c r="AI443" i="56"/>
  <c r="AS443" i="56" s="1"/>
  <c r="AO442" i="56"/>
  <c r="AV442" i="56" s="1"/>
  <c r="AN442" i="56"/>
  <c r="AU442" i="56" s="1"/>
  <c r="AM442" i="56"/>
  <c r="AL442" i="56"/>
  <c r="AK442" i="56"/>
  <c r="AJ442" i="56"/>
  <c r="AI442" i="56"/>
  <c r="AS442" i="56" s="1"/>
  <c r="AO441" i="56"/>
  <c r="AV441" i="56" s="1"/>
  <c r="AN441" i="56"/>
  <c r="AU441" i="56" s="1"/>
  <c r="AM441" i="56"/>
  <c r="AL441" i="56"/>
  <c r="AK441" i="56"/>
  <c r="AJ441" i="56"/>
  <c r="AI441" i="56"/>
  <c r="AS441" i="56" s="1"/>
  <c r="AO440" i="56"/>
  <c r="AV440" i="56" s="1"/>
  <c r="AN440" i="56"/>
  <c r="AU440" i="56" s="1"/>
  <c r="AM440" i="56"/>
  <c r="AL440" i="56"/>
  <c r="AK440" i="56"/>
  <c r="AJ440" i="56"/>
  <c r="AI440" i="56"/>
  <c r="AS440" i="56" s="1"/>
  <c r="AO439" i="56"/>
  <c r="AV439" i="56" s="1"/>
  <c r="AN439" i="56"/>
  <c r="AU439" i="56" s="1"/>
  <c r="AM439" i="56"/>
  <c r="AL439" i="56"/>
  <c r="AK439" i="56"/>
  <c r="AJ439" i="56"/>
  <c r="AI439" i="56"/>
  <c r="AS439" i="56" s="1"/>
  <c r="AO438" i="56"/>
  <c r="AV438" i="56" s="1"/>
  <c r="AN438" i="56"/>
  <c r="AU438" i="56" s="1"/>
  <c r="AM438" i="56"/>
  <c r="AL438" i="56"/>
  <c r="AK438" i="56"/>
  <c r="AJ438" i="56"/>
  <c r="AI438" i="56"/>
  <c r="AS438" i="56" s="1"/>
  <c r="AO437" i="56"/>
  <c r="AV437" i="56" s="1"/>
  <c r="AN437" i="56"/>
  <c r="AU437" i="56" s="1"/>
  <c r="AM437" i="56"/>
  <c r="AL437" i="56"/>
  <c r="AK437" i="56"/>
  <c r="AJ437" i="56"/>
  <c r="AI437" i="56"/>
  <c r="AS437" i="56" s="1"/>
  <c r="AO436" i="56"/>
  <c r="AV436" i="56" s="1"/>
  <c r="AN436" i="56"/>
  <c r="AU436" i="56" s="1"/>
  <c r="AM436" i="56"/>
  <c r="AL436" i="56"/>
  <c r="AK436" i="56"/>
  <c r="AJ436" i="56"/>
  <c r="AI436" i="56"/>
  <c r="AS436" i="56" s="1"/>
  <c r="AO435" i="56"/>
  <c r="AV435" i="56" s="1"/>
  <c r="AN435" i="56"/>
  <c r="AU435" i="56" s="1"/>
  <c r="AM435" i="56"/>
  <c r="AL435" i="56"/>
  <c r="AK435" i="56"/>
  <c r="AJ435" i="56"/>
  <c r="AI435" i="56"/>
  <c r="AS435" i="56" s="1"/>
  <c r="AO434" i="56"/>
  <c r="AV434" i="56" s="1"/>
  <c r="AN434" i="56"/>
  <c r="AU434" i="56" s="1"/>
  <c r="AM434" i="56"/>
  <c r="AL434" i="56"/>
  <c r="AK434" i="56"/>
  <c r="AJ434" i="56"/>
  <c r="AI434" i="56"/>
  <c r="AS434" i="56" s="1"/>
  <c r="AO433" i="56"/>
  <c r="AV433" i="56" s="1"/>
  <c r="AN433" i="56"/>
  <c r="AU433" i="56" s="1"/>
  <c r="AM433" i="56"/>
  <c r="AL433" i="56"/>
  <c r="AK433" i="56"/>
  <c r="AJ433" i="56"/>
  <c r="AI433" i="56"/>
  <c r="AS433" i="56" s="1"/>
  <c r="AO432" i="56"/>
  <c r="AV432" i="56" s="1"/>
  <c r="AN432" i="56"/>
  <c r="AU432" i="56" s="1"/>
  <c r="AM432" i="56"/>
  <c r="AL432" i="56"/>
  <c r="AK432" i="56"/>
  <c r="AJ432" i="56"/>
  <c r="AI432" i="56"/>
  <c r="AS432" i="56" s="1"/>
  <c r="AO431" i="56"/>
  <c r="AV431" i="56" s="1"/>
  <c r="AN431" i="56"/>
  <c r="AU431" i="56" s="1"/>
  <c r="AM431" i="56"/>
  <c r="AL431" i="56"/>
  <c r="AK431" i="56"/>
  <c r="AJ431" i="56"/>
  <c r="AI431" i="56"/>
  <c r="AS431" i="56" s="1"/>
  <c r="AO430" i="56"/>
  <c r="AV430" i="56" s="1"/>
  <c r="AN430" i="56"/>
  <c r="AU430" i="56" s="1"/>
  <c r="AM430" i="56"/>
  <c r="AL430" i="56"/>
  <c r="AK430" i="56"/>
  <c r="AJ430" i="56"/>
  <c r="AI430" i="56"/>
  <c r="AS430" i="56" s="1"/>
  <c r="AO429" i="56"/>
  <c r="AV429" i="56" s="1"/>
  <c r="AN429" i="56"/>
  <c r="AU429" i="56" s="1"/>
  <c r="AM429" i="56"/>
  <c r="AL429" i="56"/>
  <c r="AK429" i="56"/>
  <c r="AJ429" i="56"/>
  <c r="AI429" i="56"/>
  <c r="AS429" i="56" s="1"/>
  <c r="AO428" i="56"/>
  <c r="AV428" i="56" s="1"/>
  <c r="AN428" i="56"/>
  <c r="AU428" i="56" s="1"/>
  <c r="AM428" i="56"/>
  <c r="AL428" i="56"/>
  <c r="AK428" i="56"/>
  <c r="AJ428" i="56"/>
  <c r="AI428" i="56"/>
  <c r="AS428" i="56" s="1"/>
  <c r="AO427" i="56"/>
  <c r="AV427" i="56" s="1"/>
  <c r="AN427" i="56"/>
  <c r="AU427" i="56" s="1"/>
  <c r="AM427" i="56"/>
  <c r="AL427" i="56"/>
  <c r="AK427" i="56"/>
  <c r="AJ427" i="56"/>
  <c r="AI427" i="56"/>
  <c r="AS427" i="56" s="1"/>
  <c r="AO426" i="56"/>
  <c r="AV426" i="56" s="1"/>
  <c r="AN426" i="56"/>
  <c r="AU426" i="56" s="1"/>
  <c r="AM426" i="56"/>
  <c r="AL426" i="56"/>
  <c r="AK426" i="56"/>
  <c r="AJ426" i="56"/>
  <c r="AI426" i="56"/>
  <c r="AS426" i="56" s="1"/>
  <c r="AO425" i="56"/>
  <c r="AV425" i="56" s="1"/>
  <c r="AN425" i="56"/>
  <c r="AU425" i="56" s="1"/>
  <c r="AM425" i="56"/>
  <c r="AL425" i="56"/>
  <c r="AK425" i="56"/>
  <c r="AJ425" i="56"/>
  <c r="AI425" i="56"/>
  <c r="AS425" i="56" s="1"/>
  <c r="AO424" i="56"/>
  <c r="AV424" i="56" s="1"/>
  <c r="AN424" i="56"/>
  <c r="AU424" i="56" s="1"/>
  <c r="AM424" i="56"/>
  <c r="AL424" i="56"/>
  <c r="AK424" i="56"/>
  <c r="AJ424" i="56"/>
  <c r="AI424" i="56"/>
  <c r="AS424" i="56" s="1"/>
  <c r="AO423" i="56"/>
  <c r="AV423" i="56" s="1"/>
  <c r="AN423" i="56"/>
  <c r="AU423" i="56" s="1"/>
  <c r="AM423" i="56"/>
  <c r="AL423" i="56"/>
  <c r="AK423" i="56"/>
  <c r="AJ423" i="56"/>
  <c r="AI423" i="56"/>
  <c r="AS423" i="56" s="1"/>
  <c r="AO422" i="56"/>
  <c r="AV422" i="56" s="1"/>
  <c r="AN422" i="56"/>
  <c r="AU422" i="56" s="1"/>
  <c r="AM422" i="56"/>
  <c r="AL422" i="56"/>
  <c r="AK422" i="56"/>
  <c r="AJ422" i="56"/>
  <c r="AI422" i="56"/>
  <c r="AS422" i="56" s="1"/>
  <c r="AO421" i="56"/>
  <c r="AV421" i="56" s="1"/>
  <c r="AN421" i="56"/>
  <c r="AU421" i="56" s="1"/>
  <c r="AM421" i="56"/>
  <c r="AL421" i="56"/>
  <c r="AK421" i="56"/>
  <c r="AJ421" i="56"/>
  <c r="AI421" i="56"/>
  <c r="AS421" i="56" s="1"/>
  <c r="AO420" i="56"/>
  <c r="AV420" i="56" s="1"/>
  <c r="AN420" i="56"/>
  <c r="AU420" i="56" s="1"/>
  <c r="AM420" i="56"/>
  <c r="AL420" i="56"/>
  <c r="AK420" i="56"/>
  <c r="AJ420" i="56"/>
  <c r="AI420" i="56"/>
  <c r="AS420" i="56" s="1"/>
  <c r="AO419" i="56"/>
  <c r="AV419" i="56" s="1"/>
  <c r="AN419" i="56"/>
  <c r="AU419" i="56" s="1"/>
  <c r="AM419" i="56"/>
  <c r="AL419" i="56"/>
  <c r="AK419" i="56"/>
  <c r="AJ419" i="56"/>
  <c r="AI419" i="56"/>
  <c r="AS419" i="56" s="1"/>
  <c r="AO418" i="56"/>
  <c r="AV418" i="56" s="1"/>
  <c r="AN418" i="56"/>
  <c r="AU418" i="56" s="1"/>
  <c r="AM418" i="56"/>
  <c r="AL418" i="56"/>
  <c r="AK418" i="56"/>
  <c r="AJ418" i="56"/>
  <c r="AI418" i="56"/>
  <c r="AS418" i="56" s="1"/>
  <c r="AO417" i="56"/>
  <c r="AV417" i="56" s="1"/>
  <c r="AN417" i="56"/>
  <c r="AU417" i="56" s="1"/>
  <c r="AM417" i="56"/>
  <c r="AL417" i="56"/>
  <c r="AK417" i="56"/>
  <c r="AJ417" i="56"/>
  <c r="AI417" i="56"/>
  <c r="AS417" i="56" s="1"/>
  <c r="AO416" i="56"/>
  <c r="AV416" i="56" s="1"/>
  <c r="AN416" i="56"/>
  <c r="AU416" i="56" s="1"/>
  <c r="AM416" i="56"/>
  <c r="AL416" i="56"/>
  <c r="AK416" i="56"/>
  <c r="AJ416" i="56"/>
  <c r="AI416" i="56"/>
  <c r="AS416" i="56" s="1"/>
  <c r="AO415" i="56"/>
  <c r="AV415" i="56" s="1"/>
  <c r="AN415" i="56"/>
  <c r="AU415" i="56" s="1"/>
  <c r="AM415" i="56"/>
  <c r="AL415" i="56"/>
  <c r="AK415" i="56"/>
  <c r="AJ415" i="56"/>
  <c r="AI415" i="56"/>
  <c r="AS415" i="56" s="1"/>
  <c r="AO414" i="56"/>
  <c r="AV414" i="56" s="1"/>
  <c r="AN414" i="56"/>
  <c r="AU414" i="56" s="1"/>
  <c r="AM414" i="56"/>
  <c r="AL414" i="56"/>
  <c r="AK414" i="56"/>
  <c r="AJ414" i="56"/>
  <c r="AI414" i="56"/>
  <c r="AS414" i="56" s="1"/>
  <c r="AO413" i="56"/>
  <c r="AV413" i="56" s="1"/>
  <c r="AN413" i="56"/>
  <c r="AU413" i="56" s="1"/>
  <c r="AM413" i="56"/>
  <c r="AL413" i="56"/>
  <c r="AK413" i="56"/>
  <c r="AJ413" i="56"/>
  <c r="AI413" i="56"/>
  <c r="AS413" i="56" s="1"/>
  <c r="AO412" i="56"/>
  <c r="AV412" i="56" s="1"/>
  <c r="AN412" i="56"/>
  <c r="AU412" i="56" s="1"/>
  <c r="AM412" i="56"/>
  <c r="AL412" i="56"/>
  <c r="AK412" i="56"/>
  <c r="AJ412" i="56"/>
  <c r="AI412" i="56"/>
  <c r="AS412" i="56" s="1"/>
  <c r="AO411" i="56"/>
  <c r="AV411" i="56" s="1"/>
  <c r="AN411" i="56"/>
  <c r="AU411" i="56" s="1"/>
  <c r="AM411" i="56"/>
  <c r="AL411" i="56"/>
  <c r="AK411" i="56"/>
  <c r="AJ411" i="56"/>
  <c r="AI411" i="56"/>
  <c r="AS411" i="56" s="1"/>
  <c r="AO410" i="56"/>
  <c r="AV410" i="56" s="1"/>
  <c r="AN410" i="56"/>
  <c r="AU410" i="56" s="1"/>
  <c r="AM410" i="56"/>
  <c r="AL410" i="56"/>
  <c r="AK410" i="56"/>
  <c r="AJ410" i="56"/>
  <c r="AI410" i="56"/>
  <c r="AS410" i="56" s="1"/>
  <c r="AO409" i="56"/>
  <c r="AV409" i="56" s="1"/>
  <c r="AN409" i="56"/>
  <c r="AU409" i="56" s="1"/>
  <c r="AM409" i="56"/>
  <c r="AL409" i="56"/>
  <c r="AK409" i="56"/>
  <c r="AJ409" i="56"/>
  <c r="AI409" i="56"/>
  <c r="AS409" i="56" s="1"/>
  <c r="AO408" i="56"/>
  <c r="AV408" i="56" s="1"/>
  <c r="AN408" i="56"/>
  <c r="AU408" i="56" s="1"/>
  <c r="AM408" i="56"/>
  <c r="AL408" i="56"/>
  <c r="AK408" i="56"/>
  <c r="AJ408" i="56"/>
  <c r="AI408" i="56"/>
  <c r="AS408" i="56" s="1"/>
  <c r="AO407" i="56"/>
  <c r="AV407" i="56" s="1"/>
  <c r="AN407" i="56"/>
  <c r="AU407" i="56" s="1"/>
  <c r="AM407" i="56"/>
  <c r="AL407" i="56"/>
  <c r="AK407" i="56"/>
  <c r="AJ407" i="56"/>
  <c r="AI407" i="56"/>
  <c r="AS407" i="56" s="1"/>
  <c r="AO406" i="56"/>
  <c r="AV406" i="56" s="1"/>
  <c r="AN406" i="56"/>
  <c r="AU406" i="56" s="1"/>
  <c r="AM406" i="56"/>
  <c r="AL406" i="56"/>
  <c r="AK406" i="56"/>
  <c r="AJ406" i="56"/>
  <c r="AI406" i="56"/>
  <c r="AS406" i="56" s="1"/>
  <c r="AO405" i="56"/>
  <c r="AV405" i="56" s="1"/>
  <c r="AN405" i="56"/>
  <c r="AU405" i="56" s="1"/>
  <c r="AM405" i="56"/>
  <c r="AL405" i="56"/>
  <c r="AK405" i="56"/>
  <c r="AJ405" i="56"/>
  <c r="AI405" i="56"/>
  <c r="AS405" i="56" s="1"/>
  <c r="AO404" i="56"/>
  <c r="AV404" i="56" s="1"/>
  <c r="AN404" i="56"/>
  <c r="AU404" i="56" s="1"/>
  <c r="AM404" i="56"/>
  <c r="AL404" i="56"/>
  <c r="AK404" i="56"/>
  <c r="AJ404" i="56"/>
  <c r="AI404" i="56"/>
  <c r="AS404" i="56" s="1"/>
  <c r="AO403" i="56"/>
  <c r="AV403" i="56" s="1"/>
  <c r="AN403" i="56"/>
  <c r="AU403" i="56" s="1"/>
  <c r="AM403" i="56"/>
  <c r="AL403" i="56"/>
  <c r="AK403" i="56"/>
  <c r="AJ403" i="56"/>
  <c r="AI403" i="56"/>
  <c r="AS403" i="56" s="1"/>
  <c r="AO402" i="56"/>
  <c r="AV402" i="56" s="1"/>
  <c r="AN402" i="56"/>
  <c r="AU402" i="56" s="1"/>
  <c r="AM402" i="56"/>
  <c r="AL402" i="56"/>
  <c r="AK402" i="56"/>
  <c r="AJ402" i="56"/>
  <c r="AI402" i="56"/>
  <c r="AS402" i="56" s="1"/>
  <c r="AO401" i="56"/>
  <c r="AV401" i="56" s="1"/>
  <c r="AN401" i="56"/>
  <c r="AU401" i="56" s="1"/>
  <c r="AM401" i="56"/>
  <c r="AL401" i="56"/>
  <c r="AK401" i="56"/>
  <c r="AJ401" i="56"/>
  <c r="AI401" i="56"/>
  <c r="AS401" i="56" s="1"/>
  <c r="AO400" i="56"/>
  <c r="AV400" i="56" s="1"/>
  <c r="AN400" i="56"/>
  <c r="AU400" i="56" s="1"/>
  <c r="AM400" i="56"/>
  <c r="AL400" i="56"/>
  <c r="AK400" i="56"/>
  <c r="AJ400" i="56"/>
  <c r="AI400" i="56"/>
  <c r="AS400" i="56" s="1"/>
  <c r="AO399" i="56"/>
  <c r="AV399" i="56" s="1"/>
  <c r="AN399" i="56"/>
  <c r="AU399" i="56" s="1"/>
  <c r="AM399" i="56"/>
  <c r="AL399" i="56"/>
  <c r="AK399" i="56"/>
  <c r="AJ399" i="56"/>
  <c r="AI399" i="56"/>
  <c r="AS399" i="56" s="1"/>
  <c r="AO398" i="56"/>
  <c r="AV398" i="56" s="1"/>
  <c r="AN398" i="56"/>
  <c r="AU398" i="56" s="1"/>
  <c r="AM398" i="56"/>
  <c r="AL398" i="56"/>
  <c r="AK398" i="56"/>
  <c r="AJ398" i="56"/>
  <c r="AI398" i="56"/>
  <c r="AS398" i="56" s="1"/>
  <c r="AO397" i="56"/>
  <c r="AV397" i="56" s="1"/>
  <c r="AN397" i="56"/>
  <c r="AU397" i="56" s="1"/>
  <c r="AM397" i="56"/>
  <c r="AL397" i="56"/>
  <c r="AK397" i="56"/>
  <c r="AJ397" i="56"/>
  <c r="AI397" i="56"/>
  <c r="AS397" i="56" s="1"/>
  <c r="AO396" i="56"/>
  <c r="AV396" i="56" s="1"/>
  <c r="AN396" i="56"/>
  <c r="AU396" i="56" s="1"/>
  <c r="AM396" i="56"/>
  <c r="AL396" i="56"/>
  <c r="AK396" i="56"/>
  <c r="AJ396" i="56"/>
  <c r="AI396" i="56"/>
  <c r="AS396" i="56" s="1"/>
  <c r="AO395" i="56"/>
  <c r="AV395" i="56" s="1"/>
  <c r="AN395" i="56"/>
  <c r="AU395" i="56" s="1"/>
  <c r="AM395" i="56"/>
  <c r="AL395" i="56"/>
  <c r="AK395" i="56"/>
  <c r="AJ395" i="56"/>
  <c r="AI395" i="56"/>
  <c r="AS395" i="56" s="1"/>
  <c r="AO394" i="56"/>
  <c r="AV394" i="56" s="1"/>
  <c r="AN394" i="56"/>
  <c r="AU394" i="56" s="1"/>
  <c r="AM394" i="56"/>
  <c r="AL394" i="56"/>
  <c r="AK394" i="56"/>
  <c r="AJ394" i="56"/>
  <c r="AI394" i="56"/>
  <c r="AS394" i="56" s="1"/>
  <c r="AO393" i="56"/>
  <c r="AV393" i="56" s="1"/>
  <c r="AN393" i="56"/>
  <c r="AU393" i="56" s="1"/>
  <c r="AM393" i="56"/>
  <c r="AL393" i="56"/>
  <c r="AK393" i="56"/>
  <c r="AJ393" i="56"/>
  <c r="AI393" i="56"/>
  <c r="AS393" i="56" s="1"/>
  <c r="AO392" i="56"/>
  <c r="AV392" i="56" s="1"/>
  <c r="AN392" i="56"/>
  <c r="AU392" i="56" s="1"/>
  <c r="AM392" i="56"/>
  <c r="AL392" i="56"/>
  <c r="AK392" i="56"/>
  <c r="AJ392" i="56"/>
  <c r="AI392" i="56"/>
  <c r="AS392" i="56" s="1"/>
  <c r="AO391" i="56"/>
  <c r="AV391" i="56" s="1"/>
  <c r="AN391" i="56"/>
  <c r="AU391" i="56" s="1"/>
  <c r="AM391" i="56"/>
  <c r="AL391" i="56"/>
  <c r="AK391" i="56"/>
  <c r="AJ391" i="56"/>
  <c r="AI391" i="56"/>
  <c r="AS391" i="56" s="1"/>
  <c r="AO390" i="56"/>
  <c r="AV390" i="56" s="1"/>
  <c r="AN390" i="56"/>
  <c r="AU390" i="56" s="1"/>
  <c r="AM390" i="56"/>
  <c r="AL390" i="56"/>
  <c r="AK390" i="56"/>
  <c r="AJ390" i="56"/>
  <c r="AI390" i="56"/>
  <c r="AS390" i="56" s="1"/>
  <c r="AO389" i="56"/>
  <c r="AV389" i="56" s="1"/>
  <c r="AN389" i="56"/>
  <c r="AU389" i="56" s="1"/>
  <c r="AM389" i="56"/>
  <c r="AL389" i="56"/>
  <c r="AK389" i="56"/>
  <c r="AJ389" i="56"/>
  <c r="AI389" i="56"/>
  <c r="AS389" i="56" s="1"/>
  <c r="AO388" i="56"/>
  <c r="AV388" i="56" s="1"/>
  <c r="AN388" i="56"/>
  <c r="AU388" i="56" s="1"/>
  <c r="AM388" i="56"/>
  <c r="AL388" i="56"/>
  <c r="AK388" i="56"/>
  <c r="AJ388" i="56"/>
  <c r="AI388" i="56"/>
  <c r="AS388" i="56" s="1"/>
  <c r="AO387" i="56"/>
  <c r="AV387" i="56" s="1"/>
  <c r="AN387" i="56"/>
  <c r="AU387" i="56" s="1"/>
  <c r="AM387" i="56"/>
  <c r="AL387" i="56"/>
  <c r="AK387" i="56"/>
  <c r="AJ387" i="56"/>
  <c r="AI387" i="56"/>
  <c r="AS387" i="56" s="1"/>
  <c r="AO386" i="56"/>
  <c r="AV386" i="56" s="1"/>
  <c r="AN386" i="56"/>
  <c r="AU386" i="56" s="1"/>
  <c r="AM386" i="56"/>
  <c r="AL386" i="56"/>
  <c r="AK386" i="56"/>
  <c r="AJ386" i="56"/>
  <c r="AI386" i="56"/>
  <c r="AS386" i="56" s="1"/>
  <c r="AO385" i="56"/>
  <c r="AV385" i="56" s="1"/>
  <c r="AN385" i="56"/>
  <c r="AU385" i="56" s="1"/>
  <c r="AM385" i="56"/>
  <c r="AL385" i="56"/>
  <c r="AK385" i="56"/>
  <c r="AJ385" i="56"/>
  <c r="AI385" i="56"/>
  <c r="AS385" i="56" s="1"/>
  <c r="AO384" i="56"/>
  <c r="AV384" i="56" s="1"/>
  <c r="AN384" i="56"/>
  <c r="AU384" i="56" s="1"/>
  <c r="AM384" i="56"/>
  <c r="AL384" i="56"/>
  <c r="AK384" i="56"/>
  <c r="AJ384" i="56"/>
  <c r="AI384" i="56"/>
  <c r="AS384" i="56" s="1"/>
  <c r="AO383" i="56"/>
  <c r="AV383" i="56" s="1"/>
  <c r="AN383" i="56"/>
  <c r="AU383" i="56" s="1"/>
  <c r="AM383" i="56"/>
  <c r="AL383" i="56"/>
  <c r="AK383" i="56"/>
  <c r="AJ383" i="56"/>
  <c r="AI383" i="56"/>
  <c r="AS383" i="56" s="1"/>
  <c r="AO382" i="56"/>
  <c r="AV382" i="56" s="1"/>
  <c r="AN382" i="56"/>
  <c r="AU382" i="56" s="1"/>
  <c r="AM382" i="56"/>
  <c r="AL382" i="56"/>
  <c r="AK382" i="56"/>
  <c r="AJ382" i="56"/>
  <c r="AI382" i="56"/>
  <c r="AS382" i="56" s="1"/>
  <c r="AO381" i="56"/>
  <c r="AV381" i="56" s="1"/>
  <c r="AN381" i="56"/>
  <c r="AU381" i="56" s="1"/>
  <c r="AM381" i="56"/>
  <c r="AL381" i="56"/>
  <c r="AK381" i="56"/>
  <c r="AJ381" i="56"/>
  <c r="AI381" i="56"/>
  <c r="AS381" i="56" s="1"/>
  <c r="AO380" i="56"/>
  <c r="AV380" i="56" s="1"/>
  <c r="AN380" i="56"/>
  <c r="AU380" i="56" s="1"/>
  <c r="AM380" i="56"/>
  <c r="AL380" i="56"/>
  <c r="AK380" i="56"/>
  <c r="AJ380" i="56"/>
  <c r="AI380" i="56"/>
  <c r="AS380" i="56" s="1"/>
  <c r="AO379" i="56"/>
  <c r="AV379" i="56" s="1"/>
  <c r="AN379" i="56"/>
  <c r="AU379" i="56" s="1"/>
  <c r="AM379" i="56"/>
  <c r="AL379" i="56"/>
  <c r="AK379" i="56"/>
  <c r="AJ379" i="56"/>
  <c r="AI379" i="56"/>
  <c r="AS379" i="56" s="1"/>
  <c r="AO378" i="56"/>
  <c r="AV378" i="56" s="1"/>
  <c r="AN378" i="56"/>
  <c r="AU378" i="56" s="1"/>
  <c r="AM378" i="56"/>
  <c r="AL378" i="56"/>
  <c r="AK378" i="56"/>
  <c r="AJ378" i="56"/>
  <c r="AI378" i="56"/>
  <c r="AS378" i="56" s="1"/>
  <c r="AO377" i="56"/>
  <c r="AV377" i="56" s="1"/>
  <c r="AN377" i="56"/>
  <c r="AU377" i="56" s="1"/>
  <c r="AM377" i="56"/>
  <c r="AL377" i="56"/>
  <c r="AK377" i="56"/>
  <c r="AJ377" i="56"/>
  <c r="AI377" i="56"/>
  <c r="AS377" i="56" s="1"/>
  <c r="AO376" i="56"/>
  <c r="AV376" i="56" s="1"/>
  <c r="AN376" i="56"/>
  <c r="AU376" i="56" s="1"/>
  <c r="AM376" i="56"/>
  <c r="AL376" i="56"/>
  <c r="AK376" i="56"/>
  <c r="AJ376" i="56"/>
  <c r="AI376" i="56"/>
  <c r="AS376" i="56" s="1"/>
  <c r="AO375" i="56"/>
  <c r="AV375" i="56" s="1"/>
  <c r="AN375" i="56"/>
  <c r="AU375" i="56" s="1"/>
  <c r="AM375" i="56"/>
  <c r="AL375" i="56"/>
  <c r="AK375" i="56"/>
  <c r="AJ375" i="56"/>
  <c r="AI375" i="56"/>
  <c r="AS375" i="56" s="1"/>
  <c r="AO374" i="56"/>
  <c r="AV374" i="56" s="1"/>
  <c r="AN374" i="56"/>
  <c r="AU374" i="56" s="1"/>
  <c r="AM374" i="56"/>
  <c r="AL374" i="56"/>
  <c r="AK374" i="56"/>
  <c r="AJ374" i="56"/>
  <c r="AI374" i="56"/>
  <c r="AS374" i="56" s="1"/>
  <c r="AO373" i="56"/>
  <c r="AV373" i="56" s="1"/>
  <c r="AN373" i="56"/>
  <c r="AU373" i="56" s="1"/>
  <c r="AM373" i="56"/>
  <c r="AL373" i="56"/>
  <c r="AK373" i="56"/>
  <c r="AJ373" i="56"/>
  <c r="AI373" i="56"/>
  <c r="AS373" i="56" s="1"/>
  <c r="AO372" i="56"/>
  <c r="AV372" i="56" s="1"/>
  <c r="AN372" i="56"/>
  <c r="AU372" i="56" s="1"/>
  <c r="AM372" i="56"/>
  <c r="AL372" i="56"/>
  <c r="AK372" i="56"/>
  <c r="AJ372" i="56"/>
  <c r="AI372" i="56"/>
  <c r="AS372" i="56" s="1"/>
  <c r="AO371" i="56"/>
  <c r="AV371" i="56" s="1"/>
  <c r="AN371" i="56"/>
  <c r="AU371" i="56" s="1"/>
  <c r="AM371" i="56"/>
  <c r="AL371" i="56"/>
  <c r="AK371" i="56"/>
  <c r="AJ371" i="56"/>
  <c r="AI371" i="56"/>
  <c r="AS371" i="56" s="1"/>
  <c r="AO370" i="56"/>
  <c r="AV370" i="56" s="1"/>
  <c r="AN370" i="56"/>
  <c r="AU370" i="56" s="1"/>
  <c r="AM370" i="56"/>
  <c r="AL370" i="56"/>
  <c r="AK370" i="56"/>
  <c r="AJ370" i="56"/>
  <c r="AI370" i="56"/>
  <c r="AS370" i="56" s="1"/>
  <c r="AO369" i="56"/>
  <c r="AV369" i="56" s="1"/>
  <c r="AN369" i="56"/>
  <c r="AU369" i="56" s="1"/>
  <c r="AM369" i="56"/>
  <c r="AL369" i="56"/>
  <c r="AK369" i="56"/>
  <c r="AJ369" i="56"/>
  <c r="AI369" i="56"/>
  <c r="AS369" i="56" s="1"/>
  <c r="AO368" i="56"/>
  <c r="AV368" i="56" s="1"/>
  <c r="AN368" i="56"/>
  <c r="AU368" i="56" s="1"/>
  <c r="AM368" i="56"/>
  <c r="AL368" i="56"/>
  <c r="AK368" i="56"/>
  <c r="AJ368" i="56"/>
  <c r="AI368" i="56"/>
  <c r="AS368" i="56" s="1"/>
  <c r="AO367" i="56"/>
  <c r="AV367" i="56" s="1"/>
  <c r="AN367" i="56"/>
  <c r="AU367" i="56" s="1"/>
  <c r="AM367" i="56"/>
  <c r="AL367" i="56"/>
  <c r="AK367" i="56"/>
  <c r="AJ367" i="56"/>
  <c r="AI367" i="56"/>
  <c r="AS367" i="56" s="1"/>
  <c r="AO366" i="56"/>
  <c r="AV366" i="56" s="1"/>
  <c r="AN366" i="56"/>
  <c r="AU366" i="56" s="1"/>
  <c r="AM366" i="56"/>
  <c r="AL366" i="56"/>
  <c r="AK366" i="56"/>
  <c r="AJ366" i="56"/>
  <c r="AI366" i="56"/>
  <c r="AS366" i="56" s="1"/>
  <c r="AO365" i="56"/>
  <c r="AV365" i="56" s="1"/>
  <c r="AN365" i="56"/>
  <c r="AU365" i="56" s="1"/>
  <c r="AM365" i="56"/>
  <c r="AL365" i="56"/>
  <c r="AK365" i="56"/>
  <c r="AJ365" i="56"/>
  <c r="AI365" i="56"/>
  <c r="AS365" i="56" s="1"/>
  <c r="AO364" i="56"/>
  <c r="AV364" i="56" s="1"/>
  <c r="AN364" i="56"/>
  <c r="AU364" i="56" s="1"/>
  <c r="AM364" i="56"/>
  <c r="AL364" i="56"/>
  <c r="AK364" i="56"/>
  <c r="AJ364" i="56"/>
  <c r="AI364" i="56"/>
  <c r="AS364" i="56" s="1"/>
  <c r="AO363" i="56"/>
  <c r="AV363" i="56" s="1"/>
  <c r="AN363" i="56"/>
  <c r="AU363" i="56" s="1"/>
  <c r="AM363" i="56"/>
  <c r="AL363" i="56"/>
  <c r="AK363" i="56"/>
  <c r="AJ363" i="56"/>
  <c r="AI363" i="56"/>
  <c r="AS363" i="56" s="1"/>
  <c r="AO362" i="56"/>
  <c r="AV362" i="56" s="1"/>
  <c r="AN362" i="56"/>
  <c r="AU362" i="56" s="1"/>
  <c r="AM362" i="56"/>
  <c r="AL362" i="56"/>
  <c r="AK362" i="56"/>
  <c r="AJ362" i="56"/>
  <c r="AI362" i="56"/>
  <c r="AS362" i="56" s="1"/>
  <c r="AO361" i="56"/>
  <c r="AV361" i="56" s="1"/>
  <c r="AN361" i="56"/>
  <c r="AU361" i="56" s="1"/>
  <c r="AM361" i="56"/>
  <c r="AL361" i="56"/>
  <c r="AK361" i="56"/>
  <c r="AJ361" i="56"/>
  <c r="AI361" i="56"/>
  <c r="AS361" i="56" s="1"/>
  <c r="AO360" i="56"/>
  <c r="AV360" i="56" s="1"/>
  <c r="AN360" i="56"/>
  <c r="AU360" i="56" s="1"/>
  <c r="AM360" i="56"/>
  <c r="AL360" i="56"/>
  <c r="AK360" i="56"/>
  <c r="AJ360" i="56"/>
  <c r="AI360" i="56"/>
  <c r="AS360" i="56" s="1"/>
  <c r="AO359" i="56"/>
  <c r="AV359" i="56" s="1"/>
  <c r="AN359" i="56"/>
  <c r="AU359" i="56" s="1"/>
  <c r="AM359" i="56"/>
  <c r="AL359" i="56"/>
  <c r="AK359" i="56"/>
  <c r="AJ359" i="56"/>
  <c r="AI359" i="56"/>
  <c r="AS359" i="56" s="1"/>
  <c r="AO358" i="56"/>
  <c r="AV358" i="56" s="1"/>
  <c r="AN358" i="56"/>
  <c r="AU358" i="56" s="1"/>
  <c r="AM358" i="56"/>
  <c r="AL358" i="56"/>
  <c r="AK358" i="56"/>
  <c r="AJ358" i="56"/>
  <c r="AI358" i="56"/>
  <c r="AS358" i="56" s="1"/>
  <c r="AO357" i="56"/>
  <c r="AV357" i="56" s="1"/>
  <c r="AN357" i="56"/>
  <c r="AU357" i="56" s="1"/>
  <c r="AM357" i="56"/>
  <c r="AL357" i="56"/>
  <c r="AK357" i="56"/>
  <c r="AJ357" i="56"/>
  <c r="AI357" i="56"/>
  <c r="AS357" i="56" s="1"/>
  <c r="AO356" i="56"/>
  <c r="AV356" i="56" s="1"/>
  <c r="AN356" i="56"/>
  <c r="AU356" i="56" s="1"/>
  <c r="AM356" i="56"/>
  <c r="AL356" i="56"/>
  <c r="AK356" i="56"/>
  <c r="AJ356" i="56"/>
  <c r="AI356" i="56"/>
  <c r="AS356" i="56" s="1"/>
  <c r="AO355" i="56"/>
  <c r="AV355" i="56" s="1"/>
  <c r="AN355" i="56"/>
  <c r="AU355" i="56" s="1"/>
  <c r="AM355" i="56"/>
  <c r="AL355" i="56"/>
  <c r="AK355" i="56"/>
  <c r="AJ355" i="56"/>
  <c r="AI355" i="56"/>
  <c r="AS355" i="56" s="1"/>
  <c r="AO354" i="56"/>
  <c r="AV354" i="56" s="1"/>
  <c r="AN354" i="56"/>
  <c r="AU354" i="56" s="1"/>
  <c r="AM354" i="56"/>
  <c r="AL354" i="56"/>
  <c r="AK354" i="56"/>
  <c r="AJ354" i="56"/>
  <c r="AI354" i="56"/>
  <c r="AS354" i="56" s="1"/>
  <c r="AO353" i="56"/>
  <c r="AV353" i="56" s="1"/>
  <c r="AN353" i="56"/>
  <c r="AU353" i="56" s="1"/>
  <c r="AM353" i="56"/>
  <c r="AL353" i="56"/>
  <c r="AK353" i="56"/>
  <c r="AJ353" i="56"/>
  <c r="AI353" i="56"/>
  <c r="AS353" i="56" s="1"/>
  <c r="AO352" i="56"/>
  <c r="AV352" i="56" s="1"/>
  <c r="AN352" i="56"/>
  <c r="AU352" i="56" s="1"/>
  <c r="AM352" i="56"/>
  <c r="AL352" i="56"/>
  <c r="AK352" i="56"/>
  <c r="AJ352" i="56"/>
  <c r="AI352" i="56"/>
  <c r="AS352" i="56" s="1"/>
  <c r="AO351" i="56"/>
  <c r="AV351" i="56" s="1"/>
  <c r="AN351" i="56"/>
  <c r="AU351" i="56" s="1"/>
  <c r="AM351" i="56"/>
  <c r="AL351" i="56"/>
  <c r="AK351" i="56"/>
  <c r="AJ351" i="56"/>
  <c r="AI351" i="56"/>
  <c r="AS351" i="56" s="1"/>
  <c r="AO350" i="56"/>
  <c r="AV350" i="56" s="1"/>
  <c r="AN350" i="56"/>
  <c r="AU350" i="56" s="1"/>
  <c r="AM350" i="56"/>
  <c r="AL350" i="56"/>
  <c r="AK350" i="56"/>
  <c r="AJ350" i="56"/>
  <c r="AI350" i="56"/>
  <c r="AS350" i="56" s="1"/>
  <c r="AO349" i="56"/>
  <c r="AV349" i="56" s="1"/>
  <c r="AN349" i="56"/>
  <c r="AU349" i="56" s="1"/>
  <c r="AM349" i="56"/>
  <c r="AL349" i="56"/>
  <c r="AK349" i="56"/>
  <c r="AJ349" i="56"/>
  <c r="AI349" i="56"/>
  <c r="AS349" i="56" s="1"/>
  <c r="AO348" i="56"/>
  <c r="AV348" i="56" s="1"/>
  <c r="AN348" i="56"/>
  <c r="AU348" i="56" s="1"/>
  <c r="AM348" i="56"/>
  <c r="AL348" i="56"/>
  <c r="AK348" i="56"/>
  <c r="AJ348" i="56"/>
  <c r="AI348" i="56"/>
  <c r="AS348" i="56" s="1"/>
  <c r="AO347" i="56"/>
  <c r="AV347" i="56" s="1"/>
  <c r="AN347" i="56"/>
  <c r="AU347" i="56" s="1"/>
  <c r="AM347" i="56"/>
  <c r="AL347" i="56"/>
  <c r="AK347" i="56"/>
  <c r="AJ347" i="56"/>
  <c r="AI347" i="56"/>
  <c r="AS347" i="56" s="1"/>
  <c r="AO346" i="56"/>
  <c r="AV346" i="56" s="1"/>
  <c r="AN346" i="56"/>
  <c r="AU346" i="56" s="1"/>
  <c r="AM346" i="56"/>
  <c r="AL346" i="56"/>
  <c r="AK346" i="56"/>
  <c r="AJ346" i="56"/>
  <c r="AI346" i="56"/>
  <c r="AS346" i="56" s="1"/>
  <c r="AO345" i="56"/>
  <c r="AV345" i="56" s="1"/>
  <c r="AN345" i="56"/>
  <c r="AU345" i="56" s="1"/>
  <c r="AM345" i="56"/>
  <c r="AL345" i="56"/>
  <c r="AK345" i="56"/>
  <c r="AJ345" i="56"/>
  <c r="AI345" i="56"/>
  <c r="AS345" i="56" s="1"/>
  <c r="AO344" i="56"/>
  <c r="AV344" i="56" s="1"/>
  <c r="AN344" i="56"/>
  <c r="AU344" i="56" s="1"/>
  <c r="AM344" i="56"/>
  <c r="AL344" i="56"/>
  <c r="AK344" i="56"/>
  <c r="AJ344" i="56"/>
  <c r="AI344" i="56"/>
  <c r="AS344" i="56" s="1"/>
  <c r="AO343" i="56"/>
  <c r="AV343" i="56" s="1"/>
  <c r="AN343" i="56"/>
  <c r="AU343" i="56" s="1"/>
  <c r="AM343" i="56"/>
  <c r="AL343" i="56"/>
  <c r="AK343" i="56"/>
  <c r="AJ343" i="56"/>
  <c r="AI343" i="56"/>
  <c r="AS343" i="56" s="1"/>
  <c r="AO342" i="56"/>
  <c r="AV342" i="56" s="1"/>
  <c r="AN342" i="56"/>
  <c r="AU342" i="56" s="1"/>
  <c r="AM342" i="56"/>
  <c r="AL342" i="56"/>
  <c r="AK342" i="56"/>
  <c r="AJ342" i="56"/>
  <c r="AI342" i="56"/>
  <c r="AS342" i="56" s="1"/>
  <c r="AO341" i="56"/>
  <c r="AV341" i="56" s="1"/>
  <c r="AN341" i="56"/>
  <c r="AU341" i="56" s="1"/>
  <c r="AM341" i="56"/>
  <c r="AL341" i="56"/>
  <c r="AK341" i="56"/>
  <c r="AJ341" i="56"/>
  <c r="AI341" i="56"/>
  <c r="AS341" i="56" s="1"/>
  <c r="AO340" i="56"/>
  <c r="AV340" i="56" s="1"/>
  <c r="AN340" i="56"/>
  <c r="AU340" i="56" s="1"/>
  <c r="AM340" i="56"/>
  <c r="AL340" i="56"/>
  <c r="AK340" i="56"/>
  <c r="AJ340" i="56"/>
  <c r="AI340" i="56"/>
  <c r="AS340" i="56" s="1"/>
  <c r="AO339" i="56"/>
  <c r="AV339" i="56" s="1"/>
  <c r="AN339" i="56"/>
  <c r="AU339" i="56" s="1"/>
  <c r="AM339" i="56"/>
  <c r="AL339" i="56"/>
  <c r="AK339" i="56"/>
  <c r="AJ339" i="56"/>
  <c r="AI339" i="56"/>
  <c r="AS339" i="56" s="1"/>
  <c r="AO338" i="56"/>
  <c r="AV338" i="56" s="1"/>
  <c r="AN338" i="56"/>
  <c r="AU338" i="56" s="1"/>
  <c r="AM338" i="56"/>
  <c r="AL338" i="56"/>
  <c r="AK338" i="56"/>
  <c r="AJ338" i="56"/>
  <c r="AI338" i="56"/>
  <c r="AS338" i="56" s="1"/>
  <c r="AO337" i="56"/>
  <c r="AV337" i="56" s="1"/>
  <c r="AN337" i="56"/>
  <c r="AU337" i="56" s="1"/>
  <c r="AM337" i="56"/>
  <c r="AL337" i="56"/>
  <c r="AK337" i="56"/>
  <c r="AJ337" i="56"/>
  <c r="AI337" i="56"/>
  <c r="AS337" i="56" s="1"/>
  <c r="AO336" i="56"/>
  <c r="AV336" i="56" s="1"/>
  <c r="AN336" i="56"/>
  <c r="AU336" i="56" s="1"/>
  <c r="AM336" i="56"/>
  <c r="AL336" i="56"/>
  <c r="AK336" i="56"/>
  <c r="AJ336" i="56"/>
  <c r="AI336" i="56"/>
  <c r="AS336" i="56" s="1"/>
  <c r="AO335" i="56"/>
  <c r="AV335" i="56" s="1"/>
  <c r="AN335" i="56"/>
  <c r="AU335" i="56" s="1"/>
  <c r="AM335" i="56"/>
  <c r="AL335" i="56"/>
  <c r="AK335" i="56"/>
  <c r="AJ335" i="56"/>
  <c r="AI335" i="56"/>
  <c r="AS335" i="56" s="1"/>
  <c r="AO334" i="56"/>
  <c r="AV334" i="56" s="1"/>
  <c r="AN334" i="56"/>
  <c r="AU334" i="56" s="1"/>
  <c r="AM334" i="56"/>
  <c r="AL334" i="56"/>
  <c r="AK334" i="56"/>
  <c r="AJ334" i="56"/>
  <c r="AI334" i="56"/>
  <c r="AS334" i="56" s="1"/>
  <c r="AO333" i="56"/>
  <c r="AV333" i="56" s="1"/>
  <c r="AN333" i="56"/>
  <c r="AU333" i="56" s="1"/>
  <c r="AM333" i="56"/>
  <c r="AL333" i="56"/>
  <c r="AK333" i="56"/>
  <c r="AJ333" i="56"/>
  <c r="AI333" i="56"/>
  <c r="AS333" i="56" s="1"/>
  <c r="AO332" i="56"/>
  <c r="AV332" i="56" s="1"/>
  <c r="AN332" i="56"/>
  <c r="AU332" i="56" s="1"/>
  <c r="AM332" i="56"/>
  <c r="AL332" i="56"/>
  <c r="AK332" i="56"/>
  <c r="AJ332" i="56"/>
  <c r="AI332" i="56"/>
  <c r="AS332" i="56" s="1"/>
  <c r="AO331" i="56"/>
  <c r="AV331" i="56" s="1"/>
  <c r="AN331" i="56"/>
  <c r="AU331" i="56" s="1"/>
  <c r="AM331" i="56"/>
  <c r="AL331" i="56"/>
  <c r="AK331" i="56"/>
  <c r="AJ331" i="56"/>
  <c r="AI331" i="56"/>
  <c r="AS331" i="56" s="1"/>
  <c r="AO330" i="56"/>
  <c r="AV330" i="56" s="1"/>
  <c r="AN330" i="56"/>
  <c r="AU330" i="56" s="1"/>
  <c r="AM330" i="56"/>
  <c r="AL330" i="56"/>
  <c r="AK330" i="56"/>
  <c r="AJ330" i="56"/>
  <c r="AI330" i="56"/>
  <c r="AS330" i="56" s="1"/>
  <c r="AO329" i="56"/>
  <c r="AV329" i="56" s="1"/>
  <c r="AN329" i="56"/>
  <c r="AU329" i="56" s="1"/>
  <c r="AM329" i="56"/>
  <c r="AL329" i="56"/>
  <c r="AK329" i="56"/>
  <c r="AJ329" i="56"/>
  <c r="AI329" i="56"/>
  <c r="AS329" i="56" s="1"/>
  <c r="AO328" i="56"/>
  <c r="AV328" i="56" s="1"/>
  <c r="AN328" i="56"/>
  <c r="AU328" i="56" s="1"/>
  <c r="AM328" i="56"/>
  <c r="AL328" i="56"/>
  <c r="AK328" i="56"/>
  <c r="AJ328" i="56"/>
  <c r="AI328" i="56"/>
  <c r="AS328" i="56" s="1"/>
  <c r="AO327" i="56"/>
  <c r="AV327" i="56" s="1"/>
  <c r="AN327" i="56"/>
  <c r="AU327" i="56" s="1"/>
  <c r="AM327" i="56"/>
  <c r="AL327" i="56"/>
  <c r="AK327" i="56"/>
  <c r="AJ327" i="56"/>
  <c r="AI327" i="56"/>
  <c r="AS327" i="56" s="1"/>
  <c r="AO326" i="56"/>
  <c r="AV326" i="56" s="1"/>
  <c r="AN326" i="56"/>
  <c r="AU326" i="56" s="1"/>
  <c r="AM326" i="56"/>
  <c r="AL326" i="56"/>
  <c r="AK326" i="56"/>
  <c r="AJ326" i="56"/>
  <c r="AI326" i="56"/>
  <c r="AS326" i="56" s="1"/>
  <c r="AO325" i="56"/>
  <c r="AV325" i="56" s="1"/>
  <c r="AN325" i="56"/>
  <c r="AU325" i="56" s="1"/>
  <c r="AM325" i="56"/>
  <c r="AL325" i="56"/>
  <c r="AK325" i="56"/>
  <c r="AJ325" i="56"/>
  <c r="AI325" i="56"/>
  <c r="AS325" i="56" s="1"/>
  <c r="AO324" i="56"/>
  <c r="AV324" i="56" s="1"/>
  <c r="AN324" i="56"/>
  <c r="AU324" i="56" s="1"/>
  <c r="AM324" i="56"/>
  <c r="AL324" i="56"/>
  <c r="AK324" i="56"/>
  <c r="AJ324" i="56"/>
  <c r="AI324" i="56"/>
  <c r="AS324" i="56" s="1"/>
  <c r="AO323" i="56"/>
  <c r="AV323" i="56" s="1"/>
  <c r="AN323" i="56"/>
  <c r="AU323" i="56" s="1"/>
  <c r="AM323" i="56"/>
  <c r="AL323" i="56"/>
  <c r="AK323" i="56"/>
  <c r="AJ323" i="56"/>
  <c r="AI323" i="56"/>
  <c r="AS323" i="56" s="1"/>
  <c r="AO322" i="56"/>
  <c r="AV322" i="56" s="1"/>
  <c r="AN322" i="56"/>
  <c r="AU322" i="56" s="1"/>
  <c r="AM322" i="56"/>
  <c r="AL322" i="56"/>
  <c r="AK322" i="56"/>
  <c r="AJ322" i="56"/>
  <c r="AI322" i="56"/>
  <c r="AS322" i="56" s="1"/>
  <c r="AO321" i="56"/>
  <c r="AV321" i="56" s="1"/>
  <c r="AN321" i="56"/>
  <c r="AU321" i="56" s="1"/>
  <c r="AM321" i="56"/>
  <c r="AL321" i="56"/>
  <c r="AK321" i="56"/>
  <c r="AJ321" i="56"/>
  <c r="AI321" i="56"/>
  <c r="AS321" i="56" s="1"/>
  <c r="AO320" i="56"/>
  <c r="AV320" i="56" s="1"/>
  <c r="AN320" i="56"/>
  <c r="AU320" i="56" s="1"/>
  <c r="AM320" i="56"/>
  <c r="AL320" i="56"/>
  <c r="AK320" i="56"/>
  <c r="AJ320" i="56"/>
  <c r="AI320" i="56"/>
  <c r="AS320" i="56" s="1"/>
  <c r="AO319" i="56"/>
  <c r="AV319" i="56" s="1"/>
  <c r="AN319" i="56"/>
  <c r="AU319" i="56" s="1"/>
  <c r="AM319" i="56"/>
  <c r="AL319" i="56"/>
  <c r="AK319" i="56"/>
  <c r="AJ319" i="56"/>
  <c r="AI319" i="56"/>
  <c r="AS319" i="56" s="1"/>
  <c r="AO318" i="56"/>
  <c r="AV318" i="56" s="1"/>
  <c r="AN318" i="56"/>
  <c r="AU318" i="56" s="1"/>
  <c r="AM318" i="56"/>
  <c r="AL318" i="56"/>
  <c r="AK318" i="56"/>
  <c r="AJ318" i="56"/>
  <c r="AI318" i="56"/>
  <c r="AS318" i="56" s="1"/>
  <c r="AO317" i="56"/>
  <c r="AV317" i="56" s="1"/>
  <c r="AN317" i="56"/>
  <c r="AU317" i="56" s="1"/>
  <c r="AM317" i="56"/>
  <c r="AL317" i="56"/>
  <c r="AK317" i="56"/>
  <c r="AJ317" i="56"/>
  <c r="AI317" i="56"/>
  <c r="AS317" i="56" s="1"/>
  <c r="AO316" i="56"/>
  <c r="AV316" i="56" s="1"/>
  <c r="AN316" i="56"/>
  <c r="AU316" i="56" s="1"/>
  <c r="AM316" i="56"/>
  <c r="AL316" i="56"/>
  <c r="AK316" i="56"/>
  <c r="AJ316" i="56"/>
  <c r="AI316" i="56"/>
  <c r="AS316" i="56" s="1"/>
  <c r="AO315" i="56"/>
  <c r="AV315" i="56" s="1"/>
  <c r="AN315" i="56"/>
  <c r="AU315" i="56" s="1"/>
  <c r="AM315" i="56"/>
  <c r="AL315" i="56"/>
  <c r="AK315" i="56"/>
  <c r="AJ315" i="56"/>
  <c r="AI315" i="56"/>
  <c r="AS315" i="56" s="1"/>
  <c r="AO314" i="56"/>
  <c r="AV314" i="56" s="1"/>
  <c r="AN314" i="56"/>
  <c r="AU314" i="56" s="1"/>
  <c r="AM314" i="56"/>
  <c r="AL314" i="56"/>
  <c r="AK314" i="56"/>
  <c r="AJ314" i="56"/>
  <c r="AI314" i="56"/>
  <c r="AS314" i="56" s="1"/>
  <c r="AO313" i="56"/>
  <c r="AV313" i="56" s="1"/>
  <c r="AN313" i="56"/>
  <c r="AU313" i="56" s="1"/>
  <c r="AM313" i="56"/>
  <c r="AL313" i="56"/>
  <c r="AK313" i="56"/>
  <c r="AJ313" i="56"/>
  <c r="AI313" i="56"/>
  <c r="AS313" i="56" s="1"/>
  <c r="AO312" i="56"/>
  <c r="AV312" i="56" s="1"/>
  <c r="AN312" i="56"/>
  <c r="AU312" i="56" s="1"/>
  <c r="AM312" i="56"/>
  <c r="AL312" i="56"/>
  <c r="AK312" i="56"/>
  <c r="AJ312" i="56"/>
  <c r="AI312" i="56"/>
  <c r="AS312" i="56" s="1"/>
  <c r="AO311" i="56"/>
  <c r="AV311" i="56" s="1"/>
  <c r="AN311" i="56"/>
  <c r="AU311" i="56" s="1"/>
  <c r="AM311" i="56"/>
  <c r="AL311" i="56"/>
  <c r="AK311" i="56"/>
  <c r="AJ311" i="56"/>
  <c r="AI311" i="56"/>
  <c r="AS311" i="56" s="1"/>
  <c r="AO310" i="56"/>
  <c r="AV310" i="56" s="1"/>
  <c r="AN310" i="56"/>
  <c r="AU310" i="56" s="1"/>
  <c r="AM310" i="56"/>
  <c r="AL310" i="56"/>
  <c r="AK310" i="56"/>
  <c r="AJ310" i="56"/>
  <c r="AI310" i="56"/>
  <c r="AS310" i="56" s="1"/>
  <c r="AO309" i="56"/>
  <c r="AV309" i="56" s="1"/>
  <c r="AN309" i="56"/>
  <c r="AU309" i="56" s="1"/>
  <c r="AM309" i="56"/>
  <c r="AL309" i="56"/>
  <c r="AK309" i="56"/>
  <c r="AJ309" i="56"/>
  <c r="AI309" i="56"/>
  <c r="AS309" i="56" s="1"/>
  <c r="AO308" i="56"/>
  <c r="AV308" i="56" s="1"/>
  <c r="AN308" i="56"/>
  <c r="AU308" i="56" s="1"/>
  <c r="AM308" i="56"/>
  <c r="AL308" i="56"/>
  <c r="AK308" i="56"/>
  <c r="AJ308" i="56"/>
  <c r="AI308" i="56"/>
  <c r="AS308" i="56" s="1"/>
  <c r="AO307" i="56"/>
  <c r="AV307" i="56" s="1"/>
  <c r="AN307" i="56"/>
  <c r="AU307" i="56" s="1"/>
  <c r="AM307" i="56"/>
  <c r="AL307" i="56"/>
  <c r="AK307" i="56"/>
  <c r="AJ307" i="56"/>
  <c r="AI307" i="56"/>
  <c r="AS307" i="56" s="1"/>
  <c r="AO306" i="56"/>
  <c r="AV306" i="56" s="1"/>
  <c r="AN306" i="56"/>
  <c r="AU306" i="56" s="1"/>
  <c r="AM306" i="56"/>
  <c r="AL306" i="56"/>
  <c r="AK306" i="56"/>
  <c r="AJ306" i="56"/>
  <c r="AI306" i="56"/>
  <c r="AS306" i="56" s="1"/>
  <c r="AO305" i="56"/>
  <c r="AV305" i="56" s="1"/>
  <c r="AN305" i="56"/>
  <c r="AU305" i="56" s="1"/>
  <c r="AM305" i="56"/>
  <c r="AL305" i="56"/>
  <c r="AK305" i="56"/>
  <c r="AJ305" i="56"/>
  <c r="AI305" i="56"/>
  <c r="AS305" i="56" s="1"/>
  <c r="AO304" i="56"/>
  <c r="AV304" i="56" s="1"/>
  <c r="AN304" i="56"/>
  <c r="AU304" i="56" s="1"/>
  <c r="AM304" i="56"/>
  <c r="AL304" i="56"/>
  <c r="AK304" i="56"/>
  <c r="AJ304" i="56"/>
  <c r="AI304" i="56"/>
  <c r="AS304" i="56" s="1"/>
  <c r="AO303" i="56"/>
  <c r="AV303" i="56" s="1"/>
  <c r="AN303" i="56"/>
  <c r="AU303" i="56" s="1"/>
  <c r="AM303" i="56"/>
  <c r="AL303" i="56"/>
  <c r="AK303" i="56"/>
  <c r="AJ303" i="56"/>
  <c r="AI303" i="56"/>
  <c r="AS303" i="56" s="1"/>
  <c r="AO302" i="56"/>
  <c r="AV302" i="56" s="1"/>
  <c r="AN302" i="56"/>
  <c r="AU302" i="56" s="1"/>
  <c r="AM302" i="56"/>
  <c r="AL302" i="56"/>
  <c r="AK302" i="56"/>
  <c r="AJ302" i="56"/>
  <c r="AI302" i="56"/>
  <c r="AS302" i="56" s="1"/>
  <c r="AO301" i="56"/>
  <c r="AV301" i="56" s="1"/>
  <c r="AN301" i="56"/>
  <c r="AU301" i="56" s="1"/>
  <c r="AM301" i="56"/>
  <c r="AL301" i="56"/>
  <c r="AK301" i="56"/>
  <c r="AJ301" i="56"/>
  <c r="AI301" i="56"/>
  <c r="AS301" i="56" s="1"/>
  <c r="AO300" i="56"/>
  <c r="AV300" i="56" s="1"/>
  <c r="AN300" i="56"/>
  <c r="AU300" i="56" s="1"/>
  <c r="AM300" i="56"/>
  <c r="AL300" i="56"/>
  <c r="AK300" i="56"/>
  <c r="AJ300" i="56"/>
  <c r="AI300" i="56"/>
  <c r="AS300" i="56" s="1"/>
  <c r="AO299" i="56"/>
  <c r="AV299" i="56" s="1"/>
  <c r="AN299" i="56"/>
  <c r="AU299" i="56" s="1"/>
  <c r="AM299" i="56"/>
  <c r="AL299" i="56"/>
  <c r="AK299" i="56"/>
  <c r="AJ299" i="56"/>
  <c r="AI299" i="56"/>
  <c r="AS299" i="56" s="1"/>
  <c r="AO298" i="56"/>
  <c r="AV298" i="56" s="1"/>
  <c r="AN298" i="56"/>
  <c r="AU298" i="56" s="1"/>
  <c r="AM298" i="56"/>
  <c r="AL298" i="56"/>
  <c r="AK298" i="56"/>
  <c r="AJ298" i="56"/>
  <c r="AI298" i="56"/>
  <c r="AS298" i="56" s="1"/>
  <c r="AO297" i="56"/>
  <c r="AV297" i="56" s="1"/>
  <c r="AN297" i="56"/>
  <c r="AU297" i="56" s="1"/>
  <c r="AM297" i="56"/>
  <c r="AL297" i="56"/>
  <c r="AK297" i="56"/>
  <c r="AJ297" i="56"/>
  <c r="AI297" i="56"/>
  <c r="AS297" i="56" s="1"/>
  <c r="AO296" i="56"/>
  <c r="AV296" i="56" s="1"/>
  <c r="AN296" i="56"/>
  <c r="AU296" i="56" s="1"/>
  <c r="AM296" i="56"/>
  <c r="AL296" i="56"/>
  <c r="AK296" i="56"/>
  <c r="AJ296" i="56"/>
  <c r="AI296" i="56"/>
  <c r="AS296" i="56" s="1"/>
  <c r="AO295" i="56"/>
  <c r="AV295" i="56" s="1"/>
  <c r="AN295" i="56"/>
  <c r="AU295" i="56" s="1"/>
  <c r="AM295" i="56"/>
  <c r="AL295" i="56"/>
  <c r="AK295" i="56"/>
  <c r="AJ295" i="56"/>
  <c r="AI295" i="56"/>
  <c r="AS295" i="56" s="1"/>
  <c r="AO294" i="56"/>
  <c r="AV294" i="56" s="1"/>
  <c r="AN294" i="56"/>
  <c r="AU294" i="56" s="1"/>
  <c r="AM294" i="56"/>
  <c r="AL294" i="56"/>
  <c r="AK294" i="56"/>
  <c r="AJ294" i="56"/>
  <c r="AI294" i="56"/>
  <c r="AS294" i="56" s="1"/>
  <c r="AO293" i="56"/>
  <c r="AV293" i="56" s="1"/>
  <c r="AN293" i="56"/>
  <c r="AU293" i="56" s="1"/>
  <c r="AM293" i="56"/>
  <c r="AL293" i="56"/>
  <c r="AK293" i="56"/>
  <c r="AJ293" i="56"/>
  <c r="AI293" i="56"/>
  <c r="AS293" i="56" s="1"/>
  <c r="AO292" i="56"/>
  <c r="AV292" i="56" s="1"/>
  <c r="AN292" i="56"/>
  <c r="AU292" i="56" s="1"/>
  <c r="AM292" i="56"/>
  <c r="AL292" i="56"/>
  <c r="AK292" i="56"/>
  <c r="AJ292" i="56"/>
  <c r="AI292" i="56"/>
  <c r="AS292" i="56" s="1"/>
  <c r="AO291" i="56"/>
  <c r="AV291" i="56" s="1"/>
  <c r="AN291" i="56"/>
  <c r="AU291" i="56" s="1"/>
  <c r="AM291" i="56"/>
  <c r="AL291" i="56"/>
  <c r="AK291" i="56"/>
  <c r="AJ291" i="56"/>
  <c r="AI291" i="56"/>
  <c r="AS291" i="56" s="1"/>
  <c r="AO290" i="56"/>
  <c r="AV290" i="56" s="1"/>
  <c r="AN290" i="56"/>
  <c r="AU290" i="56" s="1"/>
  <c r="AM290" i="56"/>
  <c r="AL290" i="56"/>
  <c r="AK290" i="56"/>
  <c r="AJ290" i="56"/>
  <c r="AI290" i="56"/>
  <c r="AS290" i="56" s="1"/>
  <c r="AO289" i="56"/>
  <c r="AV289" i="56" s="1"/>
  <c r="AN289" i="56"/>
  <c r="AU289" i="56" s="1"/>
  <c r="AM289" i="56"/>
  <c r="AL289" i="56"/>
  <c r="AK289" i="56"/>
  <c r="AJ289" i="56"/>
  <c r="AI289" i="56"/>
  <c r="AS289" i="56" s="1"/>
  <c r="AO288" i="56"/>
  <c r="AV288" i="56" s="1"/>
  <c r="AN288" i="56"/>
  <c r="AU288" i="56" s="1"/>
  <c r="AM288" i="56"/>
  <c r="AL288" i="56"/>
  <c r="AK288" i="56"/>
  <c r="AJ288" i="56"/>
  <c r="AI288" i="56"/>
  <c r="AS288" i="56" s="1"/>
  <c r="AO287" i="56"/>
  <c r="AV287" i="56" s="1"/>
  <c r="AN287" i="56"/>
  <c r="AU287" i="56" s="1"/>
  <c r="AM287" i="56"/>
  <c r="AL287" i="56"/>
  <c r="AK287" i="56"/>
  <c r="AJ287" i="56"/>
  <c r="AI287" i="56"/>
  <c r="AS287" i="56" s="1"/>
  <c r="AO286" i="56"/>
  <c r="AV286" i="56" s="1"/>
  <c r="AN286" i="56"/>
  <c r="AU286" i="56" s="1"/>
  <c r="AM286" i="56"/>
  <c r="AL286" i="56"/>
  <c r="AK286" i="56"/>
  <c r="AJ286" i="56"/>
  <c r="AI286" i="56"/>
  <c r="AS286" i="56" s="1"/>
  <c r="AO285" i="56"/>
  <c r="AV285" i="56" s="1"/>
  <c r="AN285" i="56"/>
  <c r="AU285" i="56" s="1"/>
  <c r="AM285" i="56"/>
  <c r="AL285" i="56"/>
  <c r="AK285" i="56"/>
  <c r="AJ285" i="56"/>
  <c r="AI285" i="56"/>
  <c r="AS285" i="56" s="1"/>
  <c r="AO284" i="56"/>
  <c r="AV284" i="56" s="1"/>
  <c r="AN284" i="56"/>
  <c r="AU284" i="56" s="1"/>
  <c r="AM284" i="56"/>
  <c r="AL284" i="56"/>
  <c r="AK284" i="56"/>
  <c r="AJ284" i="56"/>
  <c r="AI284" i="56"/>
  <c r="AS284" i="56" s="1"/>
  <c r="AO283" i="56"/>
  <c r="AV283" i="56" s="1"/>
  <c r="AN283" i="56"/>
  <c r="AU283" i="56" s="1"/>
  <c r="AM283" i="56"/>
  <c r="AL283" i="56"/>
  <c r="AK283" i="56"/>
  <c r="AJ283" i="56"/>
  <c r="AI283" i="56"/>
  <c r="AS283" i="56" s="1"/>
  <c r="AO282" i="56"/>
  <c r="AV282" i="56" s="1"/>
  <c r="AN282" i="56"/>
  <c r="AU282" i="56" s="1"/>
  <c r="AM282" i="56"/>
  <c r="AL282" i="56"/>
  <c r="AK282" i="56"/>
  <c r="AJ282" i="56"/>
  <c r="AI282" i="56"/>
  <c r="AS282" i="56" s="1"/>
  <c r="AO281" i="56"/>
  <c r="AV281" i="56" s="1"/>
  <c r="AN281" i="56"/>
  <c r="AU281" i="56" s="1"/>
  <c r="AM281" i="56"/>
  <c r="AL281" i="56"/>
  <c r="AK281" i="56"/>
  <c r="AJ281" i="56"/>
  <c r="AI281" i="56"/>
  <c r="AS281" i="56" s="1"/>
  <c r="AO280" i="56"/>
  <c r="AV280" i="56" s="1"/>
  <c r="AN280" i="56"/>
  <c r="AU280" i="56" s="1"/>
  <c r="AM280" i="56"/>
  <c r="AL280" i="56"/>
  <c r="AK280" i="56"/>
  <c r="AJ280" i="56"/>
  <c r="AI280" i="56"/>
  <c r="AS280" i="56" s="1"/>
  <c r="AO279" i="56"/>
  <c r="AV279" i="56" s="1"/>
  <c r="AN279" i="56"/>
  <c r="AU279" i="56" s="1"/>
  <c r="AM279" i="56"/>
  <c r="AL279" i="56"/>
  <c r="AK279" i="56"/>
  <c r="AJ279" i="56"/>
  <c r="AI279" i="56"/>
  <c r="AS279" i="56" s="1"/>
  <c r="AO278" i="56"/>
  <c r="AV278" i="56" s="1"/>
  <c r="AN278" i="56"/>
  <c r="AU278" i="56" s="1"/>
  <c r="AM278" i="56"/>
  <c r="AL278" i="56"/>
  <c r="AK278" i="56"/>
  <c r="AJ278" i="56"/>
  <c r="AI278" i="56"/>
  <c r="AS278" i="56" s="1"/>
  <c r="AO277" i="56"/>
  <c r="AV277" i="56" s="1"/>
  <c r="AN277" i="56"/>
  <c r="AU277" i="56" s="1"/>
  <c r="AM277" i="56"/>
  <c r="AL277" i="56"/>
  <c r="AK277" i="56"/>
  <c r="AJ277" i="56"/>
  <c r="AI277" i="56"/>
  <c r="AS277" i="56" s="1"/>
  <c r="AO276" i="56"/>
  <c r="AV276" i="56" s="1"/>
  <c r="AN276" i="56"/>
  <c r="AU276" i="56" s="1"/>
  <c r="AM276" i="56"/>
  <c r="AL276" i="56"/>
  <c r="AK276" i="56"/>
  <c r="AJ276" i="56"/>
  <c r="AI276" i="56"/>
  <c r="AS276" i="56" s="1"/>
  <c r="AO275" i="56"/>
  <c r="AV275" i="56" s="1"/>
  <c r="AN275" i="56"/>
  <c r="AU275" i="56" s="1"/>
  <c r="AM275" i="56"/>
  <c r="AL275" i="56"/>
  <c r="AK275" i="56"/>
  <c r="AJ275" i="56"/>
  <c r="AI275" i="56"/>
  <c r="AS275" i="56" s="1"/>
  <c r="AO274" i="56"/>
  <c r="AV274" i="56" s="1"/>
  <c r="AN274" i="56"/>
  <c r="AU274" i="56" s="1"/>
  <c r="AM274" i="56"/>
  <c r="AL274" i="56"/>
  <c r="AK274" i="56"/>
  <c r="AJ274" i="56"/>
  <c r="AI274" i="56"/>
  <c r="AS274" i="56" s="1"/>
  <c r="AO273" i="56"/>
  <c r="AV273" i="56" s="1"/>
  <c r="AN273" i="56"/>
  <c r="AU273" i="56" s="1"/>
  <c r="AM273" i="56"/>
  <c r="AL273" i="56"/>
  <c r="AK273" i="56"/>
  <c r="AJ273" i="56"/>
  <c r="AI273" i="56"/>
  <c r="AS273" i="56" s="1"/>
  <c r="AO272" i="56"/>
  <c r="AV272" i="56" s="1"/>
  <c r="AN272" i="56"/>
  <c r="AU272" i="56" s="1"/>
  <c r="AM272" i="56"/>
  <c r="AL272" i="56"/>
  <c r="AK272" i="56"/>
  <c r="AJ272" i="56"/>
  <c r="AI272" i="56"/>
  <c r="AS272" i="56" s="1"/>
  <c r="AO271" i="56"/>
  <c r="AV271" i="56" s="1"/>
  <c r="AN271" i="56"/>
  <c r="AU271" i="56" s="1"/>
  <c r="AM271" i="56"/>
  <c r="AL271" i="56"/>
  <c r="AK271" i="56"/>
  <c r="AJ271" i="56"/>
  <c r="AI271" i="56"/>
  <c r="AS271" i="56" s="1"/>
  <c r="AO270" i="56"/>
  <c r="AV270" i="56" s="1"/>
  <c r="AN270" i="56"/>
  <c r="AU270" i="56" s="1"/>
  <c r="AM270" i="56"/>
  <c r="AL270" i="56"/>
  <c r="AK270" i="56"/>
  <c r="AJ270" i="56"/>
  <c r="AI270" i="56"/>
  <c r="AS270" i="56" s="1"/>
  <c r="AO269" i="56"/>
  <c r="AV269" i="56" s="1"/>
  <c r="AN269" i="56"/>
  <c r="AU269" i="56" s="1"/>
  <c r="AM269" i="56"/>
  <c r="AL269" i="56"/>
  <c r="AK269" i="56"/>
  <c r="AJ269" i="56"/>
  <c r="AI269" i="56"/>
  <c r="AS269" i="56" s="1"/>
  <c r="AO268" i="56"/>
  <c r="AV268" i="56" s="1"/>
  <c r="AN268" i="56"/>
  <c r="AU268" i="56" s="1"/>
  <c r="AM268" i="56"/>
  <c r="AL268" i="56"/>
  <c r="AK268" i="56"/>
  <c r="AJ268" i="56"/>
  <c r="AI268" i="56"/>
  <c r="AS268" i="56" s="1"/>
  <c r="AO267" i="56"/>
  <c r="AV267" i="56" s="1"/>
  <c r="AN267" i="56"/>
  <c r="AU267" i="56" s="1"/>
  <c r="AM267" i="56"/>
  <c r="AL267" i="56"/>
  <c r="AK267" i="56"/>
  <c r="AJ267" i="56"/>
  <c r="AI267" i="56"/>
  <c r="AS267" i="56" s="1"/>
  <c r="AO266" i="56"/>
  <c r="AV266" i="56" s="1"/>
  <c r="AN266" i="56"/>
  <c r="AU266" i="56" s="1"/>
  <c r="AM266" i="56"/>
  <c r="AL266" i="56"/>
  <c r="AK266" i="56"/>
  <c r="AJ266" i="56"/>
  <c r="AI266" i="56"/>
  <c r="AS266" i="56" s="1"/>
  <c r="AO265" i="56"/>
  <c r="AV265" i="56" s="1"/>
  <c r="AN265" i="56"/>
  <c r="AU265" i="56" s="1"/>
  <c r="AM265" i="56"/>
  <c r="AL265" i="56"/>
  <c r="AK265" i="56"/>
  <c r="AJ265" i="56"/>
  <c r="AI265" i="56"/>
  <c r="AS265" i="56" s="1"/>
  <c r="AO264" i="56"/>
  <c r="AV264" i="56" s="1"/>
  <c r="AN264" i="56"/>
  <c r="AU264" i="56" s="1"/>
  <c r="AM264" i="56"/>
  <c r="AL264" i="56"/>
  <c r="AK264" i="56"/>
  <c r="AJ264" i="56"/>
  <c r="AI264" i="56"/>
  <c r="AS264" i="56" s="1"/>
  <c r="AO263" i="56"/>
  <c r="AV263" i="56" s="1"/>
  <c r="AN263" i="56"/>
  <c r="AU263" i="56" s="1"/>
  <c r="AM263" i="56"/>
  <c r="AL263" i="56"/>
  <c r="AK263" i="56"/>
  <c r="AJ263" i="56"/>
  <c r="AI263" i="56"/>
  <c r="AS263" i="56" s="1"/>
  <c r="AO262" i="56"/>
  <c r="AV262" i="56" s="1"/>
  <c r="AN262" i="56"/>
  <c r="AU262" i="56" s="1"/>
  <c r="AM262" i="56"/>
  <c r="AL262" i="56"/>
  <c r="AK262" i="56"/>
  <c r="AJ262" i="56"/>
  <c r="AI262" i="56"/>
  <c r="AS262" i="56" s="1"/>
  <c r="AO261" i="56"/>
  <c r="AV261" i="56" s="1"/>
  <c r="AN261" i="56"/>
  <c r="AU261" i="56" s="1"/>
  <c r="AM261" i="56"/>
  <c r="AL261" i="56"/>
  <c r="AK261" i="56"/>
  <c r="AJ261" i="56"/>
  <c r="AI261" i="56"/>
  <c r="AS261" i="56" s="1"/>
  <c r="AO260" i="56"/>
  <c r="AV260" i="56" s="1"/>
  <c r="AN260" i="56"/>
  <c r="AU260" i="56" s="1"/>
  <c r="AM260" i="56"/>
  <c r="AL260" i="56"/>
  <c r="AK260" i="56"/>
  <c r="AJ260" i="56"/>
  <c r="AI260" i="56"/>
  <c r="AS260" i="56" s="1"/>
  <c r="AO259" i="56"/>
  <c r="AV259" i="56" s="1"/>
  <c r="AN259" i="56"/>
  <c r="AU259" i="56" s="1"/>
  <c r="AM259" i="56"/>
  <c r="AL259" i="56"/>
  <c r="AK259" i="56"/>
  <c r="AJ259" i="56"/>
  <c r="AI259" i="56"/>
  <c r="AS259" i="56" s="1"/>
  <c r="AO258" i="56"/>
  <c r="AV258" i="56" s="1"/>
  <c r="AN258" i="56"/>
  <c r="AU258" i="56" s="1"/>
  <c r="AM258" i="56"/>
  <c r="AL258" i="56"/>
  <c r="AK258" i="56"/>
  <c r="AJ258" i="56"/>
  <c r="AI258" i="56"/>
  <c r="AS258" i="56" s="1"/>
  <c r="AO257" i="56"/>
  <c r="AV257" i="56" s="1"/>
  <c r="AN257" i="56"/>
  <c r="AU257" i="56" s="1"/>
  <c r="AM257" i="56"/>
  <c r="AL257" i="56"/>
  <c r="AK257" i="56"/>
  <c r="AJ257" i="56"/>
  <c r="AI257" i="56"/>
  <c r="AS257" i="56" s="1"/>
  <c r="AO256" i="56"/>
  <c r="AV256" i="56" s="1"/>
  <c r="AN256" i="56"/>
  <c r="AU256" i="56" s="1"/>
  <c r="AM256" i="56"/>
  <c r="AL256" i="56"/>
  <c r="AK256" i="56"/>
  <c r="AJ256" i="56"/>
  <c r="AI256" i="56"/>
  <c r="AS256" i="56" s="1"/>
  <c r="AO255" i="56"/>
  <c r="AV255" i="56" s="1"/>
  <c r="AN255" i="56"/>
  <c r="AU255" i="56" s="1"/>
  <c r="AM255" i="56"/>
  <c r="AL255" i="56"/>
  <c r="AK255" i="56"/>
  <c r="AJ255" i="56"/>
  <c r="AI255" i="56"/>
  <c r="AS255" i="56" s="1"/>
  <c r="AO254" i="56"/>
  <c r="AV254" i="56" s="1"/>
  <c r="AN254" i="56"/>
  <c r="AU254" i="56" s="1"/>
  <c r="AM254" i="56"/>
  <c r="AL254" i="56"/>
  <c r="AK254" i="56"/>
  <c r="AJ254" i="56"/>
  <c r="AI254" i="56"/>
  <c r="AS254" i="56" s="1"/>
  <c r="AO253" i="56"/>
  <c r="AV253" i="56" s="1"/>
  <c r="AN253" i="56"/>
  <c r="AU253" i="56" s="1"/>
  <c r="AM253" i="56"/>
  <c r="AL253" i="56"/>
  <c r="AK253" i="56"/>
  <c r="AJ253" i="56"/>
  <c r="AI253" i="56"/>
  <c r="AS253" i="56" s="1"/>
  <c r="AO252" i="56"/>
  <c r="AV252" i="56" s="1"/>
  <c r="AN252" i="56"/>
  <c r="AU252" i="56" s="1"/>
  <c r="AM252" i="56"/>
  <c r="AL252" i="56"/>
  <c r="AK252" i="56"/>
  <c r="AJ252" i="56"/>
  <c r="AI252" i="56"/>
  <c r="AS252" i="56" s="1"/>
  <c r="AO251" i="56"/>
  <c r="AV251" i="56" s="1"/>
  <c r="AN251" i="56"/>
  <c r="AU251" i="56" s="1"/>
  <c r="AM251" i="56"/>
  <c r="AL251" i="56"/>
  <c r="AK251" i="56"/>
  <c r="AJ251" i="56"/>
  <c r="AI251" i="56"/>
  <c r="AS251" i="56" s="1"/>
  <c r="AO250" i="56"/>
  <c r="AV250" i="56" s="1"/>
  <c r="AN250" i="56"/>
  <c r="AU250" i="56" s="1"/>
  <c r="AM250" i="56"/>
  <c r="AL250" i="56"/>
  <c r="AK250" i="56"/>
  <c r="AJ250" i="56"/>
  <c r="AI250" i="56"/>
  <c r="AS250" i="56" s="1"/>
  <c r="AO249" i="56"/>
  <c r="AV249" i="56" s="1"/>
  <c r="AN249" i="56"/>
  <c r="AU249" i="56" s="1"/>
  <c r="AM249" i="56"/>
  <c r="AL249" i="56"/>
  <c r="AK249" i="56"/>
  <c r="AJ249" i="56"/>
  <c r="AI249" i="56"/>
  <c r="AS249" i="56" s="1"/>
  <c r="AO248" i="56"/>
  <c r="AV248" i="56" s="1"/>
  <c r="AN248" i="56"/>
  <c r="AU248" i="56" s="1"/>
  <c r="AM248" i="56"/>
  <c r="AL248" i="56"/>
  <c r="AK248" i="56"/>
  <c r="AJ248" i="56"/>
  <c r="AI248" i="56"/>
  <c r="AS248" i="56" s="1"/>
  <c r="AO247" i="56"/>
  <c r="AV247" i="56" s="1"/>
  <c r="AN247" i="56"/>
  <c r="AU247" i="56" s="1"/>
  <c r="AM247" i="56"/>
  <c r="AL247" i="56"/>
  <c r="AK247" i="56"/>
  <c r="AJ247" i="56"/>
  <c r="AI247" i="56"/>
  <c r="AS247" i="56" s="1"/>
  <c r="AO246" i="56"/>
  <c r="AV246" i="56" s="1"/>
  <c r="AN246" i="56"/>
  <c r="AU246" i="56" s="1"/>
  <c r="AM246" i="56"/>
  <c r="AL246" i="56"/>
  <c r="AK246" i="56"/>
  <c r="AJ246" i="56"/>
  <c r="AI246" i="56"/>
  <c r="AS246" i="56" s="1"/>
  <c r="AO245" i="56"/>
  <c r="AV245" i="56" s="1"/>
  <c r="AN245" i="56"/>
  <c r="AU245" i="56" s="1"/>
  <c r="AM245" i="56"/>
  <c r="AL245" i="56"/>
  <c r="AK245" i="56"/>
  <c r="AJ245" i="56"/>
  <c r="AI245" i="56"/>
  <c r="AS245" i="56" s="1"/>
  <c r="AO244" i="56"/>
  <c r="AV244" i="56" s="1"/>
  <c r="AN244" i="56"/>
  <c r="AU244" i="56" s="1"/>
  <c r="AM244" i="56"/>
  <c r="AL244" i="56"/>
  <c r="AK244" i="56"/>
  <c r="AJ244" i="56"/>
  <c r="AI244" i="56"/>
  <c r="AS244" i="56" s="1"/>
  <c r="AO243" i="56"/>
  <c r="AV243" i="56" s="1"/>
  <c r="AN243" i="56"/>
  <c r="AU243" i="56" s="1"/>
  <c r="AM243" i="56"/>
  <c r="AL243" i="56"/>
  <c r="AK243" i="56"/>
  <c r="AJ243" i="56"/>
  <c r="AI243" i="56"/>
  <c r="AS243" i="56" s="1"/>
  <c r="AO242" i="56"/>
  <c r="AV242" i="56" s="1"/>
  <c r="AN242" i="56"/>
  <c r="AU242" i="56" s="1"/>
  <c r="AM242" i="56"/>
  <c r="AL242" i="56"/>
  <c r="AK242" i="56"/>
  <c r="AJ242" i="56"/>
  <c r="AI242" i="56"/>
  <c r="AS242" i="56" s="1"/>
  <c r="AO241" i="56"/>
  <c r="AV241" i="56" s="1"/>
  <c r="AN241" i="56"/>
  <c r="AU241" i="56" s="1"/>
  <c r="AM241" i="56"/>
  <c r="AL241" i="56"/>
  <c r="AK241" i="56"/>
  <c r="AJ241" i="56"/>
  <c r="AI241" i="56"/>
  <c r="AS241" i="56" s="1"/>
  <c r="AO240" i="56"/>
  <c r="AV240" i="56" s="1"/>
  <c r="AN240" i="56"/>
  <c r="AU240" i="56" s="1"/>
  <c r="AM240" i="56"/>
  <c r="AL240" i="56"/>
  <c r="AK240" i="56"/>
  <c r="AJ240" i="56"/>
  <c r="AI240" i="56"/>
  <c r="AS240" i="56" s="1"/>
  <c r="AO239" i="56"/>
  <c r="AV239" i="56" s="1"/>
  <c r="AN239" i="56"/>
  <c r="AU239" i="56" s="1"/>
  <c r="AM239" i="56"/>
  <c r="AL239" i="56"/>
  <c r="AK239" i="56"/>
  <c r="AJ239" i="56"/>
  <c r="AI239" i="56"/>
  <c r="AS239" i="56" s="1"/>
  <c r="AO238" i="56"/>
  <c r="AV238" i="56" s="1"/>
  <c r="AN238" i="56"/>
  <c r="AU238" i="56" s="1"/>
  <c r="AM238" i="56"/>
  <c r="AL238" i="56"/>
  <c r="AK238" i="56"/>
  <c r="AJ238" i="56"/>
  <c r="AI238" i="56"/>
  <c r="AS238" i="56" s="1"/>
  <c r="AO237" i="56"/>
  <c r="AV237" i="56" s="1"/>
  <c r="AN237" i="56"/>
  <c r="AU237" i="56" s="1"/>
  <c r="AM237" i="56"/>
  <c r="AL237" i="56"/>
  <c r="AK237" i="56"/>
  <c r="AJ237" i="56"/>
  <c r="AI237" i="56"/>
  <c r="AS237" i="56" s="1"/>
  <c r="AO236" i="56"/>
  <c r="AV236" i="56" s="1"/>
  <c r="AN236" i="56"/>
  <c r="AU236" i="56" s="1"/>
  <c r="AM236" i="56"/>
  <c r="AL236" i="56"/>
  <c r="AK236" i="56"/>
  <c r="AJ236" i="56"/>
  <c r="AI236" i="56"/>
  <c r="AS236" i="56" s="1"/>
  <c r="AO235" i="56"/>
  <c r="AV235" i="56" s="1"/>
  <c r="AN235" i="56"/>
  <c r="AU235" i="56" s="1"/>
  <c r="AM235" i="56"/>
  <c r="AL235" i="56"/>
  <c r="AK235" i="56"/>
  <c r="AJ235" i="56"/>
  <c r="AI235" i="56"/>
  <c r="AS235" i="56" s="1"/>
  <c r="AO234" i="56"/>
  <c r="AV234" i="56" s="1"/>
  <c r="AN234" i="56"/>
  <c r="AU234" i="56" s="1"/>
  <c r="AM234" i="56"/>
  <c r="AL234" i="56"/>
  <c r="AK234" i="56"/>
  <c r="AJ234" i="56"/>
  <c r="AI234" i="56"/>
  <c r="AS234" i="56" s="1"/>
  <c r="AO233" i="56"/>
  <c r="AV233" i="56" s="1"/>
  <c r="AN233" i="56"/>
  <c r="AU233" i="56" s="1"/>
  <c r="AM233" i="56"/>
  <c r="AL233" i="56"/>
  <c r="AK233" i="56"/>
  <c r="AJ233" i="56"/>
  <c r="AI233" i="56"/>
  <c r="AS233" i="56" s="1"/>
  <c r="AO232" i="56"/>
  <c r="AV232" i="56" s="1"/>
  <c r="AN232" i="56"/>
  <c r="AU232" i="56" s="1"/>
  <c r="AM232" i="56"/>
  <c r="AL232" i="56"/>
  <c r="AK232" i="56"/>
  <c r="AJ232" i="56"/>
  <c r="AI232" i="56"/>
  <c r="AS232" i="56" s="1"/>
  <c r="AO231" i="56"/>
  <c r="AV231" i="56" s="1"/>
  <c r="AN231" i="56"/>
  <c r="AU231" i="56" s="1"/>
  <c r="AM231" i="56"/>
  <c r="AL231" i="56"/>
  <c r="AK231" i="56"/>
  <c r="AJ231" i="56"/>
  <c r="AI231" i="56"/>
  <c r="AS231" i="56" s="1"/>
  <c r="AO230" i="56"/>
  <c r="AV230" i="56" s="1"/>
  <c r="AN230" i="56"/>
  <c r="AU230" i="56" s="1"/>
  <c r="AM230" i="56"/>
  <c r="AL230" i="56"/>
  <c r="AK230" i="56"/>
  <c r="AJ230" i="56"/>
  <c r="AI230" i="56"/>
  <c r="AS230" i="56" s="1"/>
  <c r="AO229" i="56"/>
  <c r="AV229" i="56" s="1"/>
  <c r="AN229" i="56"/>
  <c r="AU229" i="56" s="1"/>
  <c r="AM229" i="56"/>
  <c r="AL229" i="56"/>
  <c r="AK229" i="56"/>
  <c r="AJ229" i="56"/>
  <c r="AI229" i="56"/>
  <c r="AS229" i="56" s="1"/>
  <c r="AO228" i="56"/>
  <c r="AV228" i="56" s="1"/>
  <c r="AN228" i="56"/>
  <c r="AU228" i="56" s="1"/>
  <c r="AM228" i="56"/>
  <c r="AL228" i="56"/>
  <c r="AK228" i="56"/>
  <c r="AJ228" i="56"/>
  <c r="AI228" i="56"/>
  <c r="AS228" i="56" s="1"/>
  <c r="AO227" i="56"/>
  <c r="AV227" i="56" s="1"/>
  <c r="AN227" i="56"/>
  <c r="AU227" i="56" s="1"/>
  <c r="AM227" i="56"/>
  <c r="AL227" i="56"/>
  <c r="AK227" i="56"/>
  <c r="AJ227" i="56"/>
  <c r="AI227" i="56"/>
  <c r="AS227" i="56" s="1"/>
  <c r="AO226" i="56"/>
  <c r="AV226" i="56" s="1"/>
  <c r="AN226" i="56"/>
  <c r="AU226" i="56" s="1"/>
  <c r="AM226" i="56"/>
  <c r="AL226" i="56"/>
  <c r="AK226" i="56"/>
  <c r="AJ226" i="56"/>
  <c r="AI226" i="56"/>
  <c r="AS226" i="56" s="1"/>
  <c r="AO225" i="56"/>
  <c r="AV225" i="56" s="1"/>
  <c r="AN225" i="56"/>
  <c r="AU225" i="56" s="1"/>
  <c r="AM225" i="56"/>
  <c r="AL225" i="56"/>
  <c r="AK225" i="56"/>
  <c r="AJ225" i="56"/>
  <c r="AI225" i="56"/>
  <c r="AS225" i="56" s="1"/>
  <c r="AO224" i="56"/>
  <c r="AV224" i="56" s="1"/>
  <c r="AN224" i="56"/>
  <c r="AU224" i="56" s="1"/>
  <c r="AM224" i="56"/>
  <c r="AL224" i="56"/>
  <c r="AK224" i="56"/>
  <c r="AJ224" i="56"/>
  <c r="AI224" i="56"/>
  <c r="AS224" i="56" s="1"/>
  <c r="AO223" i="56"/>
  <c r="AV223" i="56" s="1"/>
  <c r="AN223" i="56"/>
  <c r="AU223" i="56" s="1"/>
  <c r="AM223" i="56"/>
  <c r="AL223" i="56"/>
  <c r="AK223" i="56"/>
  <c r="AJ223" i="56"/>
  <c r="AI223" i="56"/>
  <c r="AS223" i="56" s="1"/>
  <c r="AO222" i="56"/>
  <c r="AV222" i="56" s="1"/>
  <c r="AN222" i="56"/>
  <c r="AU222" i="56" s="1"/>
  <c r="AM222" i="56"/>
  <c r="AL222" i="56"/>
  <c r="AK222" i="56"/>
  <c r="AJ222" i="56"/>
  <c r="AI222" i="56"/>
  <c r="AS222" i="56" s="1"/>
  <c r="AO221" i="56"/>
  <c r="AV221" i="56" s="1"/>
  <c r="AN221" i="56"/>
  <c r="AU221" i="56" s="1"/>
  <c r="AM221" i="56"/>
  <c r="AL221" i="56"/>
  <c r="AK221" i="56"/>
  <c r="AJ221" i="56"/>
  <c r="AI221" i="56"/>
  <c r="AS221" i="56" s="1"/>
  <c r="AO220" i="56"/>
  <c r="AV220" i="56" s="1"/>
  <c r="AN220" i="56"/>
  <c r="AU220" i="56" s="1"/>
  <c r="AM220" i="56"/>
  <c r="AL220" i="56"/>
  <c r="AK220" i="56"/>
  <c r="AJ220" i="56"/>
  <c r="AI220" i="56"/>
  <c r="AS220" i="56" s="1"/>
  <c r="AO219" i="56"/>
  <c r="AV219" i="56" s="1"/>
  <c r="AN219" i="56"/>
  <c r="AU219" i="56" s="1"/>
  <c r="AM219" i="56"/>
  <c r="AL219" i="56"/>
  <c r="AK219" i="56"/>
  <c r="AJ219" i="56"/>
  <c r="AI219" i="56"/>
  <c r="AS219" i="56" s="1"/>
  <c r="AO218" i="56"/>
  <c r="AV218" i="56" s="1"/>
  <c r="AN218" i="56"/>
  <c r="AU218" i="56" s="1"/>
  <c r="AM218" i="56"/>
  <c r="AL218" i="56"/>
  <c r="AK218" i="56"/>
  <c r="AJ218" i="56"/>
  <c r="AI218" i="56"/>
  <c r="AS218" i="56" s="1"/>
  <c r="AO217" i="56"/>
  <c r="AV217" i="56" s="1"/>
  <c r="AN217" i="56"/>
  <c r="AU217" i="56" s="1"/>
  <c r="AM217" i="56"/>
  <c r="AL217" i="56"/>
  <c r="AK217" i="56"/>
  <c r="AJ217" i="56"/>
  <c r="AI217" i="56"/>
  <c r="AS217" i="56" s="1"/>
  <c r="AO216" i="56"/>
  <c r="AV216" i="56" s="1"/>
  <c r="AN216" i="56"/>
  <c r="AU216" i="56" s="1"/>
  <c r="AM216" i="56"/>
  <c r="AL216" i="56"/>
  <c r="AK216" i="56"/>
  <c r="AJ216" i="56"/>
  <c r="AI216" i="56"/>
  <c r="AS216" i="56" s="1"/>
  <c r="AO215" i="56"/>
  <c r="AV215" i="56" s="1"/>
  <c r="AN215" i="56"/>
  <c r="AU215" i="56" s="1"/>
  <c r="AM215" i="56"/>
  <c r="AL215" i="56"/>
  <c r="AK215" i="56"/>
  <c r="AJ215" i="56"/>
  <c r="AI215" i="56"/>
  <c r="AS215" i="56" s="1"/>
  <c r="AO214" i="56"/>
  <c r="AV214" i="56" s="1"/>
  <c r="AN214" i="56"/>
  <c r="AU214" i="56" s="1"/>
  <c r="AM214" i="56"/>
  <c r="AL214" i="56"/>
  <c r="AK214" i="56"/>
  <c r="AJ214" i="56"/>
  <c r="AI214" i="56"/>
  <c r="AS214" i="56" s="1"/>
  <c r="AO213" i="56"/>
  <c r="AV213" i="56" s="1"/>
  <c r="AN213" i="56"/>
  <c r="AU213" i="56" s="1"/>
  <c r="AM213" i="56"/>
  <c r="AL213" i="56"/>
  <c r="AK213" i="56"/>
  <c r="AJ213" i="56"/>
  <c r="AI213" i="56"/>
  <c r="AS213" i="56" s="1"/>
  <c r="AO212" i="56"/>
  <c r="AV212" i="56" s="1"/>
  <c r="AN212" i="56"/>
  <c r="AU212" i="56" s="1"/>
  <c r="AM212" i="56"/>
  <c r="AL212" i="56"/>
  <c r="AK212" i="56"/>
  <c r="AJ212" i="56"/>
  <c r="AI212" i="56"/>
  <c r="AS212" i="56" s="1"/>
  <c r="AO211" i="56"/>
  <c r="AV211" i="56" s="1"/>
  <c r="AN211" i="56"/>
  <c r="AU211" i="56" s="1"/>
  <c r="AM211" i="56"/>
  <c r="AL211" i="56"/>
  <c r="AK211" i="56"/>
  <c r="AJ211" i="56"/>
  <c r="AI211" i="56"/>
  <c r="AS211" i="56" s="1"/>
  <c r="AO210" i="56"/>
  <c r="AV210" i="56" s="1"/>
  <c r="AN210" i="56"/>
  <c r="AU210" i="56" s="1"/>
  <c r="AM210" i="56"/>
  <c r="AL210" i="56"/>
  <c r="AK210" i="56"/>
  <c r="AJ210" i="56"/>
  <c r="AI210" i="56"/>
  <c r="AS210" i="56" s="1"/>
  <c r="AO209" i="56"/>
  <c r="AV209" i="56" s="1"/>
  <c r="AN209" i="56"/>
  <c r="AU209" i="56" s="1"/>
  <c r="AM209" i="56"/>
  <c r="AL209" i="56"/>
  <c r="AK209" i="56"/>
  <c r="AJ209" i="56"/>
  <c r="AI209" i="56"/>
  <c r="AS209" i="56" s="1"/>
  <c r="AO208" i="56"/>
  <c r="AV208" i="56" s="1"/>
  <c r="AN208" i="56"/>
  <c r="AU208" i="56" s="1"/>
  <c r="AM208" i="56"/>
  <c r="AL208" i="56"/>
  <c r="AK208" i="56"/>
  <c r="AJ208" i="56"/>
  <c r="AI208" i="56"/>
  <c r="AS208" i="56" s="1"/>
  <c r="AO207" i="56"/>
  <c r="AV207" i="56" s="1"/>
  <c r="AN207" i="56"/>
  <c r="AU207" i="56" s="1"/>
  <c r="AM207" i="56"/>
  <c r="AL207" i="56"/>
  <c r="AK207" i="56"/>
  <c r="AJ207" i="56"/>
  <c r="AI207" i="56"/>
  <c r="AS207" i="56" s="1"/>
  <c r="AO206" i="56"/>
  <c r="AV206" i="56" s="1"/>
  <c r="AN206" i="56"/>
  <c r="AU206" i="56" s="1"/>
  <c r="AM206" i="56"/>
  <c r="AL206" i="56"/>
  <c r="AK206" i="56"/>
  <c r="AJ206" i="56"/>
  <c r="AI206" i="56"/>
  <c r="AS206" i="56" s="1"/>
  <c r="AO205" i="56"/>
  <c r="AV205" i="56" s="1"/>
  <c r="AN205" i="56"/>
  <c r="AU205" i="56" s="1"/>
  <c r="AM205" i="56"/>
  <c r="AL205" i="56"/>
  <c r="AK205" i="56"/>
  <c r="AJ205" i="56"/>
  <c r="AI205" i="56"/>
  <c r="AS205" i="56" s="1"/>
  <c r="AO204" i="56"/>
  <c r="AV204" i="56" s="1"/>
  <c r="AN204" i="56"/>
  <c r="AU204" i="56" s="1"/>
  <c r="AM204" i="56"/>
  <c r="AL204" i="56"/>
  <c r="AK204" i="56"/>
  <c r="AJ204" i="56"/>
  <c r="AI204" i="56"/>
  <c r="AS204" i="56" s="1"/>
  <c r="AO203" i="56"/>
  <c r="AV203" i="56" s="1"/>
  <c r="AN203" i="56"/>
  <c r="AU203" i="56" s="1"/>
  <c r="AM203" i="56"/>
  <c r="AL203" i="56"/>
  <c r="AK203" i="56"/>
  <c r="AJ203" i="56"/>
  <c r="AI203" i="56"/>
  <c r="AS203" i="56" s="1"/>
  <c r="AO202" i="56"/>
  <c r="AV202" i="56" s="1"/>
  <c r="AN202" i="56"/>
  <c r="AU202" i="56" s="1"/>
  <c r="AM202" i="56"/>
  <c r="AL202" i="56"/>
  <c r="AK202" i="56"/>
  <c r="AJ202" i="56"/>
  <c r="AI202" i="56"/>
  <c r="AS202" i="56" s="1"/>
  <c r="AO201" i="56"/>
  <c r="AV201" i="56" s="1"/>
  <c r="AN201" i="56"/>
  <c r="AU201" i="56" s="1"/>
  <c r="AM201" i="56"/>
  <c r="AL201" i="56"/>
  <c r="AK201" i="56"/>
  <c r="AJ201" i="56"/>
  <c r="AI201" i="56"/>
  <c r="AS201" i="56" s="1"/>
  <c r="AO200" i="56"/>
  <c r="AV200" i="56" s="1"/>
  <c r="AN200" i="56"/>
  <c r="AU200" i="56" s="1"/>
  <c r="AM200" i="56"/>
  <c r="AL200" i="56"/>
  <c r="AK200" i="56"/>
  <c r="AJ200" i="56"/>
  <c r="AI200" i="56"/>
  <c r="AS200" i="56" s="1"/>
  <c r="AO199" i="56"/>
  <c r="AV199" i="56" s="1"/>
  <c r="AN199" i="56"/>
  <c r="AU199" i="56" s="1"/>
  <c r="AM199" i="56"/>
  <c r="AL199" i="56"/>
  <c r="AK199" i="56"/>
  <c r="AJ199" i="56"/>
  <c r="AI199" i="56"/>
  <c r="AS199" i="56" s="1"/>
  <c r="AO198" i="56"/>
  <c r="AV198" i="56" s="1"/>
  <c r="AN198" i="56"/>
  <c r="AU198" i="56" s="1"/>
  <c r="AM198" i="56"/>
  <c r="AL198" i="56"/>
  <c r="AK198" i="56"/>
  <c r="AJ198" i="56"/>
  <c r="AI198" i="56"/>
  <c r="AS198" i="56" s="1"/>
  <c r="AO197" i="56"/>
  <c r="AV197" i="56" s="1"/>
  <c r="AN197" i="56"/>
  <c r="AU197" i="56" s="1"/>
  <c r="AM197" i="56"/>
  <c r="AL197" i="56"/>
  <c r="AK197" i="56"/>
  <c r="AJ197" i="56"/>
  <c r="AI197" i="56"/>
  <c r="AS197" i="56" s="1"/>
  <c r="AO196" i="56"/>
  <c r="AV196" i="56" s="1"/>
  <c r="AN196" i="56"/>
  <c r="AU196" i="56" s="1"/>
  <c r="AM196" i="56"/>
  <c r="AL196" i="56"/>
  <c r="AK196" i="56"/>
  <c r="AJ196" i="56"/>
  <c r="AI196" i="56"/>
  <c r="AS196" i="56" s="1"/>
  <c r="AO195" i="56"/>
  <c r="AV195" i="56" s="1"/>
  <c r="AN195" i="56"/>
  <c r="AU195" i="56" s="1"/>
  <c r="AM195" i="56"/>
  <c r="AL195" i="56"/>
  <c r="AK195" i="56"/>
  <c r="AJ195" i="56"/>
  <c r="AI195" i="56"/>
  <c r="AS195" i="56" s="1"/>
  <c r="AO194" i="56"/>
  <c r="AV194" i="56" s="1"/>
  <c r="AN194" i="56"/>
  <c r="AU194" i="56" s="1"/>
  <c r="AM194" i="56"/>
  <c r="AL194" i="56"/>
  <c r="AK194" i="56"/>
  <c r="AJ194" i="56"/>
  <c r="AI194" i="56"/>
  <c r="AS194" i="56" s="1"/>
  <c r="AO193" i="56"/>
  <c r="AV193" i="56" s="1"/>
  <c r="AN193" i="56"/>
  <c r="AU193" i="56" s="1"/>
  <c r="AM193" i="56"/>
  <c r="AL193" i="56"/>
  <c r="AK193" i="56"/>
  <c r="AJ193" i="56"/>
  <c r="AI193" i="56"/>
  <c r="AS193" i="56" s="1"/>
  <c r="AO192" i="56"/>
  <c r="AV192" i="56" s="1"/>
  <c r="AN192" i="56"/>
  <c r="AU192" i="56" s="1"/>
  <c r="AM192" i="56"/>
  <c r="AL192" i="56"/>
  <c r="AK192" i="56"/>
  <c r="AJ192" i="56"/>
  <c r="AI192" i="56"/>
  <c r="AS192" i="56" s="1"/>
  <c r="AO191" i="56"/>
  <c r="AV191" i="56" s="1"/>
  <c r="AN191" i="56"/>
  <c r="AU191" i="56" s="1"/>
  <c r="AM191" i="56"/>
  <c r="AL191" i="56"/>
  <c r="AK191" i="56"/>
  <c r="AJ191" i="56"/>
  <c r="AI191" i="56"/>
  <c r="AS191" i="56" s="1"/>
  <c r="AO190" i="56"/>
  <c r="AV190" i="56" s="1"/>
  <c r="AN190" i="56"/>
  <c r="AU190" i="56" s="1"/>
  <c r="AM190" i="56"/>
  <c r="AL190" i="56"/>
  <c r="AK190" i="56"/>
  <c r="AJ190" i="56"/>
  <c r="AI190" i="56"/>
  <c r="AS190" i="56" s="1"/>
  <c r="AO189" i="56"/>
  <c r="AV189" i="56" s="1"/>
  <c r="AN189" i="56"/>
  <c r="AU189" i="56" s="1"/>
  <c r="AM189" i="56"/>
  <c r="AL189" i="56"/>
  <c r="AK189" i="56"/>
  <c r="AJ189" i="56"/>
  <c r="AI189" i="56"/>
  <c r="AS189" i="56" s="1"/>
  <c r="AO188" i="56"/>
  <c r="AV188" i="56" s="1"/>
  <c r="AN188" i="56"/>
  <c r="AU188" i="56" s="1"/>
  <c r="AM188" i="56"/>
  <c r="AL188" i="56"/>
  <c r="AK188" i="56"/>
  <c r="AJ188" i="56"/>
  <c r="AI188" i="56"/>
  <c r="AS188" i="56" s="1"/>
  <c r="AO187" i="56"/>
  <c r="AV187" i="56" s="1"/>
  <c r="AN187" i="56"/>
  <c r="AU187" i="56" s="1"/>
  <c r="AM187" i="56"/>
  <c r="AL187" i="56"/>
  <c r="AK187" i="56"/>
  <c r="AJ187" i="56"/>
  <c r="AI187" i="56"/>
  <c r="AS187" i="56" s="1"/>
  <c r="AO186" i="56"/>
  <c r="AV186" i="56" s="1"/>
  <c r="AN186" i="56"/>
  <c r="AU186" i="56" s="1"/>
  <c r="AM186" i="56"/>
  <c r="AL186" i="56"/>
  <c r="AK186" i="56"/>
  <c r="AJ186" i="56"/>
  <c r="AI186" i="56"/>
  <c r="AS186" i="56" s="1"/>
  <c r="AO185" i="56"/>
  <c r="AV185" i="56" s="1"/>
  <c r="AN185" i="56"/>
  <c r="AU185" i="56" s="1"/>
  <c r="AM185" i="56"/>
  <c r="AL185" i="56"/>
  <c r="AK185" i="56"/>
  <c r="AJ185" i="56"/>
  <c r="AI185" i="56"/>
  <c r="AS185" i="56" s="1"/>
  <c r="AO184" i="56"/>
  <c r="AV184" i="56" s="1"/>
  <c r="AN184" i="56"/>
  <c r="AU184" i="56" s="1"/>
  <c r="AM184" i="56"/>
  <c r="AL184" i="56"/>
  <c r="AK184" i="56"/>
  <c r="AJ184" i="56"/>
  <c r="AI184" i="56"/>
  <c r="AS184" i="56" s="1"/>
  <c r="AO183" i="56"/>
  <c r="AV183" i="56" s="1"/>
  <c r="AN183" i="56"/>
  <c r="AU183" i="56" s="1"/>
  <c r="AM183" i="56"/>
  <c r="AL183" i="56"/>
  <c r="AK183" i="56"/>
  <c r="AJ183" i="56"/>
  <c r="AI183" i="56"/>
  <c r="AS183" i="56" s="1"/>
  <c r="AO182" i="56"/>
  <c r="AV182" i="56" s="1"/>
  <c r="AN182" i="56"/>
  <c r="AU182" i="56" s="1"/>
  <c r="AM182" i="56"/>
  <c r="AL182" i="56"/>
  <c r="AK182" i="56"/>
  <c r="AJ182" i="56"/>
  <c r="AI182" i="56"/>
  <c r="AS182" i="56" s="1"/>
  <c r="AO181" i="56"/>
  <c r="AV181" i="56" s="1"/>
  <c r="AN181" i="56"/>
  <c r="AU181" i="56" s="1"/>
  <c r="AM181" i="56"/>
  <c r="AL181" i="56"/>
  <c r="AK181" i="56"/>
  <c r="AJ181" i="56"/>
  <c r="AI181" i="56"/>
  <c r="AS181" i="56" s="1"/>
  <c r="AO180" i="56"/>
  <c r="AV180" i="56" s="1"/>
  <c r="AN180" i="56"/>
  <c r="AU180" i="56" s="1"/>
  <c r="AM180" i="56"/>
  <c r="AL180" i="56"/>
  <c r="AK180" i="56"/>
  <c r="AJ180" i="56"/>
  <c r="AI180" i="56"/>
  <c r="AS180" i="56" s="1"/>
  <c r="AO179" i="56"/>
  <c r="AV179" i="56" s="1"/>
  <c r="AN179" i="56"/>
  <c r="AU179" i="56" s="1"/>
  <c r="AM179" i="56"/>
  <c r="AL179" i="56"/>
  <c r="AK179" i="56"/>
  <c r="AJ179" i="56"/>
  <c r="AI179" i="56"/>
  <c r="AS179" i="56" s="1"/>
  <c r="AO178" i="56"/>
  <c r="AV178" i="56" s="1"/>
  <c r="AN178" i="56"/>
  <c r="AU178" i="56" s="1"/>
  <c r="AM178" i="56"/>
  <c r="AL178" i="56"/>
  <c r="AK178" i="56"/>
  <c r="AJ178" i="56"/>
  <c r="AI178" i="56"/>
  <c r="AS178" i="56" s="1"/>
  <c r="AO177" i="56"/>
  <c r="AV177" i="56" s="1"/>
  <c r="AN177" i="56"/>
  <c r="AU177" i="56" s="1"/>
  <c r="AM177" i="56"/>
  <c r="AL177" i="56"/>
  <c r="AK177" i="56"/>
  <c r="AJ177" i="56"/>
  <c r="AI177" i="56"/>
  <c r="AS177" i="56" s="1"/>
  <c r="AO176" i="56"/>
  <c r="AV176" i="56" s="1"/>
  <c r="AN176" i="56"/>
  <c r="AU176" i="56" s="1"/>
  <c r="AM176" i="56"/>
  <c r="AL176" i="56"/>
  <c r="AK176" i="56"/>
  <c r="AJ176" i="56"/>
  <c r="AI176" i="56"/>
  <c r="AS176" i="56" s="1"/>
  <c r="AO175" i="56"/>
  <c r="AV175" i="56" s="1"/>
  <c r="AN175" i="56"/>
  <c r="AU175" i="56" s="1"/>
  <c r="AM175" i="56"/>
  <c r="AL175" i="56"/>
  <c r="AK175" i="56"/>
  <c r="AJ175" i="56"/>
  <c r="AI175" i="56"/>
  <c r="AS175" i="56" s="1"/>
  <c r="AO174" i="56"/>
  <c r="AV174" i="56" s="1"/>
  <c r="AN174" i="56"/>
  <c r="AU174" i="56" s="1"/>
  <c r="AM174" i="56"/>
  <c r="AL174" i="56"/>
  <c r="AK174" i="56"/>
  <c r="AJ174" i="56"/>
  <c r="AI174" i="56"/>
  <c r="AS174" i="56" s="1"/>
  <c r="AO173" i="56"/>
  <c r="AV173" i="56" s="1"/>
  <c r="AN173" i="56"/>
  <c r="AU173" i="56" s="1"/>
  <c r="AM173" i="56"/>
  <c r="AL173" i="56"/>
  <c r="AK173" i="56"/>
  <c r="AJ173" i="56"/>
  <c r="AI173" i="56"/>
  <c r="AS173" i="56" s="1"/>
  <c r="AO172" i="56"/>
  <c r="AV172" i="56" s="1"/>
  <c r="AN172" i="56"/>
  <c r="AU172" i="56" s="1"/>
  <c r="AM172" i="56"/>
  <c r="AL172" i="56"/>
  <c r="AK172" i="56"/>
  <c r="AJ172" i="56"/>
  <c r="AI172" i="56"/>
  <c r="AS172" i="56" s="1"/>
  <c r="AO171" i="56"/>
  <c r="AV171" i="56" s="1"/>
  <c r="AN171" i="56"/>
  <c r="AU171" i="56" s="1"/>
  <c r="AM171" i="56"/>
  <c r="AL171" i="56"/>
  <c r="AK171" i="56"/>
  <c r="AJ171" i="56"/>
  <c r="AI171" i="56"/>
  <c r="AS171" i="56" s="1"/>
  <c r="AO170" i="56"/>
  <c r="AV170" i="56" s="1"/>
  <c r="AN170" i="56"/>
  <c r="AU170" i="56" s="1"/>
  <c r="AM170" i="56"/>
  <c r="AL170" i="56"/>
  <c r="AK170" i="56"/>
  <c r="AJ170" i="56"/>
  <c r="AI170" i="56"/>
  <c r="AS170" i="56" s="1"/>
  <c r="AO169" i="56"/>
  <c r="AV169" i="56" s="1"/>
  <c r="AN169" i="56"/>
  <c r="AU169" i="56" s="1"/>
  <c r="AM169" i="56"/>
  <c r="AL169" i="56"/>
  <c r="AK169" i="56"/>
  <c r="AJ169" i="56"/>
  <c r="AI169" i="56"/>
  <c r="AS169" i="56" s="1"/>
  <c r="AO168" i="56"/>
  <c r="AV168" i="56" s="1"/>
  <c r="AN168" i="56"/>
  <c r="AU168" i="56" s="1"/>
  <c r="AM168" i="56"/>
  <c r="AL168" i="56"/>
  <c r="AK168" i="56"/>
  <c r="AJ168" i="56"/>
  <c r="AI168" i="56"/>
  <c r="AS168" i="56" s="1"/>
  <c r="AO167" i="56"/>
  <c r="AV167" i="56" s="1"/>
  <c r="AN167" i="56"/>
  <c r="AU167" i="56" s="1"/>
  <c r="AM167" i="56"/>
  <c r="AL167" i="56"/>
  <c r="AK167" i="56"/>
  <c r="AJ167" i="56"/>
  <c r="AI167" i="56"/>
  <c r="AS167" i="56" s="1"/>
  <c r="AO166" i="56"/>
  <c r="AV166" i="56" s="1"/>
  <c r="AN166" i="56"/>
  <c r="AU166" i="56" s="1"/>
  <c r="AM166" i="56"/>
  <c r="AL166" i="56"/>
  <c r="AK166" i="56"/>
  <c r="AJ166" i="56"/>
  <c r="AI166" i="56"/>
  <c r="AS166" i="56" s="1"/>
  <c r="AO165" i="56"/>
  <c r="AV165" i="56" s="1"/>
  <c r="AN165" i="56"/>
  <c r="AU165" i="56" s="1"/>
  <c r="AM165" i="56"/>
  <c r="AL165" i="56"/>
  <c r="AK165" i="56"/>
  <c r="AJ165" i="56"/>
  <c r="AI165" i="56"/>
  <c r="AS165" i="56" s="1"/>
  <c r="AO164" i="56"/>
  <c r="AV164" i="56" s="1"/>
  <c r="AN164" i="56"/>
  <c r="AU164" i="56" s="1"/>
  <c r="AM164" i="56"/>
  <c r="AL164" i="56"/>
  <c r="AK164" i="56"/>
  <c r="AJ164" i="56"/>
  <c r="AI164" i="56"/>
  <c r="AS164" i="56" s="1"/>
  <c r="AO163" i="56"/>
  <c r="AV163" i="56" s="1"/>
  <c r="AN163" i="56"/>
  <c r="AU163" i="56" s="1"/>
  <c r="AM163" i="56"/>
  <c r="AL163" i="56"/>
  <c r="AK163" i="56"/>
  <c r="AJ163" i="56"/>
  <c r="AI163" i="56"/>
  <c r="AS163" i="56" s="1"/>
  <c r="AO162" i="56"/>
  <c r="AV162" i="56" s="1"/>
  <c r="AN162" i="56"/>
  <c r="AU162" i="56" s="1"/>
  <c r="AM162" i="56"/>
  <c r="AL162" i="56"/>
  <c r="AK162" i="56"/>
  <c r="AJ162" i="56"/>
  <c r="AI162" i="56"/>
  <c r="AS162" i="56" s="1"/>
  <c r="AO161" i="56"/>
  <c r="AV161" i="56" s="1"/>
  <c r="AN161" i="56"/>
  <c r="AU161" i="56" s="1"/>
  <c r="AM161" i="56"/>
  <c r="AL161" i="56"/>
  <c r="AK161" i="56"/>
  <c r="AJ161" i="56"/>
  <c r="AI161" i="56"/>
  <c r="AS161" i="56" s="1"/>
  <c r="AO160" i="56"/>
  <c r="AV160" i="56" s="1"/>
  <c r="AN160" i="56"/>
  <c r="AU160" i="56" s="1"/>
  <c r="AM160" i="56"/>
  <c r="AL160" i="56"/>
  <c r="AK160" i="56"/>
  <c r="AJ160" i="56"/>
  <c r="AI160" i="56"/>
  <c r="AS160" i="56" s="1"/>
  <c r="AO159" i="56"/>
  <c r="AV159" i="56" s="1"/>
  <c r="AN159" i="56"/>
  <c r="AU159" i="56" s="1"/>
  <c r="AM159" i="56"/>
  <c r="AL159" i="56"/>
  <c r="AK159" i="56"/>
  <c r="AJ159" i="56"/>
  <c r="AI159" i="56"/>
  <c r="AS159" i="56" s="1"/>
  <c r="AO158" i="56"/>
  <c r="AV158" i="56" s="1"/>
  <c r="AN158" i="56"/>
  <c r="AU158" i="56" s="1"/>
  <c r="AM158" i="56"/>
  <c r="AL158" i="56"/>
  <c r="AK158" i="56"/>
  <c r="AJ158" i="56"/>
  <c r="AI158" i="56"/>
  <c r="AS158" i="56" s="1"/>
  <c r="AO157" i="56"/>
  <c r="AV157" i="56" s="1"/>
  <c r="AN157" i="56"/>
  <c r="AU157" i="56" s="1"/>
  <c r="AM157" i="56"/>
  <c r="AL157" i="56"/>
  <c r="AK157" i="56"/>
  <c r="AJ157" i="56"/>
  <c r="AI157" i="56"/>
  <c r="AS157" i="56" s="1"/>
  <c r="AO156" i="56"/>
  <c r="AV156" i="56" s="1"/>
  <c r="AN156" i="56"/>
  <c r="AU156" i="56" s="1"/>
  <c r="AM156" i="56"/>
  <c r="AL156" i="56"/>
  <c r="AK156" i="56"/>
  <c r="AJ156" i="56"/>
  <c r="AI156" i="56"/>
  <c r="AS156" i="56" s="1"/>
  <c r="AO155" i="56"/>
  <c r="AV155" i="56" s="1"/>
  <c r="AN155" i="56"/>
  <c r="AU155" i="56" s="1"/>
  <c r="AM155" i="56"/>
  <c r="AL155" i="56"/>
  <c r="AK155" i="56"/>
  <c r="AJ155" i="56"/>
  <c r="AI155" i="56"/>
  <c r="AS155" i="56" s="1"/>
  <c r="AO154" i="56"/>
  <c r="AV154" i="56" s="1"/>
  <c r="AN154" i="56"/>
  <c r="AU154" i="56" s="1"/>
  <c r="AM154" i="56"/>
  <c r="AL154" i="56"/>
  <c r="AK154" i="56"/>
  <c r="AJ154" i="56"/>
  <c r="AI154" i="56"/>
  <c r="AS154" i="56" s="1"/>
  <c r="AO153" i="56"/>
  <c r="AV153" i="56" s="1"/>
  <c r="AN153" i="56"/>
  <c r="AU153" i="56" s="1"/>
  <c r="AM153" i="56"/>
  <c r="AL153" i="56"/>
  <c r="AK153" i="56"/>
  <c r="AJ153" i="56"/>
  <c r="AI153" i="56"/>
  <c r="AS153" i="56" s="1"/>
  <c r="AO152" i="56"/>
  <c r="AV152" i="56" s="1"/>
  <c r="AN152" i="56"/>
  <c r="AU152" i="56" s="1"/>
  <c r="AM152" i="56"/>
  <c r="AL152" i="56"/>
  <c r="AK152" i="56"/>
  <c r="AJ152" i="56"/>
  <c r="AI152" i="56"/>
  <c r="AS152" i="56" s="1"/>
  <c r="AO151" i="56"/>
  <c r="AV151" i="56" s="1"/>
  <c r="AN151" i="56"/>
  <c r="AU151" i="56" s="1"/>
  <c r="AM151" i="56"/>
  <c r="AL151" i="56"/>
  <c r="AK151" i="56"/>
  <c r="AJ151" i="56"/>
  <c r="AI151" i="56"/>
  <c r="AS151" i="56" s="1"/>
  <c r="AO150" i="56"/>
  <c r="AV150" i="56" s="1"/>
  <c r="AN150" i="56"/>
  <c r="AU150" i="56" s="1"/>
  <c r="AM150" i="56"/>
  <c r="AL150" i="56"/>
  <c r="AK150" i="56"/>
  <c r="AJ150" i="56"/>
  <c r="AI150" i="56"/>
  <c r="AS150" i="56" s="1"/>
  <c r="AO149" i="56"/>
  <c r="AV149" i="56" s="1"/>
  <c r="AN149" i="56"/>
  <c r="AU149" i="56" s="1"/>
  <c r="AM149" i="56"/>
  <c r="AL149" i="56"/>
  <c r="AK149" i="56"/>
  <c r="AJ149" i="56"/>
  <c r="AI149" i="56"/>
  <c r="AS149" i="56" s="1"/>
  <c r="AO148" i="56"/>
  <c r="AV148" i="56" s="1"/>
  <c r="AN148" i="56"/>
  <c r="AU148" i="56" s="1"/>
  <c r="AM148" i="56"/>
  <c r="AL148" i="56"/>
  <c r="AK148" i="56"/>
  <c r="AJ148" i="56"/>
  <c r="AI148" i="56"/>
  <c r="AS148" i="56" s="1"/>
  <c r="AO147" i="56"/>
  <c r="AV147" i="56" s="1"/>
  <c r="AN147" i="56"/>
  <c r="AU147" i="56" s="1"/>
  <c r="AM147" i="56"/>
  <c r="AL147" i="56"/>
  <c r="AK147" i="56"/>
  <c r="AJ147" i="56"/>
  <c r="AI147" i="56"/>
  <c r="AS147" i="56" s="1"/>
  <c r="AO146" i="56"/>
  <c r="AV146" i="56" s="1"/>
  <c r="AN146" i="56"/>
  <c r="AU146" i="56" s="1"/>
  <c r="AM146" i="56"/>
  <c r="AL146" i="56"/>
  <c r="AK146" i="56"/>
  <c r="AJ146" i="56"/>
  <c r="AI146" i="56"/>
  <c r="AS146" i="56" s="1"/>
  <c r="AO145" i="56"/>
  <c r="AV145" i="56" s="1"/>
  <c r="AN145" i="56"/>
  <c r="AU145" i="56" s="1"/>
  <c r="AM145" i="56"/>
  <c r="AL145" i="56"/>
  <c r="AK145" i="56"/>
  <c r="AJ145" i="56"/>
  <c r="AI145" i="56"/>
  <c r="AS145" i="56" s="1"/>
  <c r="AO144" i="56"/>
  <c r="AV144" i="56" s="1"/>
  <c r="AN144" i="56"/>
  <c r="AU144" i="56" s="1"/>
  <c r="AM144" i="56"/>
  <c r="AL144" i="56"/>
  <c r="AK144" i="56"/>
  <c r="AJ144" i="56"/>
  <c r="AI144" i="56"/>
  <c r="AS144" i="56" s="1"/>
  <c r="AO143" i="56"/>
  <c r="AV143" i="56" s="1"/>
  <c r="AN143" i="56"/>
  <c r="AU143" i="56" s="1"/>
  <c r="AM143" i="56"/>
  <c r="AL143" i="56"/>
  <c r="AK143" i="56"/>
  <c r="AJ143" i="56"/>
  <c r="AI143" i="56"/>
  <c r="AS143" i="56" s="1"/>
  <c r="AO142" i="56"/>
  <c r="AV142" i="56" s="1"/>
  <c r="AN142" i="56"/>
  <c r="AU142" i="56" s="1"/>
  <c r="AM142" i="56"/>
  <c r="AL142" i="56"/>
  <c r="AK142" i="56"/>
  <c r="AJ142" i="56"/>
  <c r="AI142" i="56"/>
  <c r="AS142" i="56" s="1"/>
  <c r="AO141" i="56"/>
  <c r="AV141" i="56" s="1"/>
  <c r="AN141" i="56"/>
  <c r="AU141" i="56" s="1"/>
  <c r="AM141" i="56"/>
  <c r="AL141" i="56"/>
  <c r="AK141" i="56"/>
  <c r="AJ141" i="56"/>
  <c r="AI141" i="56"/>
  <c r="AS141" i="56" s="1"/>
  <c r="AO140" i="56"/>
  <c r="AV140" i="56" s="1"/>
  <c r="AN140" i="56"/>
  <c r="AU140" i="56" s="1"/>
  <c r="AM140" i="56"/>
  <c r="AL140" i="56"/>
  <c r="AK140" i="56"/>
  <c r="AJ140" i="56"/>
  <c r="AI140" i="56"/>
  <c r="AS140" i="56" s="1"/>
  <c r="AO139" i="56"/>
  <c r="AV139" i="56" s="1"/>
  <c r="AN139" i="56"/>
  <c r="AU139" i="56" s="1"/>
  <c r="AM139" i="56"/>
  <c r="AL139" i="56"/>
  <c r="AK139" i="56"/>
  <c r="AJ139" i="56"/>
  <c r="AI139" i="56"/>
  <c r="AS139" i="56" s="1"/>
  <c r="AO138" i="56"/>
  <c r="AV138" i="56" s="1"/>
  <c r="AN138" i="56"/>
  <c r="AU138" i="56" s="1"/>
  <c r="AM138" i="56"/>
  <c r="AL138" i="56"/>
  <c r="AK138" i="56"/>
  <c r="AJ138" i="56"/>
  <c r="AI138" i="56"/>
  <c r="AS138" i="56" s="1"/>
  <c r="AO137" i="56"/>
  <c r="AV137" i="56" s="1"/>
  <c r="AN137" i="56"/>
  <c r="AU137" i="56" s="1"/>
  <c r="AM137" i="56"/>
  <c r="AL137" i="56"/>
  <c r="AK137" i="56"/>
  <c r="AJ137" i="56"/>
  <c r="AI137" i="56"/>
  <c r="AS137" i="56" s="1"/>
  <c r="AO136" i="56"/>
  <c r="AV136" i="56" s="1"/>
  <c r="AN136" i="56"/>
  <c r="AU136" i="56" s="1"/>
  <c r="AM136" i="56"/>
  <c r="AL136" i="56"/>
  <c r="AK136" i="56"/>
  <c r="AJ136" i="56"/>
  <c r="AI136" i="56"/>
  <c r="AS136" i="56" s="1"/>
  <c r="AO135" i="56"/>
  <c r="AV135" i="56" s="1"/>
  <c r="AN135" i="56"/>
  <c r="AU135" i="56" s="1"/>
  <c r="AM135" i="56"/>
  <c r="AL135" i="56"/>
  <c r="AK135" i="56"/>
  <c r="AJ135" i="56"/>
  <c r="AI135" i="56"/>
  <c r="AS135" i="56" s="1"/>
  <c r="AO134" i="56"/>
  <c r="AV134" i="56" s="1"/>
  <c r="AN134" i="56"/>
  <c r="AU134" i="56" s="1"/>
  <c r="AM134" i="56"/>
  <c r="AL134" i="56"/>
  <c r="AK134" i="56"/>
  <c r="AJ134" i="56"/>
  <c r="AI134" i="56"/>
  <c r="AS134" i="56" s="1"/>
  <c r="AO133" i="56"/>
  <c r="AV133" i="56" s="1"/>
  <c r="AN133" i="56"/>
  <c r="AU133" i="56" s="1"/>
  <c r="AM133" i="56"/>
  <c r="AL133" i="56"/>
  <c r="AK133" i="56"/>
  <c r="AJ133" i="56"/>
  <c r="AI133" i="56"/>
  <c r="AS133" i="56" s="1"/>
  <c r="AO132" i="56"/>
  <c r="AV132" i="56" s="1"/>
  <c r="AN132" i="56"/>
  <c r="AU132" i="56" s="1"/>
  <c r="AM132" i="56"/>
  <c r="AL132" i="56"/>
  <c r="AK132" i="56"/>
  <c r="AJ132" i="56"/>
  <c r="AI132" i="56"/>
  <c r="AS132" i="56" s="1"/>
  <c r="AO131" i="56"/>
  <c r="AV131" i="56" s="1"/>
  <c r="AN131" i="56"/>
  <c r="AU131" i="56" s="1"/>
  <c r="AM131" i="56"/>
  <c r="AL131" i="56"/>
  <c r="AK131" i="56"/>
  <c r="AJ131" i="56"/>
  <c r="AI131" i="56"/>
  <c r="AS131" i="56" s="1"/>
  <c r="AO130" i="56"/>
  <c r="AV130" i="56" s="1"/>
  <c r="AN130" i="56"/>
  <c r="AU130" i="56" s="1"/>
  <c r="AM130" i="56"/>
  <c r="AL130" i="56"/>
  <c r="AK130" i="56"/>
  <c r="AJ130" i="56"/>
  <c r="AI130" i="56"/>
  <c r="AS130" i="56" s="1"/>
  <c r="AO129" i="56"/>
  <c r="AV129" i="56" s="1"/>
  <c r="AN129" i="56"/>
  <c r="AU129" i="56" s="1"/>
  <c r="AM129" i="56"/>
  <c r="AL129" i="56"/>
  <c r="AK129" i="56"/>
  <c r="AJ129" i="56"/>
  <c r="AI129" i="56"/>
  <c r="AS129" i="56" s="1"/>
  <c r="AO128" i="56"/>
  <c r="AV128" i="56" s="1"/>
  <c r="AN128" i="56"/>
  <c r="AU128" i="56" s="1"/>
  <c r="AM128" i="56"/>
  <c r="AL128" i="56"/>
  <c r="AK128" i="56"/>
  <c r="AJ128" i="56"/>
  <c r="AI128" i="56"/>
  <c r="AS128" i="56" s="1"/>
  <c r="AO127" i="56"/>
  <c r="AV127" i="56" s="1"/>
  <c r="AN127" i="56"/>
  <c r="AU127" i="56" s="1"/>
  <c r="AM127" i="56"/>
  <c r="AL127" i="56"/>
  <c r="AK127" i="56"/>
  <c r="AJ127" i="56"/>
  <c r="AI127" i="56"/>
  <c r="AS127" i="56" s="1"/>
  <c r="AO126" i="56"/>
  <c r="AV126" i="56" s="1"/>
  <c r="AN126" i="56"/>
  <c r="AU126" i="56" s="1"/>
  <c r="AM126" i="56"/>
  <c r="AL126" i="56"/>
  <c r="AK126" i="56"/>
  <c r="AJ126" i="56"/>
  <c r="AI126" i="56"/>
  <c r="AS126" i="56" s="1"/>
  <c r="AO125" i="56"/>
  <c r="AV125" i="56" s="1"/>
  <c r="AN125" i="56"/>
  <c r="AU125" i="56" s="1"/>
  <c r="AM125" i="56"/>
  <c r="AL125" i="56"/>
  <c r="AK125" i="56"/>
  <c r="AJ125" i="56"/>
  <c r="AI125" i="56"/>
  <c r="AS125" i="56" s="1"/>
  <c r="AO124" i="56"/>
  <c r="AV124" i="56" s="1"/>
  <c r="AN124" i="56"/>
  <c r="AU124" i="56" s="1"/>
  <c r="AM124" i="56"/>
  <c r="AL124" i="56"/>
  <c r="AK124" i="56"/>
  <c r="AJ124" i="56"/>
  <c r="AI124" i="56"/>
  <c r="AS124" i="56" s="1"/>
  <c r="AO123" i="56"/>
  <c r="AV123" i="56" s="1"/>
  <c r="AN123" i="56"/>
  <c r="AU123" i="56" s="1"/>
  <c r="AM123" i="56"/>
  <c r="AL123" i="56"/>
  <c r="AK123" i="56"/>
  <c r="AJ123" i="56"/>
  <c r="AI123" i="56"/>
  <c r="AS123" i="56" s="1"/>
  <c r="AO122" i="56"/>
  <c r="AV122" i="56" s="1"/>
  <c r="AN122" i="56"/>
  <c r="AU122" i="56" s="1"/>
  <c r="AM122" i="56"/>
  <c r="AL122" i="56"/>
  <c r="AK122" i="56"/>
  <c r="AJ122" i="56"/>
  <c r="AI122" i="56"/>
  <c r="AS122" i="56" s="1"/>
  <c r="AO121" i="56"/>
  <c r="AV121" i="56" s="1"/>
  <c r="AN121" i="56"/>
  <c r="AU121" i="56" s="1"/>
  <c r="AM121" i="56"/>
  <c r="AL121" i="56"/>
  <c r="AK121" i="56"/>
  <c r="AJ121" i="56"/>
  <c r="AI121" i="56"/>
  <c r="AS121" i="56" s="1"/>
  <c r="AO120" i="56"/>
  <c r="AV120" i="56" s="1"/>
  <c r="AN120" i="56"/>
  <c r="AU120" i="56" s="1"/>
  <c r="AM120" i="56"/>
  <c r="AL120" i="56"/>
  <c r="AK120" i="56"/>
  <c r="AJ120" i="56"/>
  <c r="AI120" i="56"/>
  <c r="AS120" i="56" s="1"/>
  <c r="AO119" i="56"/>
  <c r="AV119" i="56" s="1"/>
  <c r="AN119" i="56"/>
  <c r="AU119" i="56" s="1"/>
  <c r="AM119" i="56"/>
  <c r="AL119" i="56"/>
  <c r="AK119" i="56"/>
  <c r="AJ119" i="56"/>
  <c r="AI119" i="56"/>
  <c r="AS119" i="56" s="1"/>
  <c r="AO118" i="56"/>
  <c r="AV118" i="56" s="1"/>
  <c r="AN118" i="56"/>
  <c r="AU118" i="56" s="1"/>
  <c r="AM118" i="56"/>
  <c r="AL118" i="56"/>
  <c r="AK118" i="56"/>
  <c r="AJ118" i="56"/>
  <c r="AI118" i="56"/>
  <c r="AS118" i="56" s="1"/>
  <c r="AO117" i="56"/>
  <c r="AV117" i="56" s="1"/>
  <c r="AN117" i="56"/>
  <c r="AU117" i="56" s="1"/>
  <c r="AM117" i="56"/>
  <c r="AL117" i="56"/>
  <c r="AK117" i="56"/>
  <c r="AJ117" i="56"/>
  <c r="AI117" i="56"/>
  <c r="AS117" i="56" s="1"/>
  <c r="AO116" i="56"/>
  <c r="AV116" i="56" s="1"/>
  <c r="AN116" i="56"/>
  <c r="AU116" i="56" s="1"/>
  <c r="AM116" i="56"/>
  <c r="AL116" i="56"/>
  <c r="AK116" i="56"/>
  <c r="AJ116" i="56"/>
  <c r="AI116" i="56"/>
  <c r="AS116" i="56" s="1"/>
  <c r="AO115" i="56"/>
  <c r="AV115" i="56" s="1"/>
  <c r="AN115" i="56"/>
  <c r="AU115" i="56" s="1"/>
  <c r="AM115" i="56"/>
  <c r="AL115" i="56"/>
  <c r="AK115" i="56"/>
  <c r="AJ115" i="56"/>
  <c r="AI115" i="56"/>
  <c r="AS115" i="56" s="1"/>
  <c r="AO114" i="56"/>
  <c r="AV114" i="56" s="1"/>
  <c r="AN114" i="56"/>
  <c r="AU114" i="56" s="1"/>
  <c r="AM114" i="56"/>
  <c r="AL114" i="56"/>
  <c r="AK114" i="56"/>
  <c r="AJ114" i="56"/>
  <c r="AI114" i="56"/>
  <c r="AS114" i="56" s="1"/>
  <c r="AO113" i="56"/>
  <c r="AV113" i="56" s="1"/>
  <c r="AN113" i="56"/>
  <c r="AU113" i="56" s="1"/>
  <c r="AM113" i="56"/>
  <c r="AL113" i="56"/>
  <c r="AK113" i="56"/>
  <c r="AJ113" i="56"/>
  <c r="AI113" i="56"/>
  <c r="AS113" i="56" s="1"/>
  <c r="AO112" i="56"/>
  <c r="AV112" i="56" s="1"/>
  <c r="AN112" i="56"/>
  <c r="AU112" i="56" s="1"/>
  <c r="AM112" i="56"/>
  <c r="AL112" i="56"/>
  <c r="AK112" i="56"/>
  <c r="AJ112" i="56"/>
  <c r="AI112" i="56"/>
  <c r="AS112" i="56" s="1"/>
  <c r="AO111" i="56"/>
  <c r="AV111" i="56" s="1"/>
  <c r="AN111" i="56"/>
  <c r="AU111" i="56" s="1"/>
  <c r="AM111" i="56"/>
  <c r="AL111" i="56"/>
  <c r="AK111" i="56"/>
  <c r="AJ111" i="56"/>
  <c r="AI111" i="56"/>
  <c r="AS111" i="56" s="1"/>
  <c r="AO110" i="56"/>
  <c r="AV110" i="56" s="1"/>
  <c r="AN110" i="56"/>
  <c r="AU110" i="56" s="1"/>
  <c r="AM110" i="56"/>
  <c r="AL110" i="56"/>
  <c r="AK110" i="56"/>
  <c r="AJ110" i="56"/>
  <c r="AI110" i="56"/>
  <c r="AS110" i="56" s="1"/>
  <c r="AO109" i="56"/>
  <c r="AV109" i="56" s="1"/>
  <c r="AN109" i="56"/>
  <c r="AU109" i="56" s="1"/>
  <c r="AM109" i="56"/>
  <c r="AL109" i="56"/>
  <c r="AK109" i="56"/>
  <c r="AJ109" i="56"/>
  <c r="AI109" i="56"/>
  <c r="AS109" i="56" s="1"/>
  <c r="AO108" i="56"/>
  <c r="AV108" i="56" s="1"/>
  <c r="AN108" i="56"/>
  <c r="AU108" i="56" s="1"/>
  <c r="AM108" i="56"/>
  <c r="AL108" i="56"/>
  <c r="AK108" i="56"/>
  <c r="AJ108" i="56"/>
  <c r="AI108" i="56"/>
  <c r="AS108" i="56" s="1"/>
  <c r="AO107" i="56"/>
  <c r="AV107" i="56" s="1"/>
  <c r="AN107" i="56"/>
  <c r="AU107" i="56" s="1"/>
  <c r="AM107" i="56"/>
  <c r="AL107" i="56"/>
  <c r="AK107" i="56"/>
  <c r="AJ107" i="56"/>
  <c r="AI107" i="56"/>
  <c r="AS107" i="56" s="1"/>
  <c r="AO106" i="56"/>
  <c r="AV106" i="56" s="1"/>
  <c r="AN106" i="56"/>
  <c r="AU106" i="56" s="1"/>
  <c r="AM106" i="56"/>
  <c r="AL106" i="56"/>
  <c r="AK106" i="56"/>
  <c r="AJ106" i="56"/>
  <c r="AI106" i="56"/>
  <c r="AS106" i="56" s="1"/>
  <c r="AO105" i="56"/>
  <c r="AV105" i="56" s="1"/>
  <c r="AN105" i="56"/>
  <c r="AU105" i="56" s="1"/>
  <c r="AM105" i="56"/>
  <c r="AL105" i="56"/>
  <c r="AK105" i="56"/>
  <c r="AJ105" i="56"/>
  <c r="AI105" i="56"/>
  <c r="AS105" i="56" s="1"/>
  <c r="AO104" i="56"/>
  <c r="AV104" i="56" s="1"/>
  <c r="AN104" i="56"/>
  <c r="AU104" i="56" s="1"/>
  <c r="AM104" i="56"/>
  <c r="AL104" i="56"/>
  <c r="AK104" i="56"/>
  <c r="AJ104" i="56"/>
  <c r="AI104" i="56"/>
  <c r="AS104" i="56" s="1"/>
  <c r="AO103" i="56"/>
  <c r="AV103" i="56" s="1"/>
  <c r="AN103" i="56"/>
  <c r="AU103" i="56" s="1"/>
  <c r="AM103" i="56"/>
  <c r="AL103" i="56"/>
  <c r="AK103" i="56"/>
  <c r="AJ103" i="56"/>
  <c r="AI103" i="56"/>
  <c r="AS103" i="56" s="1"/>
  <c r="AO102" i="56"/>
  <c r="AV102" i="56" s="1"/>
  <c r="AN102" i="56"/>
  <c r="AU102" i="56" s="1"/>
  <c r="AM102" i="56"/>
  <c r="AL102" i="56"/>
  <c r="AK102" i="56"/>
  <c r="AJ102" i="56"/>
  <c r="AI102" i="56"/>
  <c r="AS102" i="56" s="1"/>
  <c r="AO101" i="56"/>
  <c r="AV101" i="56" s="1"/>
  <c r="AN101" i="56"/>
  <c r="AU101" i="56" s="1"/>
  <c r="AM101" i="56"/>
  <c r="AL101" i="56"/>
  <c r="AK101" i="56"/>
  <c r="AJ101" i="56"/>
  <c r="AI101" i="56"/>
  <c r="AS101" i="56" s="1"/>
  <c r="AO100" i="56"/>
  <c r="AV100" i="56" s="1"/>
  <c r="AN100" i="56"/>
  <c r="AU100" i="56" s="1"/>
  <c r="AM100" i="56"/>
  <c r="AL100" i="56"/>
  <c r="AK100" i="56"/>
  <c r="AJ100" i="56"/>
  <c r="AI100" i="56"/>
  <c r="AS100" i="56" s="1"/>
  <c r="AO99" i="56"/>
  <c r="AV99" i="56" s="1"/>
  <c r="AN99" i="56"/>
  <c r="AU99" i="56" s="1"/>
  <c r="AM99" i="56"/>
  <c r="AL99" i="56"/>
  <c r="AK99" i="56"/>
  <c r="AJ99" i="56"/>
  <c r="AI99" i="56"/>
  <c r="AS99" i="56" s="1"/>
  <c r="AO98" i="56"/>
  <c r="AV98" i="56" s="1"/>
  <c r="AN98" i="56"/>
  <c r="AU98" i="56" s="1"/>
  <c r="AM98" i="56"/>
  <c r="AL98" i="56"/>
  <c r="AK98" i="56"/>
  <c r="AJ98" i="56"/>
  <c r="AI98" i="56"/>
  <c r="AS98" i="56" s="1"/>
  <c r="AO97" i="56"/>
  <c r="AV97" i="56" s="1"/>
  <c r="AN97" i="56"/>
  <c r="AU97" i="56" s="1"/>
  <c r="AM97" i="56"/>
  <c r="AL97" i="56"/>
  <c r="AK97" i="56"/>
  <c r="AJ97" i="56"/>
  <c r="AI97" i="56"/>
  <c r="AS97" i="56" s="1"/>
  <c r="AO96" i="56"/>
  <c r="AV96" i="56" s="1"/>
  <c r="AN96" i="56"/>
  <c r="AU96" i="56" s="1"/>
  <c r="AM96" i="56"/>
  <c r="AL96" i="56"/>
  <c r="AK96" i="56"/>
  <c r="AJ96" i="56"/>
  <c r="AI96" i="56"/>
  <c r="AS96" i="56" s="1"/>
  <c r="AO95" i="56"/>
  <c r="AV95" i="56" s="1"/>
  <c r="AN95" i="56"/>
  <c r="AU95" i="56" s="1"/>
  <c r="AM95" i="56"/>
  <c r="AL95" i="56"/>
  <c r="AK95" i="56"/>
  <c r="AJ95" i="56"/>
  <c r="AI95" i="56"/>
  <c r="AS95" i="56" s="1"/>
  <c r="AO94" i="56"/>
  <c r="AV94" i="56" s="1"/>
  <c r="AN94" i="56"/>
  <c r="AU94" i="56" s="1"/>
  <c r="AM94" i="56"/>
  <c r="AL94" i="56"/>
  <c r="AK94" i="56"/>
  <c r="AJ94" i="56"/>
  <c r="AI94" i="56"/>
  <c r="AS94" i="56" s="1"/>
  <c r="AO93" i="56"/>
  <c r="AV93" i="56" s="1"/>
  <c r="AN93" i="56"/>
  <c r="AU93" i="56" s="1"/>
  <c r="AM93" i="56"/>
  <c r="AL93" i="56"/>
  <c r="AK93" i="56"/>
  <c r="AJ93" i="56"/>
  <c r="AI93" i="56"/>
  <c r="AS93" i="56" s="1"/>
  <c r="AO92" i="56"/>
  <c r="AV92" i="56" s="1"/>
  <c r="AN92" i="56"/>
  <c r="AU92" i="56" s="1"/>
  <c r="AM92" i="56"/>
  <c r="AL92" i="56"/>
  <c r="AK92" i="56"/>
  <c r="AJ92" i="56"/>
  <c r="AI92" i="56"/>
  <c r="AS92" i="56" s="1"/>
  <c r="AO91" i="56"/>
  <c r="AV91" i="56" s="1"/>
  <c r="AN91" i="56"/>
  <c r="AU91" i="56" s="1"/>
  <c r="AM91" i="56"/>
  <c r="AL91" i="56"/>
  <c r="AK91" i="56"/>
  <c r="AJ91" i="56"/>
  <c r="AI91" i="56"/>
  <c r="AS91" i="56" s="1"/>
  <c r="AO90" i="56"/>
  <c r="AV90" i="56" s="1"/>
  <c r="AN90" i="56"/>
  <c r="AU90" i="56" s="1"/>
  <c r="AM90" i="56"/>
  <c r="AL90" i="56"/>
  <c r="AK90" i="56"/>
  <c r="AJ90" i="56"/>
  <c r="AI90" i="56"/>
  <c r="AS90" i="56" s="1"/>
  <c r="AO89" i="56"/>
  <c r="AV89" i="56" s="1"/>
  <c r="AN89" i="56"/>
  <c r="AU89" i="56" s="1"/>
  <c r="AM89" i="56"/>
  <c r="AL89" i="56"/>
  <c r="AK89" i="56"/>
  <c r="AJ89" i="56"/>
  <c r="AI89" i="56"/>
  <c r="AS89" i="56" s="1"/>
  <c r="AO88" i="56"/>
  <c r="AV88" i="56" s="1"/>
  <c r="AN88" i="56"/>
  <c r="AU88" i="56" s="1"/>
  <c r="AM88" i="56"/>
  <c r="AL88" i="56"/>
  <c r="AK88" i="56"/>
  <c r="AJ88" i="56"/>
  <c r="AI88" i="56"/>
  <c r="AS88" i="56" s="1"/>
  <c r="AO87" i="56"/>
  <c r="AV87" i="56" s="1"/>
  <c r="AN87" i="56"/>
  <c r="AU87" i="56" s="1"/>
  <c r="AM87" i="56"/>
  <c r="AL87" i="56"/>
  <c r="AK87" i="56"/>
  <c r="AJ87" i="56"/>
  <c r="AI87" i="56"/>
  <c r="AS87" i="56" s="1"/>
  <c r="AO86" i="56"/>
  <c r="AV86" i="56" s="1"/>
  <c r="AN86" i="56"/>
  <c r="AU86" i="56" s="1"/>
  <c r="AM86" i="56"/>
  <c r="AL86" i="56"/>
  <c r="AK86" i="56"/>
  <c r="AJ86" i="56"/>
  <c r="AI86" i="56"/>
  <c r="AS86" i="56" s="1"/>
  <c r="AO85" i="56"/>
  <c r="AV85" i="56" s="1"/>
  <c r="AN85" i="56"/>
  <c r="AU85" i="56" s="1"/>
  <c r="AM85" i="56"/>
  <c r="AL85" i="56"/>
  <c r="AK85" i="56"/>
  <c r="AJ85" i="56"/>
  <c r="AI85" i="56"/>
  <c r="AS85" i="56" s="1"/>
  <c r="AO84" i="56"/>
  <c r="AV84" i="56" s="1"/>
  <c r="AN84" i="56"/>
  <c r="AU84" i="56" s="1"/>
  <c r="AM84" i="56"/>
  <c r="AL84" i="56"/>
  <c r="AK84" i="56"/>
  <c r="AJ84" i="56"/>
  <c r="AI84" i="56"/>
  <c r="AS84" i="56" s="1"/>
  <c r="AO83" i="56"/>
  <c r="AV83" i="56" s="1"/>
  <c r="AN83" i="56"/>
  <c r="AU83" i="56" s="1"/>
  <c r="AM83" i="56"/>
  <c r="AL83" i="56"/>
  <c r="AK83" i="56"/>
  <c r="AJ83" i="56"/>
  <c r="AI83" i="56"/>
  <c r="AS83" i="56" s="1"/>
  <c r="AO82" i="56"/>
  <c r="AV82" i="56" s="1"/>
  <c r="AN82" i="56"/>
  <c r="AU82" i="56" s="1"/>
  <c r="AM82" i="56"/>
  <c r="AL82" i="56"/>
  <c r="AK82" i="56"/>
  <c r="AJ82" i="56"/>
  <c r="AI82" i="56"/>
  <c r="AS82" i="56" s="1"/>
  <c r="AO81" i="56"/>
  <c r="AV81" i="56" s="1"/>
  <c r="AN81" i="56"/>
  <c r="AU81" i="56" s="1"/>
  <c r="AM81" i="56"/>
  <c r="AL81" i="56"/>
  <c r="AK81" i="56"/>
  <c r="AJ81" i="56"/>
  <c r="AI81" i="56"/>
  <c r="AS81" i="56" s="1"/>
  <c r="AO80" i="56"/>
  <c r="AV80" i="56" s="1"/>
  <c r="AN80" i="56"/>
  <c r="AU80" i="56" s="1"/>
  <c r="AM80" i="56"/>
  <c r="AL80" i="56"/>
  <c r="AK80" i="56"/>
  <c r="AJ80" i="56"/>
  <c r="AI80" i="56"/>
  <c r="AS80" i="56" s="1"/>
  <c r="AO79" i="56"/>
  <c r="AV79" i="56" s="1"/>
  <c r="AN79" i="56"/>
  <c r="AU79" i="56" s="1"/>
  <c r="AM79" i="56"/>
  <c r="AL79" i="56"/>
  <c r="AK79" i="56"/>
  <c r="AJ79" i="56"/>
  <c r="AI79" i="56"/>
  <c r="AS79" i="56" s="1"/>
  <c r="AO78" i="56"/>
  <c r="AV78" i="56" s="1"/>
  <c r="AN78" i="56"/>
  <c r="AU78" i="56" s="1"/>
  <c r="AM78" i="56"/>
  <c r="AL78" i="56"/>
  <c r="AK78" i="56"/>
  <c r="AJ78" i="56"/>
  <c r="AI78" i="56"/>
  <c r="AS78" i="56" s="1"/>
  <c r="AO77" i="56"/>
  <c r="AV77" i="56" s="1"/>
  <c r="AN77" i="56"/>
  <c r="AU77" i="56" s="1"/>
  <c r="AM77" i="56"/>
  <c r="AL77" i="56"/>
  <c r="AK77" i="56"/>
  <c r="AJ77" i="56"/>
  <c r="AI77" i="56"/>
  <c r="AS77" i="56" s="1"/>
  <c r="AO76" i="56"/>
  <c r="AV76" i="56" s="1"/>
  <c r="AN76" i="56"/>
  <c r="AU76" i="56" s="1"/>
  <c r="AM76" i="56"/>
  <c r="AL76" i="56"/>
  <c r="AK76" i="56"/>
  <c r="AJ76" i="56"/>
  <c r="AI76" i="56"/>
  <c r="AS76" i="56" s="1"/>
  <c r="AO75" i="56"/>
  <c r="AV75" i="56" s="1"/>
  <c r="AN75" i="56"/>
  <c r="AU75" i="56" s="1"/>
  <c r="AM75" i="56"/>
  <c r="AL75" i="56"/>
  <c r="AK75" i="56"/>
  <c r="AJ75" i="56"/>
  <c r="AI75" i="56"/>
  <c r="AS75" i="56" s="1"/>
  <c r="AO74" i="56"/>
  <c r="AV74" i="56" s="1"/>
  <c r="AN74" i="56"/>
  <c r="AU74" i="56" s="1"/>
  <c r="AM74" i="56"/>
  <c r="AL74" i="56"/>
  <c r="AK74" i="56"/>
  <c r="AJ74" i="56"/>
  <c r="AI74" i="56"/>
  <c r="AS74" i="56" s="1"/>
  <c r="AO73" i="56"/>
  <c r="AV73" i="56" s="1"/>
  <c r="AN73" i="56"/>
  <c r="AU73" i="56" s="1"/>
  <c r="AM73" i="56"/>
  <c r="AL73" i="56"/>
  <c r="AK73" i="56"/>
  <c r="AJ73" i="56"/>
  <c r="AI73" i="56"/>
  <c r="AS73" i="56" s="1"/>
  <c r="AO72" i="56"/>
  <c r="AV72" i="56" s="1"/>
  <c r="AN72" i="56"/>
  <c r="AU72" i="56" s="1"/>
  <c r="AM72" i="56"/>
  <c r="AL72" i="56"/>
  <c r="AK72" i="56"/>
  <c r="AJ72" i="56"/>
  <c r="AI72" i="56"/>
  <c r="AS72" i="56" s="1"/>
  <c r="AO71" i="56"/>
  <c r="AV71" i="56" s="1"/>
  <c r="AN71" i="56"/>
  <c r="AU71" i="56" s="1"/>
  <c r="AM71" i="56"/>
  <c r="AL71" i="56"/>
  <c r="AK71" i="56"/>
  <c r="AJ71" i="56"/>
  <c r="AI71" i="56"/>
  <c r="AS71" i="56" s="1"/>
  <c r="AO70" i="56"/>
  <c r="AV70" i="56" s="1"/>
  <c r="AN70" i="56"/>
  <c r="AU70" i="56" s="1"/>
  <c r="AM70" i="56"/>
  <c r="AL70" i="56"/>
  <c r="AK70" i="56"/>
  <c r="AJ70" i="56"/>
  <c r="AI70" i="56"/>
  <c r="AS70" i="56" s="1"/>
  <c r="AO69" i="56"/>
  <c r="AV69" i="56" s="1"/>
  <c r="AN69" i="56"/>
  <c r="AU69" i="56" s="1"/>
  <c r="AM69" i="56"/>
  <c r="AL69" i="56"/>
  <c r="AK69" i="56"/>
  <c r="AJ69" i="56"/>
  <c r="AI69" i="56"/>
  <c r="AS69" i="56" s="1"/>
  <c r="AO68" i="56"/>
  <c r="AV68" i="56" s="1"/>
  <c r="AN68" i="56"/>
  <c r="AU68" i="56" s="1"/>
  <c r="AM68" i="56"/>
  <c r="AL68" i="56"/>
  <c r="AK68" i="56"/>
  <c r="AJ68" i="56"/>
  <c r="AI68" i="56"/>
  <c r="AS68" i="56" s="1"/>
  <c r="AO67" i="56"/>
  <c r="AV67" i="56" s="1"/>
  <c r="AN67" i="56"/>
  <c r="AU67" i="56" s="1"/>
  <c r="AM67" i="56"/>
  <c r="AL67" i="56"/>
  <c r="AK67" i="56"/>
  <c r="AJ67" i="56"/>
  <c r="AI67" i="56"/>
  <c r="AS67" i="56" s="1"/>
  <c r="AO66" i="56"/>
  <c r="AV66" i="56" s="1"/>
  <c r="AN66" i="56"/>
  <c r="AU66" i="56" s="1"/>
  <c r="AM66" i="56"/>
  <c r="AL66" i="56"/>
  <c r="AK66" i="56"/>
  <c r="AJ66" i="56"/>
  <c r="AI66" i="56"/>
  <c r="AS66" i="56" s="1"/>
  <c r="AO65" i="56"/>
  <c r="AV65" i="56" s="1"/>
  <c r="AN65" i="56"/>
  <c r="AU65" i="56" s="1"/>
  <c r="AM65" i="56"/>
  <c r="AL65" i="56"/>
  <c r="AK65" i="56"/>
  <c r="AJ65" i="56"/>
  <c r="AI65" i="56"/>
  <c r="AS65" i="56" s="1"/>
  <c r="AO64" i="56"/>
  <c r="AV64" i="56" s="1"/>
  <c r="AN64" i="56"/>
  <c r="AU64" i="56" s="1"/>
  <c r="AM64" i="56"/>
  <c r="AL64" i="56"/>
  <c r="AK64" i="56"/>
  <c r="AJ64" i="56"/>
  <c r="AI64" i="56"/>
  <c r="AS64" i="56" s="1"/>
  <c r="AO63" i="56"/>
  <c r="AV63" i="56" s="1"/>
  <c r="AN63" i="56"/>
  <c r="AU63" i="56" s="1"/>
  <c r="AM63" i="56"/>
  <c r="AL63" i="56"/>
  <c r="AK63" i="56"/>
  <c r="AJ63" i="56"/>
  <c r="AI63" i="56"/>
  <c r="AS63" i="56" s="1"/>
  <c r="AO62" i="56"/>
  <c r="AV62" i="56" s="1"/>
  <c r="AN62" i="56"/>
  <c r="AU62" i="56" s="1"/>
  <c r="AM62" i="56"/>
  <c r="AL62" i="56"/>
  <c r="AK62" i="56"/>
  <c r="AJ62" i="56"/>
  <c r="AI62" i="56"/>
  <c r="AS62" i="56" s="1"/>
  <c r="AO61" i="56"/>
  <c r="AV61" i="56" s="1"/>
  <c r="AN61" i="56"/>
  <c r="AU61" i="56" s="1"/>
  <c r="AM61" i="56"/>
  <c r="AL61" i="56"/>
  <c r="AK61" i="56"/>
  <c r="AJ61" i="56"/>
  <c r="AI61" i="56"/>
  <c r="AS61" i="56" s="1"/>
  <c r="AO60" i="56"/>
  <c r="AV60" i="56" s="1"/>
  <c r="AN60" i="56"/>
  <c r="AU60" i="56" s="1"/>
  <c r="AM60" i="56"/>
  <c r="AL60" i="56"/>
  <c r="AK60" i="56"/>
  <c r="AJ60" i="56"/>
  <c r="AI60" i="56"/>
  <c r="AS60" i="56" s="1"/>
  <c r="AO59" i="56"/>
  <c r="AV59" i="56" s="1"/>
  <c r="AN59" i="56"/>
  <c r="AU59" i="56" s="1"/>
  <c r="AM59" i="56"/>
  <c r="AL59" i="56"/>
  <c r="AK59" i="56"/>
  <c r="AJ59" i="56"/>
  <c r="AI59" i="56"/>
  <c r="AS59" i="56" s="1"/>
  <c r="AO58" i="56"/>
  <c r="AV58" i="56" s="1"/>
  <c r="AN58" i="56"/>
  <c r="AU58" i="56" s="1"/>
  <c r="AM58" i="56"/>
  <c r="AL58" i="56"/>
  <c r="AK58" i="56"/>
  <c r="AJ58" i="56"/>
  <c r="AI58" i="56"/>
  <c r="AS58" i="56" s="1"/>
  <c r="AO57" i="56"/>
  <c r="AV57" i="56" s="1"/>
  <c r="AN57" i="56"/>
  <c r="AU57" i="56" s="1"/>
  <c r="AM57" i="56"/>
  <c r="AL57" i="56"/>
  <c r="AK57" i="56"/>
  <c r="AJ57" i="56"/>
  <c r="AI57" i="56"/>
  <c r="AS57" i="56" s="1"/>
  <c r="AO56" i="56"/>
  <c r="AV56" i="56" s="1"/>
  <c r="AN56" i="56"/>
  <c r="AU56" i="56" s="1"/>
  <c r="AM56" i="56"/>
  <c r="AL56" i="56"/>
  <c r="AK56" i="56"/>
  <c r="AJ56" i="56"/>
  <c r="AI56" i="56"/>
  <c r="AS56" i="56" s="1"/>
  <c r="AO55" i="56"/>
  <c r="AV55" i="56" s="1"/>
  <c r="AN55" i="56"/>
  <c r="AU55" i="56" s="1"/>
  <c r="AM55" i="56"/>
  <c r="AL55" i="56"/>
  <c r="AK55" i="56"/>
  <c r="AJ55" i="56"/>
  <c r="AI55" i="56"/>
  <c r="AS55" i="56" s="1"/>
  <c r="AO54" i="56"/>
  <c r="AV54" i="56" s="1"/>
  <c r="AN54" i="56"/>
  <c r="AU54" i="56" s="1"/>
  <c r="AM54" i="56"/>
  <c r="AL54" i="56"/>
  <c r="AK54" i="56"/>
  <c r="AJ54" i="56"/>
  <c r="AI54" i="56"/>
  <c r="AS54" i="56" s="1"/>
  <c r="AO53" i="56"/>
  <c r="AV53" i="56" s="1"/>
  <c r="AN53" i="56"/>
  <c r="AU53" i="56" s="1"/>
  <c r="AM53" i="56"/>
  <c r="AL53" i="56"/>
  <c r="AK53" i="56"/>
  <c r="AJ53" i="56"/>
  <c r="AI53" i="56"/>
  <c r="AS53" i="56" s="1"/>
  <c r="AO52" i="56"/>
  <c r="AV52" i="56" s="1"/>
  <c r="AN52" i="56"/>
  <c r="AU52" i="56" s="1"/>
  <c r="AM52" i="56"/>
  <c r="AL52" i="56"/>
  <c r="AK52" i="56"/>
  <c r="AJ52" i="56"/>
  <c r="AI52" i="56"/>
  <c r="AS52" i="56" s="1"/>
  <c r="AO51" i="56"/>
  <c r="AV51" i="56" s="1"/>
  <c r="AN51" i="56"/>
  <c r="AU51" i="56" s="1"/>
  <c r="AM51" i="56"/>
  <c r="AL51" i="56"/>
  <c r="AK51" i="56"/>
  <c r="AJ51" i="56"/>
  <c r="AI51" i="56"/>
  <c r="AS51" i="56" s="1"/>
  <c r="AO50" i="56"/>
  <c r="AV50" i="56" s="1"/>
  <c r="AN50" i="56"/>
  <c r="AU50" i="56" s="1"/>
  <c r="AM50" i="56"/>
  <c r="AL50" i="56"/>
  <c r="AK50" i="56"/>
  <c r="AJ50" i="56"/>
  <c r="AI50" i="56"/>
  <c r="AS50" i="56" s="1"/>
  <c r="AO49" i="56"/>
  <c r="AV49" i="56" s="1"/>
  <c r="AN49" i="56"/>
  <c r="AU49" i="56" s="1"/>
  <c r="AM49" i="56"/>
  <c r="AL49" i="56"/>
  <c r="AK49" i="56"/>
  <c r="AJ49" i="56"/>
  <c r="AI49" i="56"/>
  <c r="AS49" i="56" s="1"/>
  <c r="AO48" i="56"/>
  <c r="AV48" i="56" s="1"/>
  <c r="AN48" i="56"/>
  <c r="AU48" i="56" s="1"/>
  <c r="AM48" i="56"/>
  <c r="AL48" i="56"/>
  <c r="AK48" i="56"/>
  <c r="AJ48" i="56"/>
  <c r="AI48" i="56"/>
  <c r="AS48" i="56" s="1"/>
  <c r="AO47" i="56"/>
  <c r="AV47" i="56" s="1"/>
  <c r="AN47" i="56"/>
  <c r="AU47" i="56" s="1"/>
  <c r="AM47" i="56"/>
  <c r="AL47" i="56"/>
  <c r="AK47" i="56"/>
  <c r="AJ47" i="56"/>
  <c r="AI47" i="56"/>
  <c r="AS47" i="56" s="1"/>
  <c r="AO46" i="56"/>
  <c r="AV46" i="56" s="1"/>
  <c r="AN46" i="56"/>
  <c r="AU46" i="56" s="1"/>
  <c r="AM46" i="56"/>
  <c r="AL46" i="56"/>
  <c r="AK46" i="56"/>
  <c r="AJ46" i="56"/>
  <c r="AI46" i="56"/>
  <c r="AS46" i="56" s="1"/>
  <c r="AO45" i="56"/>
  <c r="AV45" i="56" s="1"/>
  <c r="AN45" i="56"/>
  <c r="AU45" i="56" s="1"/>
  <c r="AM45" i="56"/>
  <c r="AL45" i="56"/>
  <c r="AK45" i="56"/>
  <c r="AJ45" i="56"/>
  <c r="AI45" i="56"/>
  <c r="AS45" i="56" s="1"/>
  <c r="AO44" i="56"/>
  <c r="AV44" i="56" s="1"/>
  <c r="AN44" i="56"/>
  <c r="AU44" i="56" s="1"/>
  <c r="AM44" i="56"/>
  <c r="AL44" i="56"/>
  <c r="AK44" i="56"/>
  <c r="AJ44" i="56"/>
  <c r="AI44" i="56"/>
  <c r="AS44" i="56" s="1"/>
  <c r="AO43" i="56"/>
  <c r="AV43" i="56" s="1"/>
  <c r="AN43" i="56"/>
  <c r="AU43" i="56" s="1"/>
  <c r="AM43" i="56"/>
  <c r="AL43" i="56"/>
  <c r="AK43" i="56"/>
  <c r="AJ43" i="56"/>
  <c r="AI43" i="56"/>
  <c r="AS43" i="56" s="1"/>
  <c r="AO42" i="56"/>
  <c r="AV42" i="56" s="1"/>
  <c r="AN42" i="56"/>
  <c r="AU42" i="56" s="1"/>
  <c r="AM42" i="56"/>
  <c r="AL42" i="56"/>
  <c r="AK42" i="56"/>
  <c r="AJ42" i="56"/>
  <c r="AI42" i="56"/>
  <c r="AS42" i="56" s="1"/>
  <c r="AO41" i="56"/>
  <c r="AV41" i="56" s="1"/>
  <c r="AN41" i="56"/>
  <c r="AU41" i="56" s="1"/>
  <c r="AM41" i="56"/>
  <c r="AL41" i="56"/>
  <c r="AK41" i="56"/>
  <c r="AJ41" i="56"/>
  <c r="AI41" i="56"/>
  <c r="AS41" i="56" s="1"/>
  <c r="AO40" i="56"/>
  <c r="AV40" i="56" s="1"/>
  <c r="AN40" i="56"/>
  <c r="AU40" i="56" s="1"/>
  <c r="AM40" i="56"/>
  <c r="AL40" i="56"/>
  <c r="AK40" i="56"/>
  <c r="AJ40" i="56"/>
  <c r="AI40" i="56"/>
  <c r="AS40" i="56" s="1"/>
  <c r="AO39" i="56"/>
  <c r="AV39" i="56" s="1"/>
  <c r="AN39" i="56"/>
  <c r="AU39" i="56" s="1"/>
  <c r="AM39" i="56"/>
  <c r="AL39" i="56"/>
  <c r="AK39" i="56"/>
  <c r="AJ39" i="56"/>
  <c r="AI39" i="56"/>
  <c r="AS39" i="56" s="1"/>
  <c r="AO38" i="56"/>
  <c r="AV38" i="56" s="1"/>
  <c r="AN38" i="56"/>
  <c r="AU38" i="56" s="1"/>
  <c r="AM38" i="56"/>
  <c r="AL38" i="56"/>
  <c r="AK38" i="56"/>
  <c r="AJ38" i="56"/>
  <c r="AI38" i="56"/>
  <c r="AS38" i="56" s="1"/>
  <c r="AO37" i="56"/>
  <c r="AV37" i="56" s="1"/>
  <c r="AN37" i="56"/>
  <c r="AU37" i="56" s="1"/>
  <c r="AM37" i="56"/>
  <c r="AL37" i="56"/>
  <c r="AK37" i="56"/>
  <c r="AJ37" i="56"/>
  <c r="AI37" i="56"/>
  <c r="AS37" i="56" s="1"/>
  <c r="AO36" i="56"/>
  <c r="AV36" i="56" s="1"/>
  <c r="AN36" i="56"/>
  <c r="AU36" i="56" s="1"/>
  <c r="AM36" i="56"/>
  <c r="AL36" i="56"/>
  <c r="AK36" i="56"/>
  <c r="AJ36" i="56"/>
  <c r="AI36" i="56"/>
  <c r="AS36" i="56" s="1"/>
  <c r="AO35" i="56"/>
  <c r="AV35" i="56" s="1"/>
  <c r="AN35" i="56"/>
  <c r="AU35" i="56" s="1"/>
  <c r="AM35" i="56"/>
  <c r="AL35" i="56"/>
  <c r="AK35" i="56"/>
  <c r="AJ35" i="56"/>
  <c r="AI35" i="56"/>
  <c r="AS35" i="56" s="1"/>
  <c r="AO34" i="56"/>
  <c r="AV34" i="56" s="1"/>
  <c r="AN34" i="56"/>
  <c r="AU34" i="56" s="1"/>
  <c r="AM34" i="56"/>
  <c r="AL34" i="56"/>
  <c r="AK34" i="56"/>
  <c r="AJ34" i="56"/>
  <c r="AI34" i="56"/>
  <c r="AS34" i="56" s="1"/>
  <c r="AO33" i="56"/>
  <c r="AV33" i="56" s="1"/>
  <c r="AN33" i="56"/>
  <c r="AU33" i="56" s="1"/>
  <c r="AM33" i="56"/>
  <c r="AL33" i="56"/>
  <c r="AK33" i="56"/>
  <c r="AJ33" i="56"/>
  <c r="AI33" i="56"/>
  <c r="AS33" i="56" s="1"/>
  <c r="AO32" i="56"/>
  <c r="AV32" i="56" s="1"/>
  <c r="AN32" i="56"/>
  <c r="AU32" i="56" s="1"/>
  <c r="AM32" i="56"/>
  <c r="AL32" i="56"/>
  <c r="AK32" i="56"/>
  <c r="AJ32" i="56"/>
  <c r="AI32" i="56"/>
  <c r="AS32" i="56" s="1"/>
  <c r="AO31" i="56"/>
  <c r="AV31" i="56" s="1"/>
  <c r="AN31" i="56"/>
  <c r="AU31" i="56" s="1"/>
  <c r="AM31" i="56"/>
  <c r="AL31" i="56"/>
  <c r="AK31" i="56"/>
  <c r="AJ31" i="56"/>
  <c r="AI31" i="56"/>
  <c r="AS31" i="56" s="1"/>
  <c r="AO30" i="56"/>
  <c r="AV30" i="56" s="1"/>
  <c r="AN30" i="56"/>
  <c r="AU30" i="56" s="1"/>
  <c r="AM30" i="56"/>
  <c r="AL30" i="56"/>
  <c r="AK30" i="56"/>
  <c r="AJ30" i="56"/>
  <c r="AI30" i="56"/>
  <c r="AS30" i="56" s="1"/>
  <c r="AO29" i="56"/>
  <c r="AV29" i="56" s="1"/>
  <c r="AN29" i="56"/>
  <c r="AU29" i="56" s="1"/>
  <c r="AM29" i="56"/>
  <c r="AL29" i="56"/>
  <c r="AK29" i="56"/>
  <c r="AJ29" i="56"/>
  <c r="AI29" i="56"/>
  <c r="AS29" i="56" s="1"/>
  <c r="AO28" i="56"/>
  <c r="AV28" i="56" s="1"/>
  <c r="AN28" i="56"/>
  <c r="AU28" i="56" s="1"/>
  <c r="AM28" i="56"/>
  <c r="AL28" i="56"/>
  <c r="AK28" i="56"/>
  <c r="AJ28" i="56"/>
  <c r="AI28" i="56"/>
  <c r="AS28" i="56" s="1"/>
  <c r="AO27" i="56"/>
  <c r="AV27" i="56" s="1"/>
  <c r="AN27" i="56"/>
  <c r="AU27" i="56" s="1"/>
  <c r="AM27" i="56"/>
  <c r="AL27" i="56"/>
  <c r="AK27" i="56"/>
  <c r="AJ27" i="56"/>
  <c r="AI27" i="56"/>
  <c r="AS27" i="56" s="1"/>
  <c r="AO26" i="56"/>
  <c r="AV26" i="56" s="1"/>
  <c r="AN26" i="56"/>
  <c r="AU26" i="56" s="1"/>
  <c r="AM26" i="56"/>
  <c r="AL26" i="56"/>
  <c r="AK26" i="56"/>
  <c r="AJ26" i="56"/>
  <c r="AI26" i="56"/>
  <c r="AS26" i="56" s="1"/>
  <c r="AO25" i="56"/>
  <c r="AV25" i="56" s="1"/>
  <c r="AN25" i="56"/>
  <c r="AU25" i="56" s="1"/>
  <c r="AM25" i="56"/>
  <c r="AL25" i="56"/>
  <c r="AK25" i="56"/>
  <c r="AJ25" i="56"/>
  <c r="AI25" i="56"/>
  <c r="AS25" i="56" s="1"/>
  <c r="AO24" i="56"/>
  <c r="AV24" i="56" s="1"/>
  <c r="AN24" i="56"/>
  <c r="AU24" i="56" s="1"/>
  <c r="AM24" i="56"/>
  <c r="AL24" i="56"/>
  <c r="AK24" i="56"/>
  <c r="AJ24" i="56"/>
  <c r="AI24" i="56"/>
  <c r="AS24" i="56" s="1"/>
  <c r="AO23" i="56"/>
  <c r="AV23" i="56" s="1"/>
  <c r="AN23" i="56"/>
  <c r="AU23" i="56" s="1"/>
  <c r="AM23" i="56"/>
  <c r="AL23" i="56"/>
  <c r="AK23" i="56"/>
  <c r="AJ23" i="56"/>
  <c r="AI23" i="56"/>
  <c r="AS23" i="56" s="1"/>
  <c r="AO22" i="56"/>
  <c r="AV22" i="56" s="1"/>
  <c r="AN22" i="56"/>
  <c r="AU22" i="56" s="1"/>
  <c r="AM22" i="56"/>
  <c r="AL22" i="56"/>
  <c r="AK22" i="56"/>
  <c r="AJ22" i="56"/>
  <c r="AI22" i="56"/>
  <c r="AS22" i="56" s="1"/>
  <c r="AO21" i="56"/>
  <c r="AV21" i="56" s="1"/>
  <c r="AN21" i="56"/>
  <c r="AU21" i="56" s="1"/>
  <c r="AM21" i="56"/>
  <c r="AL21" i="56"/>
  <c r="AK21" i="56"/>
  <c r="AJ21" i="56"/>
  <c r="AI21" i="56"/>
  <c r="AS21" i="56" s="1"/>
  <c r="AO20" i="56"/>
  <c r="AV20" i="56" s="1"/>
  <c r="AN20" i="56"/>
  <c r="AU20" i="56" s="1"/>
  <c r="AM20" i="56"/>
  <c r="AL20" i="56"/>
  <c r="AK20" i="56"/>
  <c r="AJ20" i="56"/>
  <c r="AI20" i="56"/>
  <c r="AS20" i="56" s="1"/>
  <c r="AO19" i="56"/>
  <c r="AV19" i="56" s="1"/>
  <c r="AN19" i="56"/>
  <c r="AU19" i="56" s="1"/>
  <c r="AM19" i="56"/>
  <c r="AL19" i="56"/>
  <c r="AK19" i="56"/>
  <c r="AJ19" i="56"/>
  <c r="AI19" i="56"/>
  <c r="AS19" i="56" s="1"/>
  <c r="AO18" i="56"/>
  <c r="AV18" i="56" s="1"/>
  <c r="AN18" i="56"/>
  <c r="AU18" i="56" s="1"/>
  <c r="AM18" i="56"/>
  <c r="AL18" i="56"/>
  <c r="AK18" i="56"/>
  <c r="AJ18" i="56"/>
  <c r="AI18" i="56"/>
  <c r="AS18" i="56" s="1"/>
  <c r="AO17" i="56"/>
  <c r="AV17" i="56" s="1"/>
  <c r="AN17" i="56"/>
  <c r="AU17" i="56" s="1"/>
  <c r="AM17" i="56"/>
  <c r="AL17" i="56"/>
  <c r="AK17" i="56"/>
  <c r="AJ17" i="56"/>
  <c r="AI17" i="56"/>
  <c r="AS17" i="56" s="1"/>
  <c r="AO16" i="56"/>
  <c r="AV16" i="56" s="1"/>
  <c r="AN16" i="56"/>
  <c r="AU16" i="56" s="1"/>
  <c r="AM16" i="56"/>
  <c r="AL16" i="56"/>
  <c r="AK16" i="56"/>
  <c r="AJ16" i="56"/>
  <c r="AI16" i="56"/>
  <c r="AS16" i="56" s="1"/>
  <c r="AO15" i="56"/>
  <c r="AV15" i="56" s="1"/>
  <c r="AN15" i="56"/>
  <c r="AU15" i="56" s="1"/>
  <c r="AM15" i="56"/>
  <c r="AL15" i="56"/>
  <c r="AK15" i="56"/>
  <c r="AJ15" i="56"/>
  <c r="AI15" i="56"/>
  <c r="AS15" i="56" s="1"/>
  <c r="AO14" i="56"/>
  <c r="AV14" i="56" s="1"/>
  <c r="AN14" i="56"/>
  <c r="AU14" i="56" s="1"/>
  <c r="AM14" i="56"/>
  <c r="AL14" i="56"/>
  <c r="AK14" i="56"/>
  <c r="AJ14" i="56"/>
  <c r="AI14" i="56"/>
  <c r="AS14" i="56" s="1"/>
  <c r="AO13" i="56"/>
  <c r="AV13" i="56" s="1"/>
  <c r="AN13" i="56"/>
  <c r="AU13" i="56" s="1"/>
  <c r="AM13" i="56"/>
  <c r="AL13" i="56"/>
  <c r="AK13" i="56"/>
  <c r="AJ13" i="56"/>
  <c r="AI13" i="56"/>
  <c r="AS13" i="56" s="1"/>
  <c r="AO12" i="56"/>
  <c r="AV12" i="56" s="1"/>
  <c r="AN12" i="56"/>
  <c r="AU12" i="56" s="1"/>
  <c r="AM12" i="56"/>
  <c r="AL12" i="56"/>
  <c r="AK12" i="56"/>
  <c r="AJ12" i="56"/>
  <c r="AI12" i="56"/>
  <c r="AS12" i="56" s="1"/>
  <c r="AO11" i="56"/>
  <c r="AV11" i="56" s="1"/>
  <c r="AN11" i="56"/>
  <c r="AU11" i="56" s="1"/>
  <c r="AM11" i="56"/>
  <c r="AL11" i="56"/>
  <c r="AK11" i="56"/>
  <c r="AJ11" i="56"/>
  <c r="AI11" i="56"/>
  <c r="AS11" i="56" s="1"/>
  <c r="AO10" i="56"/>
  <c r="AV10" i="56" s="1"/>
  <c r="AN10" i="56"/>
  <c r="AU10" i="56" s="1"/>
  <c r="AM10" i="56"/>
  <c r="AL10" i="56"/>
  <c r="AK10" i="56"/>
  <c r="AJ10" i="56"/>
  <c r="AI10" i="56"/>
  <c r="AS10" i="56" s="1"/>
  <c r="AO9" i="56"/>
  <c r="AV9" i="56" s="1"/>
  <c r="AN9" i="56"/>
  <c r="AU9" i="56" s="1"/>
  <c r="AM9" i="56"/>
  <c r="AL9" i="56"/>
  <c r="AK9" i="56"/>
  <c r="AJ9" i="56"/>
  <c r="AI9" i="56"/>
  <c r="AS9" i="56" s="1"/>
  <c r="AO8" i="56"/>
  <c r="AV8" i="56" s="1"/>
  <c r="AN8" i="56"/>
  <c r="AU8" i="56" s="1"/>
  <c r="AM8" i="56"/>
  <c r="AL8" i="56"/>
  <c r="AK8" i="56"/>
  <c r="AJ8" i="56"/>
  <c r="AI8" i="56"/>
  <c r="AS8" i="56" s="1"/>
  <c r="AO7" i="56"/>
  <c r="AV7" i="56" s="1"/>
  <c r="AN7" i="56"/>
  <c r="AU7" i="56" s="1"/>
  <c r="AM7" i="56"/>
  <c r="AL7" i="56"/>
  <c r="AK7" i="56"/>
  <c r="AJ7" i="56"/>
  <c r="AI7" i="56"/>
  <c r="AS7" i="56" s="1"/>
  <c r="AO6" i="56"/>
  <c r="AV6" i="56" s="1"/>
  <c r="AN6" i="56"/>
  <c r="AU6" i="56" s="1"/>
  <c r="AM6" i="56"/>
  <c r="AL6" i="56"/>
  <c r="AK6" i="56"/>
  <c r="AJ6" i="56"/>
  <c r="AI6" i="56"/>
  <c r="AS6" i="56" s="1"/>
  <c r="AO5" i="56"/>
  <c r="AV5" i="56" s="1"/>
  <c r="AN5" i="56"/>
  <c r="AU5" i="56" s="1"/>
  <c r="AM5" i="56"/>
  <c r="AL5" i="56"/>
  <c r="AK5" i="56"/>
  <c r="AJ5" i="56"/>
  <c r="AI5" i="56"/>
  <c r="AS5" i="56" s="1"/>
  <c r="AO4" i="56"/>
  <c r="AV4" i="56" s="1"/>
  <c r="AN4" i="56"/>
  <c r="AU4" i="56" s="1"/>
  <c r="AM4" i="56"/>
  <c r="AL4" i="56"/>
  <c r="AK4" i="56"/>
  <c r="AJ4" i="56"/>
  <c r="AI4" i="56"/>
  <c r="AS4" i="56" s="1"/>
  <c r="D461" i="56"/>
  <c r="AQ461" i="56" s="1"/>
  <c r="D460" i="56"/>
  <c r="AQ460" i="56" s="1"/>
  <c r="D459" i="56"/>
  <c r="AQ459" i="56" s="1"/>
  <c r="D458" i="56"/>
  <c r="AQ458" i="56" s="1"/>
  <c r="D457" i="56"/>
  <c r="AQ457" i="56" s="1"/>
  <c r="D456" i="56"/>
  <c r="AQ456" i="56" s="1"/>
  <c r="D455" i="56"/>
  <c r="AQ455" i="56" s="1"/>
  <c r="D454" i="56"/>
  <c r="AQ454" i="56" s="1"/>
  <c r="D453" i="56"/>
  <c r="AQ453" i="56" s="1"/>
  <c r="D452" i="56"/>
  <c r="AQ452" i="56" s="1"/>
  <c r="D451" i="56"/>
  <c r="AQ451" i="56" s="1"/>
  <c r="D450" i="56"/>
  <c r="AQ450" i="56" s="1"/>
  <c r="D449" i="56"/>
  <c r="AQ449" i="56" s="1"/>
  <c r="D448" i="56"/>
  <c r="AQ448" i="56" s="1"/>
  <c r="D447" i="56"/>
  <c r="AQ447" i="56" s="1"/>
  <c r="D446" i="56"/>
  <c r="AQ446" i="56" s="1"/>
  <c r="D445" i="56"/>
  <c r="AQ445" i="56" s="1"/>
  <c r="D444" i="56"/>
  <c r="AQ444" i="56" s="1"/>
  <c r="D443" i="56"/>
  <c r="AQ443" i="56" s="1"/>
  <c r="D442" i="56"/>
  <c r="AQ442" i="56" s="1"/>
  <c r="D441" i="56"/>
  <c r="AQ441" i="56" s="1"/>
  <c r="D440" i="56"/>
  <c r="AQ440" i="56" s="1"/>
  <c r="D439" i="56"/>
  <c r="AQ439" i="56" s="1"/>
  <c r="D438" i="56"/>
  <c r="AQ438" i="56" s="1"/>
  <c r="D437" i="56"/>
  <c r="AQ437" i="56" s="1"/>
  <c r="D436" i="56"/>
  <c r="AQ436" i="56" s="1"/>
  <c r="D435" i="56"/>
  <c r="AQ435" i="56" s="1"/>
  <c r="D434" i="56"/>
  <c r="AQ434" i="56" s="1"/>
  <c r="D433" i="56"/>
  <c r="AQ433" i="56" s="1"/>
  <c r="D432" i="56"/>
  <c r="AQ432" i="56" s="1"/>
  <c r="D431" i="56"/>
  <c r="AQ431" i="56" s="1"/>
  <c r="D430" i="56"/>
  <c r="AQ430" i="56" s="1"/>
  <c r="D429" i="56"/>
  <c r="AQ429" i="56" s="1"/>
  <c r="D428" i="56"/>
  <c r="AQ428" i="56" s="1"/>
  <c r="D427" i="56"/>
  <c r="AQ427" i="56" s="1"/>
  <c r="D426" i="56"/>
  <c r="AQ426" i="56" s="1"/>
  <c r="D425" i="56"/>
  <c r="AQ425" i="56" s="1"/>
  <c r="D424" i="56"/>
  <c r="AQ424" i="56" s="1"/>
  <c r="D423" i="56"/>
  <c r="AQ423" i="56" s="1"/>
  <c r="D422" i="56"/>
  <c r="AQ422" i="56" s="1"/>
  <c r="D421" i="56"/>
  <c r="AQ421" i="56" s="1"/>
  <c r="D420" i="56"/>
  <c r="AQ420" i="56" s="1"/>
  <c r="D419" i="56"/>
  <c r="AQ419" i="56" s="1"/>
  <c r="D418" i="56"/>
  <c r="AQ418" i="56" s="1"/>
  <c r="D417" i="56"/>
  <c r="AQ417" i="56" s="1"/>
  <c r="D416" i="56"/>
  <c r="AQ416" i="56" s="1"/>
  <c r="D415" i="56"/>
  <c r="AQ415" i="56" s="1"/>
  <c r="D414" i="56"/>
  <c r="AQ414" i="56" s="1"/>
  <c r="D413" i="56"/>
  <c r="AQ413" i="56" s="1"/>
  <c r="D412" i="56"/>
  <c r="AQ412" i="56" s="1"/>
  <c r="D411" i="56"/>
  <c r="AQ411" i="56" s="1"/>
  <c r="D410" i="56"/>
  <c r="AQ410" i="56" s="1"/>
  <c r="D409" i="56"/>
  <c r="AQ409" i="56" s="1"/>
  <c r="D408" i="56"/>
  <c r="AQ408" i="56" s="1"/>
  <c r="D407" i="56"/>
  <c r="AQ407" i="56" s="1"/>
  <c r="D406" i="56"/>
  <c r="AQ406" i="56" s="1"/>
  <c r="D405" i="56"/>
  <c r="AQ405" i="56" s="1"/>
  <c r="D404" i="56"/>
  <c r="AQ404" i="56" s="1"/>
  <c r="D403" i="56"/>
  <c r="AQ403" i="56" s="1"/>
  <c r="D402" i="56"/>
  <c r="AQ402" i="56" s="1"/>
  <c r="D401" i="56"/>
  <c r="AQ401" i="56" s="1"/>
  <c r="D400" i="56"/>
  <c r="AQ400" i="56" s="1"/>
  <c r="D399" i="56"/>
  <c r="AQ399" i="56" s="1"/>
  <c r="D398" i="56"/>
  <c r="AQ398" i="56" s="1"/>
  <c r="D397" i="56"/>
  <c r="AQ397" i="56" s="1"/>
  <c r="D396" i="56"/>
  <c r="AQ396" i="56" s="1"/>
  <c r="D395" i="56"/>
  <c r="AQ395" i="56" s="1"/>
  <c r="D394" i="56"/>
  <c r="AQ394" i="56" s="1"/>
  <c r="D393" i="56"/>
  <c r="AQ393" i="56" s="1"/>
  <c r="D392" i="56"/>
  <c r="AQ392" i="56" s="1"/>
  <c r="D391" i="56"/>
  <c r="AQ391" i="56" s="1"/>
  <c r="D390" i="56"/>
  <c r="AQ390" i="56" s="1"/>
  <c r="D389" i="56"/>
  <c r="AQ389" i="56" s="1"/>
  <c r="D388" i="56"/>
  <c r="AQ388" i="56" s="1"/>
  <c r="D387" i="56"/>
  <c r="AQ387" i="56" s="1"/>
  <c r="D386" i="56"/>
  <c r="AQ386" i="56" s="1"/>
  <c r="D385" i="56"/>
  <c r="AQ385" i="56" s="1"/>
  <c r="D384" i="56"/>
  <c r="AQ384" i="56" s="1"/>
  <c r="D383" i="56"/>
  <c r="AQ383" i="56" s="1"/>
  <c r="D382" i="56"/>
  <c r="AQ382" i="56" s="1"/>
  <c r="D381" i="56"/>
  <c r="AQ381" i="56" s="1"/>
  <c r="D380" i="56"/>
  <c r="AQ380" i="56" s="1"/>
  <c r="D379" i="56"/>
  <c r="AQ379" i="56" s="1"/>
  <c r="D378" i="56"/>
  <c r="AQ378" i="56" s="1"/>
  <c r="D377" i="56"/>
  <c r="AQ377" i="56" s="1"/>
  <c r="D376" i="56"/>
  <c r="AQ376" i="56" s="1"/>
  <c r="D375" i="56"/>
  <c r="AQ375" i="56" s="1"/>
  <c r="D374" i="56"/>
  <c r="AQ374" i="56" s="1"/>
  <c r="D373" i="56"/>
  <c r="AQ373" i="56" s="1"/>
  <c r="D372" i="56"/>
  <c r="AQ372" i="56" s="1"/>
  <c r="D371" i="56"/>
  <c r="AQ371" i="56" s="1"/>
  <c r="D370" i="56"/>
  <c r="AQ370" i="56" s="1"/>
  <c r="D369" i="56"/>
  <c r="AQ369" i="56" s="1"/>
  <c r="D368" i="56"/>
  <c r="AQ368" i="56" s="1"/>
  <c r="D367" i="56"/>
  <c r="AQ367" i="56" s="1"/>
  <c r="D366" i="56"/>
  <c r="AQ366" i="56" s="1"/>
  <c r="D365" i="56"/>
  <c r="AQ365" i="56" s="1"/>
  <c r="D364" i="56"/>
  <c r="AQ364" i="56" s="1"/>
  <c r="D363" i="56"/>
  <c r="AQ363" i="56" s="1"/>
  <c r="D362" i="56"/>
  <c r="AQ362" i="56" s="1"/>
  <c r="D361" i="56"/>
  <c r="AQ361" i="56" s="1"/>
  <c r="D360" i="56"/>
  <c r="AQ360" i="56" s="1"/>
  <c r="D359" i="56"/>
  <c r="AQ359" i="56" s="1"/>
  <c r="D358" i="56"/>
  <c r="AQ358" i="56" s="1"/>
  <c r="D357" i="56"/>
  <c r="AQ357" i="56" s="1"/>
  <c r="D356" i="56"/>
  <c r="AQ356" i="56" s="1"/>
  <c r="D355" i="56"/>
  <c r="AQ355" i="56" s="1"/>
  <c r="D354" i="56"/>
  <c r="AQ354" i="56" s="1"/>
  <c r="D353" i="56"/>
  <c r="AQ353" i="56" s="1"/>
  <c r="D352" i="56"/>
  <c r="AQ352" i="56" s="1"/>
  <c r="D351" i="56"/>
  <c r="AQ351" i="56" s="1"/>
  <c r="D350" i="56"/>
  <c r="AQ350" i="56" s="1"/>
  <c r="D349" i="56"/>
  <c r="AQ349" i="56" s="1"/>
  <c r="D348" i="56"/>
  <c r="AQ348" i="56" s="1"/>
  <c r="D347" i="56"/>
  <c r="AQ347" i="56" s="1"/>
  <c r="D346" i="56"/>
  <c r="AQ346" i="56" s="1"/>
  <c r="D345" i="56"/>
  <c r="AQ345" i="56" s="1"/>
  <c r="D344" i="56"/>
  <c r="AQ344" i="56" s="1"/>
  <c r="D343" i="56"/>
  <c r="AQ343" i="56" s="1"/>
  <c r="D342" i="56"/>
  <c r="AQ342" i="56" s="1"/>
  <c r="D341" i="56"/>
  <c r="AQ341" i="56" s="1"/>
  <c r="D340" i="56"/>
  <c r="AQ340" i="56" s="1"/>
  <c r="D339" i="56"/>
  <c r="AQ339" i="56" s="1"/>
  <c r="D338" i="56"/>
  <c r="AQ338" i="56" s="1"/>
  <c r="D337" i="56"/>
  <c r="AQ337" i="56" s="1"/>
  <c r="D336" i="56"/>
  <c r="AQ336" i="56" s="1"/>
  <c r="D335" i="56"/>
  <c r="AQ335" i="56" s="1"/>
  <c r="D334" i="56"/>
  <c r="AQ334" i="56" s="1"/>
  <c r="D333" i="56"/>
  <c r="AQ333" i="56" s="1"/>
  <c r="D332" i="56"/>
  <c r="AQ332" i="56" s="1"/>
  <c r="D331" i="56"/>
  <c r="AQ331" i="56" s="1"/>
  <c r="D330" i="56"/>
  <c r="AQ330" i="56" s="1"/>
  <c r="D329" i="56"/>
  <c r="AQ329" i="56" s="1"/>
  <c r="D328" i="56"/>
  <c r="AQ328" i="56" s="1"/>
  <c r="D327" i="56"/>
  <c r="AQ327" i="56" s="1"/>
  <c r="D326" i="56"/>
  <c r="AQ326" i="56" s="1"/>
  <c r="D325" i="56"/>
  <c r="AQ325" i="56" s="1"/>
  <c r="D324" i="56"/>
  <c r="AQ324" i="56" s="1"/>
  <c r="D323" i="56"/>
  <c r="AQ323" i="56" s="1"/>
  <c r="D322" i="56"/>
  <c r="AQ322" i="56" s="1"/>
  <c r="D321" i="56"/>
  <c r="AQ321" i="56" s="1"/>
  <c r="D320" i="56"/>
  <c r="AQ320" i="56" s="1"/>
  <c r="D319" i="56"/>
  <c r="AQ319" i="56" s="1"/>
  <c r="D318" i="56"/>
  <c r="AQ318" i="56" s="1"/>
  <c r="D317" i="56"/>
  <c r="AQ317" i="56" s="1"/>
  <c r="D316" i="56"/>
  <c r="AQ316" i="56" s="1"/>
  <c r="D315" i="56"/>
  <c r="AQ315" i="56" s="1"/>
  <c r="D314" i="56"/>
  <c r="AQ314" i="56" s="1"/>
  <c r="D313" i="56"/>
  <c r="AQ313" i="56" s="1"/>
  <c r="D312" i="56"/>
  <c r="AQ312" i="56" s="1"/>
  <c r="D311" i="56"/>
  <c r="AQ311" i="56" s="1"/>
  <c r="D310" i="56"/>
  <c r="AQ310" i="56" s="1"/>
  <c r="D309" i="56"/>
  <c r="AQ309" i="56" s="1"/>
  <c r="D308" i="56"/>
  <c r="AQ308" i="56" s="1"/>
  <c r="D307" i="56"/>
  <c r="AQ307" i="56" s="1"/>
  <c r="D306" i="56"/>
  <c r="AQ306" i="56" s="1"/>
  <c r="D305" i="56"/>
  <c r="AQ305" i="56" s="1"/>
  <c r="D304" i="56"/>
  <c r="AQ304" i="56" s="1"/>
  <c r="D303" i="56"/>
  <c r="AQ303" i="56" s="1"/>
  <c r="D302" i="56"/>
  <c r="AQ302" i="56" s="1"/>
  <c r="D301" i="56"/>
  <c r="AQ301" i="56" s="1"/>
  <c r="D300" i="56"/>
  <c r="AQ300" i="56" s="1"/>
  <c r="D299" i="56"/>
  <c r="AQ299" i="56" s="1"/>
  <c r="D298" i="56"/>
  <c r="AQ298" i="56" s="1"/>
  <c r="D297" i="56"/>
  <c r="AQ297" i="56" s="1"/>
  <c r="D296" i="56"/>
  <c r="AQ296" i="56" s="1"/>
  <c r="D295" i="56"/>
  <c r="AQ295" i="56" s="1"/>
  <c r="D294" i="56"/>
  <c r="AQ294" i="56" s="1"/>
  <c r="D293" i="56"/>
  <c r="AQ293" i="56" s="1"/>
  <c r="D292" i="56"/>
  <c r="AQ292" i="56" s="1"/>
  <c r="D291" i="56"/>
  <c r="AQ291" i="56" s="1"/>
  <c r="D290" i="56"/>
  <c r="AQ290" i="56" s="1"/>
  <c r="D289" i="56"/>
  <c r="AQ289" i="56" s="1"/>
  <c r="D288" i="56"/>
  <c r="AQ288" i="56" s="1"/>
  <c r="D287" i="56"/>
  <c r="AQ287" i="56" s="1"/>
  <c r="D286" i="56"/>
  <c r="AQ286" i="56" s="1"/>
  <c r="D285" i="56"/>
  <c r="AQ285" i="56" s="1"/>
  <c r="D284" i="56"/>
  <c r="AQ284" i="56" s="1"/>
  <c r="D283" i="56"/>
  <c r="AQ283" i="56" s="1"/>
  <c r="D282" i="56"/>
  <c r="AQ282" i="56" s="1"/>
  <c r="D281" i="56"/>
  <c r="AQ281" i="56" s="1"/>
  <c r="D280" i="56"/>
  <c r="AQ280" i="56" s="1"/>
  <c r="D279" i="56"/>
  <c r="AQ279" i="56" s="1"/>
  <c r="D278" i="56"/>
  <c r="AQ278" i="56" s="1"/>
  <c r="D277" i="56"/>
  <c r="AQ277" i="56" s="1"/>
  <c r="D276" i="56"/>
  <c r="AQ276" i="56" s="1"/>
  <c r="D275" i="56"/>
  <c r="AQ275" i="56" s="1"/>
  <c r="D274" i="56"/>
  <c r="AQ274" i="56" s="1"/>
  <c r="D273" i="56"/>
  <c r="AQ273" i="56" s="1"/>
  <c r="D272" i="56"/>
  <c r="AQ272" i="56" s="1"/>
  <c r="D271" i="56"/>
  <c r="AQ271" i="56" s="1"/>
  <c r="D270" i="56"/>
  <c r="AQ270" i="56" s="1"/>
  <c r="D269" i="56"/>
  <c r="AQ269" i="56" s="1"/>
  <c r="D268" i="56"/>
  <c r="AQ268" i="56" s="1"/>
  <c r="D267" i="56"/>
  <c r="AQ267" i="56" s="1"/>
  <c r="D266" i="56"/>
  <c r="AQ266" i="56" s="1"/>
  <c r="D265" i="56"/>
  <c r="AQ265" i="56" s="1"/>
  <c r="D264" i="56"/>
  <c r="AQ264" i="56" s="1"/>
  <c r="D263" i="56"/>
  <c r="AQ263" i="56" s="1"/>
  <c r="D262" i="56"/>
  <c r="AQ262" i="56" s="1"/>
  <c r="D261" i="56"/>
  <c r="AQ261" i="56" s="1"/>
  <c r="D260" i="56"/>
  <c r="AQ260" i="56" s="1"/>
  <c r="D259" i="56"/>
  <c r="AQ259" i="56" s="1"/>
  <c r="D258" i="56"/>
  <c r="AQ258" i="56" s="1"/>
  <c r="D257" i="56"/>
  <c r="AQ257" i="56" s="1"/>
  <c r="D256" i="56"/>
  <c r="AQ256" i="56" s="1"/>
  <c r="D255" i="56"/>
  <c r="AQ255" i="56" s="1"/>
  <c r="D254" i="56"/>
  <c r="AQ254" i="56" s="1"/>
  <c r="D253" i="56"/>
  <c r="AQ253" i="56" s="1"/>
  <c r="D252" i="56"/>
  <c r="AQ252" i="56" s="1"/>
  <c r="D251" i="56"/>
  <c r="AQ251" i="56" s="1"/>
  <c r="D250" i="56"/>
  <c r="AQ250" i="56" s="1"/>
  <c r="D249" i="56"/>
  <c r="AQ249" i="56" s="1"/>
  <c r="D248" i="56"/>
  <c r="AQ248" i="56" s="1"/>
  <c r="D247" i="56"/>
  <c r="AQ247" i="56" s="1"/>
  <c r="D246" i="56"/>
  <c r="AQ246" i="56" s="1"/>
  <c r="D245" i="56"/>
  <c r="AQ245" i="56" s="1"/>
  <c r="D244" i="56"/>
  <c r="AQ244" i="56" s="1"/>
  <c r="D243" i="56"/>
  <c r="AQ243" i="56" s="1"/>
  <c r="D242" i="56"/>
  <c r="AQ242" i="56" s="1"/>
  <c r="D241" i="56"/>
  <c r="AQ241" i="56" s="1"/>
  <c r="D240" i="56"/>
  <c r="AQ240" i="56" s="1"/>
  <c r="D239" i="56"/>
  <c r="AQ239" i="56" s="1"/>
  <c r="D238" i="56"/>
  <c r="AQ238" i="56" s="1"/>
  <c r="D237" i="56"/>
  <c r="AQ237" i="56" s="1"/>
  <c r="D236" i="56"/>
  <c r="AQ236" i="56" s="1"/>
  <c r="D235" i="56"/>
  <c r="AQ235" i="56" s="1"/>
  <c r="D234" i="56"/>
  <c r="AQ234" i="56" s="1"/>
  <c r="D233" i="56"/>
  <c r="AQ233" i="56" s="1"/>
  <c r="D232" i="56"/>
  <c r="AQ232" i="56" s="1"/>
  <c r="D231" i="56"/>
  <c r="AQ231" i="56" s="1"/>
  <c r="D230" i="56"/>
  <c r="AQ230" i="56" s="1"/>
  <c r="D229" i="56"/>
  <c r="AQ229" i="56" s="1"/>
  <c r="D228" i="56"/>
  <c r="AQ228" i="56" s="1"/>
  <c r="D227" i="56"/>
  <c r="AQ227" i="56" s="1"/>
  <c r="D226" i="56"/>
  <c r="AQ226" i="56" s="1"/>
  <c r="D225" i="56"/>
  <c r="AQ225" i="56" s="1"/>
  <c r="D224" i="56"/>
  <c r="AQ224" i="56" s="1"/>
  <c r="D223" i="56"/>
  <c r="AQ223" i="56" s="1"/>
  <c r="D222" i="56"/>
  <c r="AQ222" i="56" s="1"/>
  <c r="D221" i="56"/>
  <c r="AQ221" i="56" s="1"/>
  <c r="D220" i="56"/>
  <c r="AQ220" i="56" s="1"/>
  <c r="D219" i="56"/>
  <c r="AQ219" i="56" s="1"/>
  <c r="D218" i="56"/>
  <c r="AQ218" i="56" s="1"/>
  <c r="D217" i="56"/>
  <c r="AQ217" i="56" s="1"/>
  <c r="D216" i="56"/>
  <c r="AQ216" i="56" s="1"/>
  <c r="D215" i="56"/>
  <c r="AQ215" i="56" s="1"/>
  <c r="D214" i="56"/>
  <c r="AQ214" i="56" s="1"/>
  <c r="D213" i="56"/>
  <c r="AQ213" i="56" s="1"/>
  <c r="D212" i="56"/>
  <c r="AQ212" i="56" s="1"/>
  <c r="D211" i="56"/>
  <c r="AQ211" i="56" s="1"/>
  <c r="D210" i="56"/>
  <c r="AQ210" i="56" s="1"/>
  <c r="D209" i="56"/>
  <c r="AQ209" i="56" s="1"/>
  <c r="D208" i="56"/>
  <c r="AQ208" i="56" s="1"/>
  <c r="D207" i="56"/>
  <c r="AQ207" i="56" s="1"/>
  <c r="D206" i="56"/>
  <c r="AQ206" i="56" s="1"/>
  <c r="D205" i="56"/>
  <c r="AQ205" i="56" s="1"/>
  <c r="D204" i="56"/>
  <c r="AQ204" i="56" s="1"/>
  <c r="D203" i="56"/>
  <c r="AQ203" i="56" s="1"/>
  <c r="D202" i="56"/>
  <c r="AQ202" i="56" s="1"/>
  <c r="D201" i="56"/>
  <c r="AQ201" i="56" s="1"/>
  <c r="D200" i="56"/>
  <c r="AQ200" i="56" s="1"/>
  <c r="D199" i="56"/>
  <c r="AQ199" i="56" s="1"/>
  <c r="D198" i="56"/>
  <c r="AQ198" i="56" s="1"/>
  <c r="D197" i="56"/>
  <c r="AQ197" i="56" s="1"/>
  <c r="D196" i="56"/>
  <c r="AQ196" i="56" s="1"/>
  <c r="D195" i="56"/>
  <c r="AQ195" i="56" s="1"/>
  <c r="D194" i="56"/>
  <c r="AQ194" i="56" s="1"/>
  <c r="D193" i="56"/>
  <c r="AQ193" i="56" s="1"/>
  <c r="D192" i="56"/>
  <c r="AQ192" i="56" s="1"/>
  <c r="D191" i="56"/>
  <c r="AQ191" i="56" s="1"/>
  <c r="D190" i="56"/>
  <c r="AQ190" i="56" s="1"/>
  <c r="D189" i="56"/>
  <c r="AQ189" i="56" s="1"/>
  <c r="D188" i="56"/>
  <c r="AQ188" i="56" s="1"/>
  <c r="D187" i="56"/>
  <c r="AQ187" i="56" s="1"/>
  <c r="D186" i="56"/>
  <c r="AQ186" i="56" s="1"/>
  <c r="D185" i="56"/>
  <c r="AQ185" i="56" s="1"/>
  <c r="D184" i="56"/>
  <c r="AQ184" i="56" s="1"/>
  <c r="D183" i="56"/>
  <c r="AQ183" i="56" s="1"/>
  <c r="D182" i="56"/>
  <c r="AQ182" i="56" s="1"/>
  <c r="D181" i="56"/>
  <c r="AQ181" i="56" s="1"/>
  <c r="D180" i="56"/>
  <c r="AQ180" i="56" s="1"/>
  <c r="D179" i="56"/>
  <c r="AQ179" i="56" s="1"/>
  <c r="D178" i="56"/>
  <c r="AQ178" i="56" s="1"/>
  <c r="D177" i="56"/>
  <c r="AQ177" i="56" s="1"/>
  <c r="D176" i="56"/>
  <c r="AQ176" i="56" s="1"/>
  <c r="D175" i="56"/>
  <c r="AQ175" i="56" s="1"/>
  <c r="D174" i="56"/>
  <c r="AQ174" i="56" s="1"/>
  <c r="D173" i="56"/>
  <c r="AQ173" i="56" s="1"/>
  <c r="D172" i="56"/>
  <c r="AQ172" i="56" s="1"/>
  <c r="D171" i="56"/>
  <c r="AQ171" i="56" s="1"/>
  <c r="D170" i="56"/>
  <c r="AQ170" i="56" s="1"/>
  <c r="D169" i="56"/>
  <c r="AQ169" i="56" s="1"/>
  <c r="D168" i="56"/>
  <c r="AQ168" i="56" s="1"/>
  <c r="D167" i="56"/>
  <c r="AQ167" i="56" s="1"/>
  <c r="D166" i="56"/>
  <c r="AQ166" i="56" s="1"/>
  <c r="D165" i="56"/>
  <c r="AQ165" i="56" s="1"/>
  <c r="D164" i="56"/>
  <c r="AQ164" i="56" s="1"/>
  <c r="D163" i="56"/>
  <c r="AQ163" i="56" s="1"/>
  <c r="D162" i="56"/>
  <c r="AQ162" i="56" s="1"/>
  <c r="D161" i="56"/>
  <c r="AQ161" i="56" s="1"/>
  <c r="D160" i="56"/>
  <c r="AQ160" i="56" s="1"/>
  <c r="D159" i="56"/>
  <c r="AQ159" i="56" s="1"/>
  <c r="D158" i="56"/>
  <c r="AQ158" i="56" s="1"/>
  <c r="D157" i="56"/>
  <c r="AQ157" i="56" s="1"/>
  <c r="D156" i="56"/>
  <c r="AQ156" i="56" s="1"/>
  <c r="D155" i="56"/>
  <c r="AQ155" i="56" s="1"/>
  <c r="D154" i="56"/>
  <c r="AQ154" i="56" s="1"/>
  <c r="D153" i="56"/>
  <c r="AQ153" i="56" s="1"/>
  <c r="D152" i="56"/>
  <c r="AQ152" i="56" s="1"/>
  <c r="D151" i="56"/>
  <c r="AQ151" i="56" s="1"/>
  <c r="D150" i="56"/>
  <c r="AQ150" i="56" s="1"/>
  <c r="D149" i="56"/>
  <c r="AQ149" i="56" s="1"/>
  <c r="D148" i="56"/>
  <c r="AQ148" i="56" s="1"/>
  <c r="D147" i="56"/>
  <c r="AQ147" i="56" s="1"/>
  <c r="D146" i="56"/>
  <c r="AQ146" i="56" s="1"/>
  <c r="D145" i="56"/>
  <c r="AQ145" i="56" s="1"/>
  <c r="D144" i="56"/>
  <c r="AQ144" i="56" s="1"/>
  <c r="D143" i="56"/>
  <c r="AQ143" i="56" s="1"/>
  <c r="D142" i="56"/>
  <c r="AQ142" i="56" s="1"/>
  <c r="D141" i="56"/>
  <c r="AQ141" i="56" s="1"/>
  <c r="D140" i="56"/>
  <c r="AQ140" i="56" s="1"/>
  <c r="D139" i="56"/>
  <c r="AQ139" i="56" s="1"/>
  <c r="D138" i="56"/>
  <c r="AQ138" i="56" s="1"/>
  <c r="D137" i="56"/>
  <c r="AQ137" i="56" s="1"/>
  <c r="D136" i="56"/>
  <c r="AQ136" i="56" s="1"/>
  <c r="D135" i="56"/>
  <c r="AQ135" i="56" s="1"/>
  <c r="D134" i="56"/>
  <c r="AQ134" i="56" s="1"/>
  <c r="D133" i="56"/>
  <c r="AQ133" i="56" s="1"/>
  <c r="D132" i="56"/>
  <c r="AQ132" i="56" s="1"/>
  <c r="D131" i="56"/>
  <c r="AQ131" i="56" s="1"/>
  <c r="D130" i="56"/>
  <c r="AQ130" i="56" s="1"/>
  <c r="D129" i="56"/>
  <c r="AQ129" i="56" s="1"/>
  <c r="D128" i="56"/>
  <c r="AQ128" i="56" s="1"/>
  <c r="D127" i="56"/>
  <c r="AQ127" i="56" s="1"/>
  <c r="D126" i="56"/>
  <c r="AQ126" i="56" s="1"/>
  <c r="D125" i="56"/>
  <c r="AQ125" i="56" s="1"/>
  <c r="D124" i="56"/>
  <c r="AQ124" i="56" s="1"/>
  <c r="D123" i="56"/>
  <c r="AQ123" i="56" s="1"/>
  <c r="D122" i="56"/>
  <c r="AQ122" i="56" s="1"/>
  <c r="D121" i="56"/>
  <c r="AQ121" i="56" s="1"/>
  <c r="D120" i="56"/>
  <c r="AQ120" i="56" s="1"/>
  <c r="D119" i="56"/>
  <c r="AQ119" i="56" s="1"/>
  <c r="D118" i="56"/>
  <c r="AQ118" i="56" s="1"/>
  <c r="D117" i="56"/>
  <c r="AQ117" i="56" s="1"/>
  <c r="D116" i="56"/>
  <c r="AQ116" i="56" s="1"/>
  <c r="D115" i="56"/>
  <c r="AQ115" i="56" s="1"/>
  <c r="D114" i="56"/>
  <c r="AQ114" i="56" s="1"/>
  <c r="D113" i="56"/>
  <c r="AQ113" i="56" s="1"/>
  <c r="D112" i="56"/>
  <c r="AQ112" i="56" s="1"/>
  <c r="D111" i="56"/>
  <c r="AQ111" i="56" s="1"/>
  <c r="D110" i="56"/>
  <c r="AQ110" i="56" s="1"/>
  <c r="D109" i="56"/>
  <c r="AQ109" i="56" s="1"/>
  <c r="D108" i="56"/>
  <c r="AQ108" i="56" s="1"/>
  <c r="D107" i="56"/>
  <c r="AQ107" i="56" s="1"/>
  <c r="D106" i="56"/>
  <c r="AQ106" i="56" s="1"/>
  <c r="D105" i="56"/>
  <c r="AQ105" i="56" s="1"/>
  <c r="D104" i="56"/>
  <c r="AQ104" i="56" s="1"/>
  <c r="D103" i="56"/>
  <c r="AQ103" i="56" s="1"/>
  <c r="D102" i="56"/>
  <c r="AQ102" i="56" s="1"/>
  <c r="D101" i="56"/>
  <c r="AQ101" i="56" s="1"/>
  <c r="D100" i="56"/>
  <c r="AQ100" i="56" s="1"/>
  <c r="D99" i="56"/>
  <c r="AQ99" i="56" s="1"/>
  <c r="D98" i="56"/>
  <c r="AQ98" i="56" s="1"/>
  <c r="D97" i="56"/>
  <c r="AQ97" i="56" s="1"/>
  <c r="D96" i="56"/>
  <c r="AQ96" i="56" s="1"/>
  <c r="D95" i="56"/>
  <c r="AQ95" i="56" s="1"/>
  <c r="D94" i="56"/>
  <c r="AQ94" i="56" s="1"/>
  <c r="D93" i="56"/>
  <c r="AQ93" i="56" s="1"/>
  <c r="D92" i="56"/>
  <c r="AQ92" i="56" s="1"/>
  <c r="D91" i="56"/>
  <c r="AQ91" i="56" s="1"/>
  <c r="D90" i="56"/>
  <c r="AQ90" i="56" s="1"/>
  <c r="D89" i="56"/>
  <c r="AQ89" i="56" s="1"/>
  <c r="D88" i="56"/>
  <c r="AQ88" i="56" s="1"/>
  <c r="D87" i="56"/>
  <c r="AQ87" i="56" s="1"/>
  <c r="D86" i="56"/>
  <c r="AQ86" i="56" s="1"/>
  <c r="D85" i="56"/>
  <c r="AQ85" i="56" s="1"/>
  <c r="D84" i="56"/>
  <c r="AQ84" i="56" s="1"/>
  <c r="D83" i="56"/>
  <c r="AQ83" i="56" s="1"/>
  <c r="D82" i="56"/>
  <c r="AQ82" i="56" s="1"/>
  <c r="D81" i="56"/>
  <c r="AQ81" i="56" s="1"/>
  <c r="D80" i="56"/>
  <c r="AQ80" i="56" s="1"/>
  <c r="D79" i="56"/>
  <c r="AQ79" i="56" s="1"/>
  <c r="D78" i="56"/>
  <c r="AQ78" i="56" s="1"/>
  <c r="D77" i="56"/>
  <c r="AQ77" i="56" s="1"/>
  <c r="D76" i="56"/>
  <c r="AQ76" i="56" s="1"/>
  <c r="D75" i="56"/>
  <c r="AQ75" i="56" s="1"/>
  <c r="D74" i="56"/>
  <c r="AQ74" i="56" s="1"/>
  <c r="D73" i="56"/>
  <c r="AQ73" i="56" s="1"/>
  <c r="D72" i="56"/>
  <c r="AQ72" i="56" s="1"/>
  <c r="D71" i="56"/>
  <c r="AQ71" i="56" s="1"/>
  <c r="D70" i="56"/>
  <c r="AQ70" i="56" s="1"/>
  <c r="D69" i="56"/>
  <c r="AQ69" i="56" s="1"/>
  <c r="D68" i="56"/>
  <c r="AQ68" i="56" s="1"/>
  <c r="D67" i="56"/>
  <c r="AQ67" i="56" s="1"/>
  <c r="D66" i="56"/>
  <c r="AQ66" i="56" s="1"/>
  <c r="D65" i="56"/>
  <c r="AQ65" i="56" s="1"/>
  <c r="D64" i="56"/>
  <c r="AQ64" i="56" s="1"/>
  <c r="D63" i="56"/>
  <c r="AQ63" i="56" s="1"/>
  <c r="D62" i="56"/>
  <c r="AQ62" i="56" s="1"/>
  <c r="D61" i="56"/>
  <c r="AQ61" i="56" s="1"/>
  <c r="D60" i="56"/>
  <c r="AQ60" i="56" s="1"/>
  <c r="D59" i="56"/>
  <c r="AQ59" i="56" s="1"/>
  <c r="D58" i="56"/>
  <c r="AQ58" i="56" s="1"/>
  <c r="D57" i="56"/>
  <c r="AQ57" i="56" s="1"/>
  <c r="D56" i="56"/>
  <c r="AQ56" i="56" s="1"/>
  <c r="D55" i="56"/>
  <c r="AQ55" i="56" s="1"/>
  <c r="D54" i="56"/>
  <c r="AQ54" i="56" s="1"/>
  <c r="D53" i="56"/>
  <c r="AQ53" i="56" s="1"/>
  <c r="D52" i="56"/>
  <c r="AQ52" i="56" s="1"/>
  <c r="D51" i="56"/>
  <c r="AQ51" i="56" s="1"/>
  <c r="D50" i="56"/>
  <c r="AQ50" i="56" s="1"/>
  <c r="D49" i="56"/>
  <c r="AQ49" i="56" s="1"/>
  <c r="D48" i="56"/>
  <c r="AQ48" i="56" s="1"/>
  <c r="D47" i="56"/>
  <c r="AQ47" i="56" s="1"/>
  <c r="D46" i="56"/>
  <c r="AQ46" i="56" s="1"/>
  <c r="D45" i="56"/>
  <c r="AQ45" i="56" s="1"/>
  <c r="D44" i="56"/>
  <c r="AQ44" i="56" s="1"/>
  <c r="D43" i="56"/>
  <c r="AQ43" i="56" s="1"/>
  <c r="D42" i="56"/>
  <c r="AQ42" i="56" s="1"/>
  <c r="D41" i="56"/>
  <c r="AQ41" i="56" s="1"/>
  <c r="D40" i="56"/>
  <c r="AQ40" i="56" s="1"/>
  <c r="D39" i="56"/>
  <c r="AQ39" i="56" s="1"/>
  <c r="D38" i="56"/>
  <c r="AQ38" i="56" s="1"/>
  <c r="D37" i="56"/>
  <c r="AQ37" i="56" s="1"/>
  <c r="D36" i="56"/>
  <c r="AQ36" i="56" s="1"/>
  <c r="D35" i="56"/>
  <c r="AQ35" i="56" s="1"/>
  <c r="D34" i="56"/>
  <c r="AQ34" i="56" s="1"/>
  <c r="D33" i="56"/>
  <c r="AQ33" i="56" s="1"/>
  <c r="D32" i="56"/>
  <c r="AQ32" i="56" s="1"/>
  <c r="D31" i="56"/>
  <c r="AQ31" i="56" s="1"/>
  <c r="D30" i="56"/>
  <c r="AQ30" i="56" s="1"/>
  <c r="D29" i="56"/>
  <c r="AQ29" i="56" s="1"/>
  <c r="D28" i="56"/>
  <c r="AQ28" i="56" s="1"/>
  <c r="D27" i="56"/>
  <c r="AQ27" i="56" s="1"/>
  <c r="D26" i="56"/>
  <c r="AQ26" i="56" s="1"/>
  <c r="D25" i="56"/>
  <c r="AQ25" i="56" s="1"/>
  <c r="D24" i="56"/>
  <c r="AQ24" i="56" s="1"/>
  <c r="D23" i="56"/>
  <c r="AQ23" i="56" s="1"/>
  <c r="D22" i="56"/>
  <c r="AQ22" i="56" s="1"/>
  <c r="D21" i="56"/>
  <c r="AQ21" i="56" s="1"/>
  <c r="D20" i="56"/>
  <c r="AQ20" i="56" s="1"/>
  <c r="D19" i="56"/>
  <c r="AQ19" i="56" s="1"/>
  <c r="D18" i="56"/>
  <c r="AQ18" i="56" s="1"/>
  <c r="D17" i="56"/>
  <c r="AQ17" i="56" s="1"/>
  <c r="D16" i="56"/>
  <c r="AQ16" i="56" s="1"/>
  <c r="D15" i="56"/>
  <c r="AQ15" i="56" s="1"/>
  <c r="D14" i="56"/>
  <c r="AQ14" i="56" s="1"/>
  <c r="D13" i="56"/>
  <c r="AQ13" i="56" s="1"/>
  <c r="D12" i="56"/>
  <c r="AQ12" i="56" s="1"/>
  <c r="D11" i="56"/>
  <c r="AQ11" i="56" s="1"/>
  <c r="D10" i="56"/>
  <c r="AQ10" i="56" s="1"/>
  <c r="D9" i="56"/>
  <c r="AQ9" i="56" s="1"/>
  <c r="D8" i="56"/>
  <c r="AQ8" i="56" s="1"/>
  <c r="D7" i="56"/>
  <c r="AQ7" i="56" s="1"/>
  <c r="D6" i="56"/>
  <c r="AQ6" i="56" s="1"/>
  <c r="D5" i="56"/>
  <c r="AQ5" i="56" s="1"/>
  <c r="D4" i="56"/>
  <c r="AQ4" i="56" s="1"/>
  <c r="AC88" i="52" l="1"/>
  <c r="AB72" i="52"/>
  <c r="AE88" i="52"/>
  <c r="AB88" i="52"/>
  <c r="AE72" i="52"/>
  <c r="AC72" i="52"/>
  <c r="AG72" i="52"/>
  <c r="AJ72" i="52" s="1"/>
  <c r="AG88" i="52"/>
  <c r="AJ88" i="52" s="1"/>
  <c r="AD72" i="52"/>
  <c r="AD88" i="52"/>
  <c r="AG86" i="52"/>
  <c r="AJ86" i="52" s="1"/>
  <c r="AG78" i="52"/>
  <c r="AJ78" i="52" s="1"/>
  <c r="AG94" i="52"/>
  <c r="AJ94" i="52" s="1"/>
  <c r="AG85" i="52"/>
  <c r="AJ85" i="52" s="1"/>
  <c r="AG77" i="52"/>
  <c r="AJ77" i="52" s="1"/>
  <c r="AG93" i="52"/>
  <c r="AJ93" i="52" s="1"/>
  <c r="AG84" i="52"/>
  <c r="AJ84" i="52" s="1"/>
  <c r="AG76" i="52"/>
  <c r="AJ76" i="52" s="1"/>
  <c r="AJ69" i="52"/>
  <c r="AG92" i="52"/>
  <c r="AJ92" i="52" s="1"/>
  <c r="AG83" i="52"/>
  <c r="AJ83" i="52" s="1"/>
  <c r="AG75" i="52"/>
  <c r="AJ75" i="52" s="1"/>
  <c r="AJ68" i="52"/>
  <c r="AG90" i="52"/>
  <c r="AJ90" i="52" s="1"/>
  <c r="AG81" i="52"/>
  <c r="AJ81" i="52" s="1"/>
  <c r="AG73" i="52"/>
  <c r="AJ73" i="52" s="1"/>
  <c r="AG66" i="52"/>
  <c r="AJ66" i="52" s="1"/>
  <c r="AG89" i="52"/>
  <c r="AJ89" i="52" s="1"/>
  <c r="AG67" i="52"/>
  <c r="AJ67" i="52" s="1"/>
  <c r="AG87" i="52"/>
  <c r="AJ87" i="52" s="1"/>
  <c r="AG65" i="52"/>
  <c r="AJ65" i="52" s="1"/>
  <c r="AG82" i="52"/>
  <c r="AJ82" i="52" s="1"/>
  <c r="AG80" i="52"/>
  <c r="AJ80" i="52" s="1"/>
  <c r="AG79" i="52"/>
  <c r="AJ79" i="52" s="1"/>
  <c r="AG74" i="52"/>
  <c r="AJ74" i="52" s="1"/>
  <c r="AG71" i="52"/>
  <c r="AJ71" i="52" s="1"/>
  <c r="AG91" i="52"/>
  <c r="AJ91" i="52" s="1"/>
  <c r="AG70" i="52"/>
  <c r="AJ70" i="52" s="1"/>
  <c r="AE94" i="52"/>
  <c r="AE93" i="52"/>
  <c r="AE92" i="52"/>
  <c r="AE91" i="52"/>
  <c r="AE90" i="52"/>
  <c r="AE89" i="52"/>
  <c r="AE87" i="52"/>
  <c r="AE86" i="52"/>
  <c r="AE85" i="52"/>
  <c r="AE84" i="52"/>
  <c r="AE83" i="52"/>
  <c r="AE82" i="52"/>
  <c r="AE81" i="52"/>
  <c r="AE80" i="52"/>
  <c r="AE79" i="52"/>
  <c r="AE78" i="52"/>
  <c r="AE77" i="52"/>
  <c r="AE76" i="52"/>
  <c r="AE75" i="52"/>
  <c r="AE74" i="52"/>
  <c r="AE73" i="52"/>
  <c r="AE71" i="52"/>
  <c r="AE70" i="52"/>
  <c r="AE67" i="52"/>
  <c r="AE66" i="52"/>
  <c r="AE65" i="52"/>
  <c r="AB92" i="52"/>
  <c r="AB87" i="52"/>
  <c r="AB83" i="52"/>
  <c r="AB80" i="52"/>
  <c r="AB77" i="52"/>
  <c r="AB74" i="52"/>
  <c r="AB70" i="52"/>
  <c r="AB66" i="52"/>
  <c r="AD94" i="52"/>
  <c r="AD93" i="52"/>
  <c r="AD92" i="52"/>
  <c r="AD91" i="52"/>
  <c r="AD90" i="52"/>
  <c r="AD89" i="52"/>
  <c r="AD87" i="52"/>
  <c r="AD86" i="52"/>
  <c r="AD85" i="52"/>
  <c r="AD84" i="52"/>
  <c r="AD83" i="52"/>
  <c r="AD82" i="52"/>
  <c r="AD81" i="52"/>
  <c r="AD80" i="52"/>
  <c r="AD79" i="52"/>
  <c r="AD78" i="52"/>
  <c r="AD77" i="52"/>
  <c r="AD76" i="52"/>
  <c r="AD75" i="52"/>
  <c r="AD74" i="52"/>
  <c r="AD73" i="52"/>
  <c r="AD71" i="52"/>
  <c r="AD70" i="52"/>
  <c r="AD67" i="52"/>
  <c r="AD66" i="52"/>
  <c r="AD65" i="52"/>
  <c r="AB93" i="52"/>
  <c r="AB90" i="52"/>
  <c r="AB86" i="52"/>
  <c r="AB84" i="52"/>
  <c r="AB81" i="52"/>
  <c r="AB78" i="52"/>
  <c r="AB75" i="52"/>
  <c r="AB71" i="52"/>
  <c r="AB67" i="52"/>
  <c r="AC94" i="52"/>
  <c r="AC93" i="52"/>
  <c r="AC92" i="52"/>
  <c r="AC91" i="52"/>
  <c r="AC90" i="52"/>
  <c r="AC89" i="52"/>
  <c r="AC87" i="52"/>
  <c r="AC86" i="52"/>
  <c r="AC85" i="52"/>
  <c r="AC84" i="52"/>
  <c r="AC83" i="52"/>
  <c r="AC82" i="52"/>
  <c r="AC81" i="52"/>
  <c r="AC80" i="52"/>
  <c r="AC79" i="52"/>
  <c r="AC78" i="52"/>
  <c r="AC77" i="52"/>
  <c r="AC76" i="52"/>
  <c r="AC75" i="52"/>
  <c r="AC74" i="52"/>
  <c r="AC73" i="52"/>
  <c r="AC71" i="52"/>
  <c r="AC70" i="52"/>
  <c r="AC67" i="52"/>
  <c r="AC66" i="52"/>
  <c r="AC65" i="52"/>
  <c r="AB94" i="52"/>
  <c r="AB91" i="52"/>
  <c r="AB89" i="52"/>
  <c r="AB85" i="52"/>
  <c r="AB82" i="52"/>
  <c r="AB79" i="52"/>
  <c r="AB76" i="52"/>
  <c r="AB73" i="52"/>
  <c r="AB65" i="52"/>
  <c r="AH72" i="52" l="1"/>
  <c r="AI72" i="52"/>
  <c r="AI88" i="52"/>
  <c r="AH88" i="52"/>
  <c r="AR72" i="52"/>
  <c r="AQ72" i="52"/>
  <c r="AP72" i="52"/>
  <c r="AO72" i="52"/>
  <c r="AR88" i="52"/>
  <c r="AQ88" i="52"/>
  <c r="AP88" i="52"/>
  <c r="AO88" i="52"/>
  <c r="AI69" i="52"/>
  <c r="AH69" i="52"/>
  <c r="AI76" i="52"/>
  <c r="AH76" i="52"/>
  <c r="AI84" i="52"/>
  <c r="AH84" i="52"/>
  <c r="AI65" i="52"/>
  <c r="AH65" i="52"/>
  <c r="AI71" i="52"/>
  <c r="AH71" i="52"/>
  <c r="AI80" i="52"/>
  <c r="AH80" i="52"/>
  <c r="AI89" i="52"/>
  <c r="AH89" i="52"/>
  <c r="AI93" i="52"/>
  <c r="AH93" i="52"/>
  <c r="AH66" i="52"/>
  <c r="AI66" i="52"/>
  <c r="AH73" i="52"/>
  <c r="AI73" i="52"/>
  <c r="AH77" i="52"/>
  <c r="AI77" i="52"/>
  <c r="AH81" i="52"/>
  <c r="AI81" i="52"/>
  <c r="AH85" i="52"/>
  <c r="AI85" i="52"/>
  <c r="AH90" i="52"/>
  <c r="AI90" i="52"/>
  <c r="AH94" i="52"/>
  <c r="AI94" i="52"/>
  <c r="AI67" i="52"/>
  <c r="AH67" i="52"/>
  <c r="AI74" i="52"/>
  <c r="AH74" i="52"/>
  <c r="AI78" i="52"/>
  <c r="AH78" i="52"/>
  <c r="AI82" i="52"/>
  <c r="AH82" i="52"/>
  <c r="AI86" i="52"/>
  <c r="AH86" i="52"/>
  <c r="AI91" i="52"/>
  <c r="AH91" i="52"/>
  <c r="AH68" i="52"/>
  <c r="AI68" i="52"/>
  <c r="AH70" i="52"/>
  <c r="AI70" i="52"/>
  <c r="AH75" i="52"/>
  <c r="AI75" i="52"/>
  <c r="AH79" i="52"/>
  <c r="AI79" i="52"/>
  <c r="AH83" i="52"/>
  <c r="AI83" i="52"/>
  <c r="AH87" i="52"/>
  <c r="AI87" i="52"/>
  <c r="AH92" i="52"/>
  <c r="AI92" i="52"/>
  <c r="AR91" i="52"/>
  <c r="AQ91" i="52"/>
  <c r="AO91" i="52"/>
  <c r="AP91" i="52"/>
  <c r="AR71" i="52"/>
  <c r="AQ71" i="52"/>
  <c r="AO71" i="52"/>
  <c r="AP71" i="52"/>
  <c r="AR82" i="52"/>
  <c r="AQ82" i="52"/>
  <c r="AO82" i="52"/>
  <c r="AP82" i="52"/>
  <c r="AR65" i="52"/>
  <c r="AQ65" i="52"/>
  <c r="AO65" i="52"/>
  <c r="AP65" i="52"/>
  <c r="AR90" i="52"/>
  <c r="AQ90" i="52"/>
  <c r="AP90" i="52"/>
  <c r="AO90" i="52"/>
  <c r="AR75" i="52"/>
  <c r="AQ75" i="52"/>
  <c r="AP75" i="52"/>
  <c r="AO75" i="52"/>
  <c r="AR93" i="52"/>
  <c r="AQ93" i="52"/>
  <c r="AO93" i="52"/>
  <c r="AP93" i="52"/>
  <c r="AR77" i="52"/>
  <c r="AQ77" i="52"/>
  <c r="AP77" i="52"/>
  <c r="AO77" i="52"/>
  <c r="AR86" i="52"/>
  <c r="AO86" i="52"/>
  <c r="AP86" i="52"/>
  <c r="AQ86" i="52"/>
  <c r="AR74" i="52"/>
  <c r="AQ74" i="52"/>
  <c r="AO74" i="52"/>
  <c r="AP74" i="52"/>
  <c r="AR87" i="52"/>
  <c r="AQ87" i="52"/>
  <c r="AP87" i="52"/>
  <c r="AO87" i="52"/>
  <c r="AR66" i="52"/>
  <c r="AQ66" i="52"/>
  <c r="AP66" i="52"/>
  <c r="AO66" i="52"/>
  <c r="AR83" i="52"/>
  <c r="AQ83" i="52"/>
  <c r="AP83" i="52"/>
  <c r="AO83" i="52"/>
  <c r="AR69" i="52"/>
  <c r="AQ69" i="52"/>
  <c r="AO69" i="52"/>
  <c r="AP69" i="52"/>
  <c r="AR85" i="52"/>
  <c r="AQ85" i="52"/>
  <c r="AP85" i="52"/>
  <c r="AO85" i="52"/>
  <c r="AR79" i="52"/>
  <c r="AQ79" i="52"/>
  <c r="AP79" i="52"/>
  <c r="AO79" i="52"/>
  <c r="AR67" i="52"/>
  <c r="AQ67" i="52"/>
  <c r="AO67" i="52"/>
  <c r="AP67" i="52"/>
  <c r="AR73" i="52"/>
  <c r="AQ73" i="52"/>
  <c r="AP73" i="52"/>
  <c r="AO73" i="52"/>
  <c r="AR92" i="52"/>
  <c r="AQ92" i="52"/>
  <c r="AP92" i="52"/>
  <c r="AO92" i="52"/>
  <c r="AR76" i="52"/>
  <c r="AQ76" i="52"/>
  <c r="AO76" i="52"/>
  <c r="AP76" i="52"/>
  <c r="AR94" i="52"/>
  <c r="AQ94" i="52"/>
  <c r="AP94" i="52"/>
  <c r="AO94" i="52"/>
  <c r="AR70" i="52"/>
  <c r="AQ70" i="52"/>
  <c r="AP70" i="52"/>
  <c r="AO70" i="52"/>
  <c r="AR80" i="52"/>
  <c r="AQ80" i="52"/>
  <c r="AO80" i="52"/>
  <c r="AP80" i="52"/>
  <c r="AR89" i="52"/>
  <c r="AQ89" i="52"/>
  <c r="AO89" i="52"/>
  <c r="AP89" i="52"/>
  <c r="AR81" i="52"/>
  <c r="AQ81" i="52"/>
  <c r="AP81" i="52"/>
  <c r="AO81" i="52"/>
  <c r="AR68" i="52"/>
  <c r="AQ68" i="52"/>
  <c r="AP68" i="52"/>
  <c r="AO68" i="52"/>
  <c r="AR84" i="52"/>
  <c r="AQ84" i="52"/>
  <c r="AO84" i="52"/>
  <c r="AP84" i="52"/>
  <c r="AR78" i="52"/>
  <c r="AQ78" i="52"/>
  <c r="AO78" i="52"/>
  <c r="AP78" i="52"/>
  <c r="Y76" i="52" l="1"/>
  <c r="Z76" i="52"/>
  <c r="Z75" i="52"/>
  <c r="Y75" i="52"/>
  <c r="Y92" i="52"/>
  <c r="Z92" i="52"/>
  <c r="Z91" i="52"/>
  <c r="Y91" i="52"/>
  <c r="Z77" i="52"/>
  <c r="Y77" i="52"/>
  <c r="Y93" i="52"/>
  <c r="Z93" i="52"/>
  <c r="Z78" i="52"/>
  <c r="Y78" i="52"/>
  <c r="Z94" i="52"/>
  <c r="Y94" i="52"/>
  <c r="AN72" i="52"/>
  <c r="AM72" i="52"/>
  <c r="AL72" i="52"/>
  <c r="AK72" i="52"/>
  <c r="AL88" i="52"/>
  <c r="AK88" i="52"/>
  <c r="AN88" i="52"/>
  <c r="AM88" i="52"/>
  <c r="AM87" i="52"/>
  <c r="AN87" i="52"/>
  <c r="AL79" i="52"/>
  <c r="AK79" i="52"/>
  <c r="AL70" i="52"/>
  <c r="AK70" i="52"/>
  <c r="AN86" i="52"/>
  <c r="AM86" i="52"/>
  <c r="AL78" i="52"/>
  <c r="AK78" i="52"/>
  <c r="AL94" i="52"/>
  <c r="AK94" i="52"/>
  <c r="AL85" i="52"/>
  <c r="AK85" i="52"/>
  <c r="AL77" i="52"/>
  <c r="AK77" i="52"/>
  <c r="AK93" i="52"/>
  <c r="AL93" i="52"/>
  <c r="AK84" i="52"/>
  <c r="AL84" i="52"/>
  <c r="AK76" i="52"/>
  <c r="AL76" i="52"/>
  <c r="AK69" i="52"/>
  <c r="AL69" i="52"/>
  <c r="AL87" i="52"/>
  <c r="AK87" i="52"/>
  <c r="AM79" i="52"/>
  <c r="AN79" i="52"/>
  <c r="AM70" i="52"/>
  <c r="AN70" i="52"/>
  <c r="AL86" i="52"/>
  <c r="AK86" i="52"/>
  <c r="AN78" i="52"/>
  <c r="AM78" i="52"/>
  <c r="AM94" i="52"/>
  <c r="AN94" i="52"/>
  <c r="AM85" i="52"/>
  <c r="AN85" i="52"/>
  <c r="AM77" i="52"/>
  <c r="AN77" i="52"/>
  <c r="AN93" i="52"/>
  <c r="AM93" i="52"/>
  <c r="AN84" i="52"/>
  <c r="AM84" i="52"/>
  <c r="AN76" i="52"/>
  <c r="AM76" i="52"/>
  <c r="AN69" i="52"/>
  <c r="AM69" i="52"/>
  <c r="AM92" i="52"/>
  <c r="AN92" i="52"/>
  <c r="AL83" i="52"/>
  <c r="AK83" i="52"/>
  <c r="AM75" i="52"/>
  <c r="AN75" i="52"/>
  <c r="AL68" i="52"/>
  <c r="AK68" i="52"/>
  <c r="AL91" i="52"/>
  <c r="AK91" i="52"/>
  <c r="AL82" i="52"/>
  <c r="AK82" i="52"/>
  <c r="AL74" i="52"/>
  <c r="AK74" i="52"/>
  <c r="AL67" i="52"/>
  <c r="AK67" i="52"/>
  <c r="AL90" i="52"/>
  <c r="AK90" i="52"/>
  <c r="AL81" i="52"/>
  <c r="AK81" i="52"/>
  <c r="AL73" i="52"/>
  <c r="AK73" i="52"/>
  <c r="AL66" i="52"/>
  <c r="AK66" i="52"/>
  <c r="AL89" i="52"/>
  <c r="AK89" i="52"/>
  <c r="AL80" i="52"/>
  <c r="AK80" i="52"/>
  <c r="AL71" i="52"/>
  <c r="AK71" i="52"/>
  <c r="AN65" i="52"/>
  <c r="AM65" i="52"/>
  <c r="AL92" i="52"/>
  <c r="AK92" i="52"/>
  <c r="AM83" i="52"/>
  <c r="AN83" i="52"/>
  <c r="AL75" i="52"/>
  <c r="AK75" i="52"/>
  <c r="AM68" i="52"/>
  <c r="AN68" i="52"/>
  <c r="AN91" i="52"/>
  <c r="AM91" i="52"/>
  <c r="AN82" i="52"/>
  <c r="AM82" i="52"/>
  <c r="AN74" i="52"/>
  <c r="AM74" i="52"/>
  <c r="AN67" i="52"/>
  <c r="AM67" i="52"/>
  <c r="AM90" i="52"/>
  <c r="AN90" i="52"/>
  <c r="AM81" i="52"/>
  <c r="AN81" i="52"/>
  <c r="AM73" i="52"/>
  <c r="AN73" i="52"/>
  <c r="AM66" i="52"/>
  <c r="AN66" i="52"/>
  <c r="AN89" i="52"/>
  <c r="AM89" i="52"/>
  <c r="AN80" i="52"/>
  <c r="AM80" i="52"/>
  <c r="AN71" i="52"/>
  <c r="AM71" i="52"/>
  <c r="AL65" i="52"/>
  <c r="AK65" i="52"/>
  <c r="Z70" i="52" l="1"/>
  <c r="Y70" i="52"/>
  <c r="Z90" i="52"/>
  <c r="Y90" i="52"/>
  <c r="Z86" i="52"/>
  <c r="Y86" i="52"/>
  <c r="Y89" i="52"/>
  <c r="Z89" i="52"/>
  <c r="Z73" i="52"/>
  <c r="Y73" i="52"/>
  <c r="Z74" i="52"/>
  <c r="Y74" i="52"/>
  <c r="Z71" i="52"/>
  <c r="Y71" i="52"/>
  <c r="Z87" i="52"/>
  <c r="Y87" i="52"/>
  <c r="CA5" i="58" a="1"/>
  <c r="CA5" i="58" s="1"/>
  <c r="BD8" i="58" a="1"/>
  <c r="BD8" i="58" s="1"/>
  <c r="CH3" i="58" a="1"/>
  <c r="CH3" i="58" s="1"/>
  <c r="BH4" i="58" a="1"/>
  <c r="BH4" i="58" s="1"/>
  <c r="BD9" i="58" a="1"/>
  <c r="BD9" i="58" s="1"/>
  <c r="BK5" i="58" a="1"/>
  <c r="BK5" i="58" s="1"/>
  <c r="BN7" i="58" a="1"/>
  <c r="BN7" i="58" s="1"/>
  <c r="BM3" i="58" a="1"/>
  <c r="BM3" i="58" s="1"/>
  <c r="BU7" i="58" a="1"/>
  <c r="BU7" i="58" s="1"/>
  <c r="BZ12" i="58" a="1"/>
  <c r="BZ12" i="58" s="1"/>
  <c r="BT5" i="58" a="1"/>
  <c r="BT5" i="58" s="1"/>
  <c r="CB9" i="58" a="1"/>
  <c r="CB9" i="58" s="1"/>
  <c r="BV14" i="58" a="1"/>
  <c r="BV14" i="58" s="1"/>
  <c r="BR14" i="58" a="1"/>
  <c r="BR14" i="58" s="1"/>
  <c r="BR13" i="58" a="1"/>
  <c r="BR13" i="58" s="1"/>
  <c r="CH15" i="58" a="1"/>
  <c r="CH15" i="58" s="1"/>
  <c r="BG13" i="58" a="1"/>
  <c r="BG13" i="58" s="1"/>
  <c r="BH17" i="58" a="1"/>
  <c r="BH17" i="58" s="1"/>
  <c r="BH13" i="58" a="1"/>
  <c r="BH13" i="58" s="1"/>
  <c r="CH16" i="58" a="1"/>
  <c r="CH16" i="58" s="1"/>
  <c r="BZ16" i="58" a="1"/>
  <c r="BZ16" i="58" s="1"/>
  <c r="BT13" i="58" a="1"/>
  <c r="BT13" i="58" s="1"/>
  <c r="BN13" i="58" a="1"/>
  <c r="BN13" i="58" s="1"/>
  <c r="BY14" i="58" a="1"/>
  <c r="BY14" i="58" s="1"/>
  <c r="BU14" i="58" a="1"/>
  <c r="BU14" i="58" s="1"/>
  <c r="CG14" i="58" a="1"/>
  <c r="CG14" i="58" s="1"/>
  <c r="BY13" i="58" a="1"/>
  <c r="BY13" i="58" s="1"/>
  <c r="CH5" i="58" a="1"/>
  <c r="CH5" i="58" s="1"/>
  <c r="BU3" i="58" a="1"/>
  <c r="BU3" i="58" s="1"/>
  <c r="BR10" i="58" a="1"/>
  <c r="BR10" i="58" s="1"/>
  <c r="BZ9" i="58" a="1"/>
  <c r="BZ9" i="58" s="1"/>
  <c r="BF14" i="58" a="1"/>
  <c r="BF14" i="58" s="1"/>
  <c r="BT8" i="58" a="1"/>
  <c r="BT8" i="58" s="1"/>
  <c r="CG7" i="58" a="1"/>
  <c r="CG7" i="58" s="1"/>
  <c r="BO11" i="58" a="1"/>
  <c r="BO11" i="58" s="1"/>
  <c r="BE6" i="58" a="1"/>
  <c r="BE6" i="58" s="1"/>
  <c r="CC8" i="58" a="1"/>
  <c r="CC8" i="58" s="1"/>
  <c r="BY9" i="58" a="1"/>
  <c r="BY9" i="58" s="1"/>
  <c r="BK4" i="58" a="1"/>
  <c r="BK4" i="58" s="1"/>
  <c r="BY15" i="58" a="1"/>
  <c r="BY15" i="58" s="1"/>
  <c r="BT15" i="58" a="1"/>
  <c r="BT15" i="58" s="1"/>
  <c r="BE14" i="58" a="1"/>
  <c r="BE14" i="58" s="1"/>
  <c r="BD14" i="58" a="1"/>
  <c r="BD14" i="58" s="1"/>
  <c r="BZ11" i="58" a="1"/>
  <c r="BZ11" i="58" s="1"/>
  <c r="BV6" i="58" a="1"/>
  <c r="BV6" i="58" s="1"/>
  <c r="CF10" i="58" a="1"/>
  <c r="CF10" i="58" s="1"/>
  <c r="BN5" i="58" a="1"/>
  <c r="BN5" i="58" s="1"/>
  <c r="BD10" i="58" a="1"/>
  <c r="BD10" i="58" s="1"/>
  <c r="BY12" i="58" a="1"/>
  <c r="BY12" i="58" s="1"/>
  <c r="CG4" i="58" a="1"/>
  <c r="CG4" i="58" s="1"/>
  <c r="BE9" i="58" a="1"/>
  <c r="BE9" i="58" s="1"/>
  <c r="CC16" i="58" a="1"/>
  <c r="CC16" i="58" s="1"/>
  <c r="BN11" i="58" a="1"/>
  <c r="BN11" i="58" s="1"/>
  <c r="CF3" i="58" a="1"/>
  <c r="CF3" i="58" s="1"/>
  <c r="CA3" i="58" a="1"/>
  <c r="CA3" i="58" s="1"/>
  <c r="BL5" i="58" a="1"/>
  <c r="BL5" i="58" s="1"/>
  <c r="BS12" i="58" a="1"/>
  <c r="BS12" i="58" s="1"/>
  <c r="BM7" i="58" a="1"/>
  <c r="BM7" i="58" s="1"/>
  <c r="BT4" i="58" a="1"/>
  <c r="BT4" i="58" s="1"/>
  <c r="BK8" i="58" a="1"/>
  <c r="BK8" i="58" s="1"/>
  <c r="BH9" i="58" a="1"/>
  <c r="BH9" i="58" s="1"/>
  <c r="BO17" i="58" a="1"/>
  <c r="BO17" i="58" s="1"/>
  <c r="CF17" i="58" a="1"/>
  <c r="CF17" i="58" s="1"/>
  <c r="BR12" i="58" a="1"/>
  <c r="BR12" i="58" s="1"/>
  <c r="BY4" i="58" a="1"/>
  <c r="BY4" i="58" s="1"/>
  <c r="BE16" i="58" a="1"/>
  <c r="BE16" i="58" s="1"/>
  <c r="BU16" i="58" a="1"/>
  <c r="BU16" i="58" s="1"/>
  <c r="BG8" i="58" a="1"/>
  <c r="BG8" i="58" s="1"/>
  <c r="CG15" i="58" a="1"/>
  <c r="CG15" i="58" s="1"/>
  <c r="CF15" i="58" a="1"/>
  <c r="CF15" i="58" s="1"/>
  <c r="BK12" i="58" a="1"/>
  <c r="BK12" i="58" s="1"/>
  <c r="CA7" i="58" a="1"/>
  <c r="CA7" i="58" s="1"/>
  <c r="BG14" i="58" a="1"/>
  <c r="BG14" i="58" s="1"/>
  <c r="CC11" i="58" a="1"/>
  <c r="CC11" i="58" s="1"/>
  <c r="BZ6" i="58" a="1"/>
  <c r="BZ6" i="58" s="1"/>
  <c r="BZ10" i="58" a="1"/>
  <c r="BZ10" i="58" s="1"/>
  <c r="BM12" i="58" a="1"/>
  <c r="BM12" i="58" s="1"/>
  <c r="BN17" i="58" a="1"/>
  <c r="BN17" i="58" s="1"/>
  <c r="BM17" i="58" a="1"/>
  <c r="BM17" i="58" s="1"/>
  <c r="BM9" i="58" a="1"/>
  <c r="BM9" i="58" s="1"/>
  <c r="BZ13" i="58" a="1"/>
  <c r="BZ13" i="58" s="1"/>
  <c r="BD16" i="58" a="1"/>
  <c r="BD16" i="58" s="1"/>
  <c r="CH10" i="58" a="1"/>
  <c r="CH10" i="58" s="1"/>
  <c r="BL15" i="58" a="1"/>
  <c r="BL15" i="58" s="1"/>
  <c r="BL7" i="58" a="1"/>
  <c r="BL7" i="58" s="1"/>
  <c r="BG7" i="58" a="1"/>
  <c r="BG7" i="58" s="1"/>
  <c r="CC14" i="58" a="1"/>
  <c r="CC14" i="58" s="1"/>
  <c r="BO6" i="58" a="1"/>
  <c r="BO6" i="58" s="1"/>
  <c r="BE11" i="58" a="1"/>
  <c r="BE11" i="58" s="1"/>
  <c r="BF6" i="58" a="1"/>
  <c r="BF6" i="58" s="1"/>
  <c r="BS8" i="58" a="1"/>
  <c r="BS8" i="58" s="1"/>
  <c r="BF16" i="58" a="1"/>
  <c r="BF16" i="58" s="1"/>
  <c r="CB15" i="58" a="1"/>
  <c r="CB15" i="58" s="1"/>
  <c r="CA15" i="58" a="1"/>
  <c r="CA15" i="58" s="1"/>
  <c r="BD13" i="58" a="1"/>
  <c r="BD13" i="58" s="1"/>
  <c r="BE17" i="58" a="1"/>
  <c r="BE17" i="58" s="1"/>
  <c r="CC17" i="58" a="1"/>
  <c r="CC17" i="58" s="1"/>
  <c r="BR15" i="58" a="1"/>
  <c r="BR15" i="58" s="1"/>
  <c r="BG15" i="58" a="1"/>
  <c r="BG15" i="58" s="1"/>
  <c r="CH14" i="58" a="1"/>
  <c r="CH14" i="58" s="1"/>
  <c r="BZ17" i="58" a="1"/>
  <c r="BZ17" i="58" s="1"/>
  <c r="BS17" i="58" a="1"/>
  <c r="BS17" i="58" s="1"/>
  <c r="BM16" i="58" a="1"/>
  <c r="BM16" i="58" s="1"/>
  <c r="BY16" i="58" a="1"/>
  <c r="BY16" i="58" s="1"/>
  <c r="BF11" i="58" a="1"/>
  <c r="BF11" i="58" s="1"/>
  <c r="CF8" i="58" a="1"/>
  <c r="CF8" i="58" s="1"/>
  <c r="CB3" i="58" a="1"/>
  <c r="CB3" i="58" s="1"/>
  <c r="BF15" i="58" a="1"/>
  <c r="BF15" i="58" s="1"/>
  <c r="BS15" i="58" a="1"/>
  <c r="BS15" i="58" s="1"/>
  <c r="BT7" i="58" a="1"/>
  <c r="BT7" i="58" s="1"/>
  <c r="BK7" i="58" a="1"/>
  <c r="BK7" i="58" s="1"/>
  <c r="BN14" i="58" a="1"/>
  <c r="BN14" i="58" s="1"/>
  <c r="CF11" i="58" a="1"/>
  <c r="CF11" i="58" s="1"/>
  <c r="CH6" i="58" a="1"/>
  <c r="CH6" i="58" s="1"/>
  <c r="BM13" i="58" a="1"/>
  <c r="BM13" i="58" s="1"/>
  <c r="BK3" i="58" a="1"/>
  <c r="BK3" i="58" s="1"/>
  <c r="BY10" i="58" a="1"/>
  <c r="BY10" i="58" s="1"/>
  <c r="CG5" i="58" a="1"/>
  <c r="CG5" i="58" s="1"/>
  <c r="BZ7" i="58" a="1"/>
  <c r="BZ7" i="58" s="1"/>
  <c r="BF4" i="58" a="1"/>
  <c r="BF4" i="58" s="1"/>
  <c r="BL8" i="58" a="1"/>
  <c r="BL8" i="58" s="1"/>
  <c r="BL11" i="58" a="1"/>
  <c r="BL11" i="58" s="1"/>
  <c r="BR17" i="58" a="1"/>
  <c r="BR17" i="58" s="1"/>
  <c r="CB13" i="58" a="1"/>
  <c r="CB13" i="58" s="1"/>
  <c r="BH16" i="58" a="1"/>
  <c r="BH16" i="58" s="1"/>
  <c r="CB16" i="58" a="1"/>
  <c r="CB16" i="58" s="1"/>
  <c r="BN8" i="58" a="1"/>
  <c r="BN8" i="58" s="1"/>
  <c r="BD3" i="58" a="1"/>
  <c r="BD3" i="58" s="1"/>
  <c r="CG9" i="58" a="1"/>
  <c r="CG9" i="58" s="1"/>
  <c r="CF14" i="58" a="1"/>
  <c r="CF14" i="58" s="1"/>
  <c r="BS6" i="58" a="1"/>
  <c r="BS6" i="58" s="1"/>
  <c r="BM11" i="58" a="1"/>
  <c r="BM11" i="58" s="1"/>
  <c r="BN6" i="58" a="1"/>
  <c r="BN6" i="58" s="1"/>
  <c r="BE13" i="58" a="1"/>
  <c r="BE13" i="58" s="1"/>
  <c r="BV5" i="58" a="1"/>
  <c r="BV5" i="58" s="1"/>
  <c r="BK10" i="58" a="1"/>
  <c r="BK10" i="58" s="1"/>
  <c r="CA12" i="58" a="1"/>
  <c r="CA12" i="58" s="1"/>
  <c r="BF7" i="58" a="1"/>
  <c r="BF7" i="58" s="1"/>
  <c r="CF5" i="58" a="1"/>
  <c r="CF5" i="58" s="1"/>
  <c r="CC7" i="58" a="1"/>
  <c r="CC7" i="58" s="1"/>
  <c r="BL4" i="58" a="1"/>
  <c r="BL4" i="58" s="1"/>
  <c r="BK15" i="58" a="1"/>
  <c r="BK15" i="58" s="1"/>
  <c r="BZ14" i="58" a="1"/>
  <c r="BZ14" i="58" s="1"/>
  <c r="BK6" i="58" a="1"/>
  <c r="BK6" i="58" s="1"/>
  <c r="BL10" i="58" a="1"/>
  <c r="BL10" i="58" s="1"/>
  <c r="BY17" i="58" a="1"/>
  <c r="BY17" i="58" s="1"/>
  <c r="CA17" i="58" a="1"/>
  <c r="CA17" i="58" s="1"/>
  <c r="BH12" i="58" a="1"/>
  <c r="BH12" i="58" s="1"/>
  <c r="CA9" i="58" a="1"/>
  <c r="CA9" i="58" s="1"/>
  <c r="BM4" i="58" a="1"/>
  <c r="BM4" i="58" s="1"/>
  <c r="BO16" i="58" a="1"/>
  <c r="BO16" i="58" s="1"/>
  <c r="BU8" i="58" a="1"/>
  <c r="BU8" i="58" s="1"/>
  <c r="BH3" i="58" a="1"/>
  <c r="BH3" i="58" s="1"/>
  <c r="BY3" i="58" a="1"/>
  <c r="BY3" i="58" s="1"/>
  <c r="BT10" i="58" a="1"/>
  <c r="BT10" i="58" s="1"/>
  <c r="BV3" i="58" a="1"/>
  <c r="BV3" i="58" s="1"/>
  <c r="BO5" i="58" a="1"/>
  <c r="BO5" i="58" s="1"/>
  <c r="CG16" i="58" a="1"/>
  <c r="CG16" i="58" s="1"/>
  <c r="BM8" i="58" a="1"/>
  <c r="BM8" i="58" s="1"/>
  <c r="BN12" i="58" a="1"/>
  <c r="BN12" i="58" s="1"/>
  <c r="CF13" i="58" a="1"/>
  <c r="CF13" i="58" s="1"/>
  <c r="BK16" i="58" a="1"/>
  <c r="BK16" i="58" s="1"/>
  <c r="BZ4" i="58" a="1"/>
  <c r="BZ4" i="58" s="1"/>
  <c r="CA13" i="58" a="1"/>
  <c r="CA13" i="58" s="1"/>
  <c r="BV17" i="58" a="1"/>
  <c r="BV17" i="58" s="1"/>
  <c r="BK17" i="58" a="1"/>
  <c r="BK17" i="58" s="1"/>
  <c r="CA16" i="58" a="1"/>
  <c r="CA16" i="58" s="1"/>
  <c r="BS16" i="58" a="1"/>
  <c r="BS16" i="58" s="1"/>
  <c r="BD15" i="58" a="1"/>
  <c r="BD15" i="58" s="1"/>
  <c r="BO14" i="58" a="1"/>
  <c r="BO14" i="58" s="1"/>
  <c r="BK14" i="58" a="1"/>
  <c r="BK14" i="58" s="1"/>
  <c r="BL14" i="58" a="1"/>
  <c r="BL14" i="58" s="1"/>
  <c r="BH14" i="58" a="1"/>
  <c r="BH14" i="58" s="1"/>
  <c r="CG13" i="58" a="1"/>
  <c r="CG13" i="58" s="1"/>
  <c r="BR5" i="58" a="1"/>
  <c r="BR5" i="58" s="1"/>
  <c r="BH10" i="58" a="1"/>
  <c r="BH10" i="58" s="1"/>
  <c r="BG17" i="58" a="1"/>
  <c r="BG17" i="58" s="1"/>
  <c r="BF17" i="58" a="1"/>
  <c r="BF17" i="58" s="1"/>
  <c r="BF9" i="58" a="1"/>
  <c r="BF9" i="58" s="1"/>
  <c r="BR16" i="58" a="1"/>
  <c r="BR16" i="58" s="1"/>
  <c r="BY8" i="58" a="1"/>
  <c r="BY8" i="58" s="1"/>
  <c r="BL3" i="58" a="1"/>
  <c r="BL3" i="58" s="1"/>
  <c r="BZ15" i="58" a="1"/>
  <c r="BZ15" i="58" s="1"/>
  <c r="CH12" i="58" a="1"/>
  <c r="CH12" i="58" s="1"/>
  <c r="CC15" i="58" a="1"/>
  <c r="CC15" i="58" s="1"/>
  <c r="CF7" i="58" a="1"/>
  <c r="CF7" i="58" s="1"/>
  <c r="BD12" i="58" a="1"/>
  <c r="BD12" i="58" s="1"/>
  <c r="BS7" i="58" a="1"/>
  <c r="BS7" i="58" s="1"/>
  <c r="BR9" i="58" a="1"/>
  <c r="BR9" i="58" s="1"/>
  <c r="BG11" i="58" a="1"/>
  <c r="BG11" i="58" s="1"/>
  <c r="BV4" i="58" a="1"/>
  <c r="BV4" i="58" s="1"/>
  <c r="BE8" i="58" a="1"/>
  <c r="BE8" i="58" s="1"/>
  <c r="BK13" i="58" a="1"/>
  <c r="BK13" i="58" s="1"/>
  <c r="BS10" i="58" a="1"/>
  <c r="BS10" i="58" s="1"/>
  <c r="BT14" i="58" a="1"/>
  <c r="BT14" i="58" s="1"/>
  <c r="BN16" i="58" a="1"/>
  <c r="BN16" i="58" s="1"/>
  <c r="BE15" i="58" a="1"/>
  <c r="BE15" i="58" s="1"/>
  <c r="BH7" i="58" a="1"/>
  <c r="BH7" i="58" s="1"/>
  <c r="CG3" i="58" a="1"/>
  <c r="CG3" i="58" s="1"/>
  <c r="BV7" i="58" a="1"/>
  <c r="BV7" i="58" s="1"/>
  <c r="CB5" i="58" a="1"/>
  <c r="CB5" i="58" s="1"/>
  <c r="CG12" i="58" a="1"/>
  <c r="CG12" i="58" s="1"/>
  <c r="BD17" i="58" a="1"/>
  <c r="BD17" i="58" s="1"/>
  <c r="BL13" i="58" a="1"/>
  <c r="BL13" i="58" s="1"/>
  <c r="CC13" i="58" a="1"/>
  <c r="CC13" i="58" s="1"/>
  <c r="BG16" i="58" a="1"/>
  <c r="BG16" i="58" s="1"/>
  <c r="CC12" i="58" a="1"/>
  <c r="CC12" i="58" s="1"/>
  <c r="BL9" i="58" a="1"/>
  <c r="BL9" i="58" s="1"/>
  <c r="BM14" i="58" a="1"/>
  <c r="BM14" i="58" s="1"/>
  <c r="CA8" i="58" a="1"/>
  <c r="CA8" i="58" s="1"/>
  <c r="BV10" i="58" a="1"/>
  <c r="BV10" i="58" s="1"/>
  <c r="BY5" i="58" a="1"/>
  <c r="BY5" i="58" s="1"/>
  <c r="BN9" i="58" a="1"/>
  <c r="BN9" i="58" s="1"/>
  <c r="BO3" i="58" a="1"/>
  <c r="BO3" i="58" s="1"/>
  <c r="BH5" i="58" a="1"/>
  <c r="BH5" i="58" s="1"/>
  <c r="BL12" i="58" a="1"/>
  <c r="BL12" i="58" s="1"/>
  <c r="BE7" i="58" a="1"/>
  <c r="BE7" i="58" s="1"/>
  <c r="BR3" i="58" a="1"/>
  <c r="BR3" i="58" s="1"/>
  <c r="CB14" i="58" a="1"/>
  <c r="CB14" i="58" s="1"/>
  <c r="CA14" i="58" a="1"/>
  <c r="CA14" i="58" s="1"/>
  <c r="BF13" i="58" a="1"/>
  <c r="BF13" i="58" s="1"/>
  <c r="BF3" i="58" a="1"/>
  <c r="BF3" i="58" s="1"/>
  <c r="BU10" i="58" a="1"/>
  <c r="BU10" i="58" s="1"/>
  <c r="CB17" i="58" a="1"/>
  <c r="CB17" i="58" s="1"/>
  <c r="CH17" i="58" a="1"/>
  <c r="CH17" i="58" s="1"/>
  <c r="BO12" i="58" a="1"/>
  <c r="BO12" i="58" s="1"/>
  <c r="CH9" i="58" a="1"/>
  <c r="CH9" i="58" s="1"/>
  <c r="BU4" i="58" a="1"/>
  <c r="BU4" i="58" s="1"/>
  <c r="CF16" i="58" a="1"/>
  <c r="CF16" i="58" s="1"/>
  <c r="BT11" i="58" a="1"/>
  <c r="BT11" i="58" s="1"/>
  <c r="CB12" i="58" a="1"/>
  <c r="CB12" i="58" s="1"/>
  <c r="CF9" i="58" a="1"/>
  <c r="CF9" i="58" s="1"/>
  <c r="BS4" i="58" a="1"/>
  <c r="BS4" i="58" s="1"/>
  <c r="CA11" i="58" a="1"/>
  <c r="CA11" i="58" s="1"/>
  <c r="BU13" i="58" a="1"/>
  <c r="BU13" i="58" s="1"/>
  <c r="BO15" i="58" a="1"/>
  <c r="BO15" i="58" s="1"/>
  <c r="CH13" i="58" a="1"/>
  <c r="CH13" i="58" s="1"/>
  <c r="BD7" i="58" a="1"/>
  <c r="BD7" i="58" s="1"/>
  <c r="CG11" i="58" a="1"/>
  <c r="CG11" i="58" s="1"/>
  <c r="BF8" i="58" a="1"/>
  <c r="BF8" i="58" s="1"/>
  <c r="CC10" i="58" a="1"/>
  <c r="CC10" i="58" s="1"/>
  <c r="BF5" i="58" a="1"/>
  <c r="BF5" i="58" s="1"/>
  <c r="BU17" i="58" a="1"/>
  <c r="BU17" i="58" s="1"/>
  <c r="BT17" i="58" a="1"/>
  <c r="BT17" i="58" s="1"/>
  <c r="BE12" i="58" a="1"/>
  <c r="BE12" i="58" s="1"/>
  <c r="BT9" i="58" a="1"/>
  <c r="BT9" i="58" s="1"/>
  <c r="BE4" i="58" a="1"/>
  <c r="BE4" i="58" s="1"/>
  <c r="CB4" i="58" a="1"/>
  <c r="CB4" i="58" s="1"/>
  <c r="BD11" i="58" a="1"/>
  <c r="BD11" i="58" s="1"/>
  <c r="BO8" i="58" a="1"/>
  <c r="BO8" i="58" s="1"/>
  <c r="CC9" i="58" a="1"/>
  <c r="CC9" i="58" s="1"/>
  <c r="BO4" i="58" a="1"/>
  <c r="BO4" i="58" s="1"/>
  <c r="BU11" i="58" a="1"/>
  <c r="BU11" i="58" s="1"/>
  <c r="BH6" i="58" a="1"/>
  <c r="BH6" i="58" s="1"/>
  <c r="BO13" i="58" a="1"/>
  <c r="BO13" i="58" s="1"/>
  <c r="BL17" i="58" a="1"/>
  <c r="BL17" i="58" s="1"/>
  <c r="CG17" i="58" a="1"/>
  <c r="CG17" i="58" s="1"/>
  <c r="CF12" i="58" a="1"/>
  <c r="CF12" i="58" s="1"/>
  <c r="BO9" i="58" a="1"/>
  <c r="BO9" i="58" s="1"/>
  <c r="BV16" i="58" a="1"/>
  <c r="BV16" i="58" s="1"/>
  <c r="CB8" i="58" a="1"/>
  <c r="CB8" i="58" s="1"/>
  <c r="BT3" i="58" a="1"/>
  <c r="BT3" i="58" s="1"/>
  <c r="BE10" i="58" a="1"/>
  <c r="BE10" i="58" s="1"/>
  <c r="BD4" i="58" a="1"/>
  <c r="BD4" i="58" s="1"/>
  <c r="BZ3" i="58" a="1"/>
  <c r="BZ3" i="58" s="1"/>
  <c r="BS5" i="58" a="1"/>
  <c r="BS5" i="58" s="1"/>
  <c r="BK9" i="58" a="1"/>
  <c r="BK9" i="58" s="1"/>
  <c r="CC3" i="58" a="1"/>
  <c r="CC3" i="58" s="1"/>
  <c r="BR7" i="58" a="1"/>
  <c r="BR7" i="58" s="1"/>
  <c r="BU15" i="58" a="1"/>
  <c r="BU15" i="58" s="1"/>
  <c r="BN15" i="58" a="1"/>
  <c r="BN15" i="58" s="1"/>
  <c r="BU12" i="58" a="1"/>
  <c r="BU12" i="58" s="1"/>
  <c r="CA6" i="58" a="1"/>
  <c r="CA6" i="58" s="1"/>
  <c r="BS11" i="58" a="1"/>
  <c r="BS11" i="58" s="1"/>
  <c r="BR6" i="58" a="1"/>
  <c r="BR6" i="58" s="1"/>
  <c r="BS13" i="58" a="1"/>
  <c r="BS13" i="58" s="1"/>
  <c r="BS3" i="58" a="1"/>
  <c r="BS3" i="58" s="1"/>
  <c r="CB10" i="58" a="1"/>
  <c r="CB10" i="58" s="1"/>
  <c r="BS9" i="58" a="1"/>
  <c r="BS9" i="58" s="1"/>
  <c r="CG6" i="58" a="1"/>
  <c r="CG6" i="58" s="1"/>
  <c r="BT12" i="58" a="1"/>
  <c r="BT12" i="58" s="1"/>
  <c r="BG3" i="58" a="1"/>
  <c r="BG3" i="58" s="1"/>
  <c r="BD5" i="58" a="1"/>
  <c r="BD5" i="58" s="1"/>
  <c r="BF12" i="58" a="1"/>
  <c r="BF12" i="58" s="1"/>
  <c r="BT16" i="58" a="1"/>
  <c r="BT16" i="58" s="1"/>
  <c r="BL16" i="58" a="1"/>
  <c r="BL16" i="58" s="1"/>
  <c r="BH15" i="58" a="1"/>
  <c r="BH15" i="58" s="1"/>
  <c r="BM15" i="58" a="1"/>
  <c r="BM15" i="58" s="1"/>
  <c r="BV15" i="58" a="1"/>
  <c r="BV15" i="58" s="1"/>
  <c r="CB7" i="58" a="1"/>
  <c r="CB7" i="58" s="1"/>
  <c r="BO7" i="58" a="1"/>
  <c r="BO7" i="58" s="1"/>
  <c r="BS14" i="58" a="1"/>
  <c r="BS14" i="58" s="1"/>
  <c r="BG6" i="58" a="1"/>
  <c r="BG6" i="58" s="1"/>
  <c r="CH8" i="58" a="1"/>
  <c r="CH8" i="58" s="1"/>
  <c r="BV13" i="58" a="1"/>
  <c r="BV13" i="58" s="1"/>
  <c r="BZ5" i="58" a="1"/>
  <c r="BZ5" i="58" s="1"/>
  <c r="BO10" i="58" a="1"/>
  <c r="BO10" i="58" s="1"/>
  <c r="BV12" i="58" a="1"/>
  <c r="BV12" i="58" s="1"/>
  <c r="CC4" i="58" a="1"/>
  <c r="CC4" i="58" s="1"/>
  <c r="BV11" i="58" a="1"/>
  <c r="BV11" i="58" s="1"/>
  <c r="BM6" i="58" a="1"/>
  <c r="BM6" i="58" s="1"/>
  <c r="BN10" i="58" a="1"/>
  <c r="BN10" i="58" s="1"/>
  <c r="CC6" i="58" a="1"/>
  <c r="CC6" i="58" s="1"/>
  <c r="BM10" i="58" a="1"/>
  <c r="BM10" i="58" s="1"/>
  <c r="CB11" i="58" a="1"/>
  <c r="CB11" i="58" s="1"/>
  <c r="BY6" i="58" a="1"/>
  <c r="BY6" i="58" s="1"/>
  <c r="CH4" i="58" a="1"/>
  <c r="CH4" i="58" s="1"/>
  <c r="BD6" i="58" a="1"/>
  <c r="BD6" i="58" s="1"/>
  <c r="CG8" i="58" a="1"/>
  <c r="CG8" i="58" s="1"/>
  <c r="BU5" i="58" a="1"/>
  <c r="BU5" i="58" s="1"/>
  <c r="BF10" i="58" a="1"/>
  <c r="BF10" i="58" s="1"/>
  <c r="BR8" i="58" a="1"/>
  <c r="BR8" i="58" s="1"/>
  <c r="BH11" i="58" a="1"/>
  <c r="BH11" i="58" s="1"/>
  <c r="CF4" i="58" a="1"/>
  <c r="CF4" i="58" s="1"/>
  <c r="BY7" i="58" a="1"/>
  <c r="BY7" i="58" s="1"/>
  <c r="BZ8" i="58" a="1"/>
  <c r="BZ8" i="58" s="1"/>
  <c r="BR4" i="58" a="1"/>
  <c r="BR4" i="58" s="1"/>
  <c r="BU9" i="58" a="1"/>
  <c r="BU9" i="58" s="1"/>
  <c r="BG12" i="58" a="1"/>
  <c r="BG12" i="58" s="1"/>
  <c r="CC5" i="58" a="1"/>
  <c r="CC5" i="58" s="1"/>
  <c r="BR11" i="58" a="1"/>
  <c r="BR11" i="58" s="1"/>
  <c r="BL6" i="58" a="1"/>
  <c r="BL6" i="58" s="1"/>
  <c r="BG9" i="58" a="1"/>
  <c r="BG9" i="58" s="1"/>
  <c r="CF6" i="58" a="1"/>
  <c r="CF6" i="58" s="1"/>
  <c r="BG10" i="58" a="1"/>
  <c r="BG10" i="58" s="1"/>
  <c r="BK11" i="58" a="1"/>
  <c r="BK11" i="58" s="1"/>
  <c r="BG4" i="58" a="1"/>
  <c r="BG4" i="58" s="1"/>
  <c r="BV9" i="58" a="1"/>
  <c r="BV9" i="58" s="1"/>
  <c r="BH8" i="58" a="1"/>
  <c r="BH8" i="58" s="1"/>
  <c r="BU6" i="58" a="1"/>
  <c r="BU6" i="58" s="1"/>
  <c r="BY11" i="58" a="1"/>
  <c r="BY11" i="58" s="1"/>
  <c r="CA10" i="58" a="1"/>
  <c r="CA10" i="58" s="1"/>
  <c r="BN3" i="58" a="1"/>
  <c r="BN3" i="58" s="1"/>
  <c r="CB6" i="58" a="1"/>
  <c r="CB6" i="58" s="1"/>
  <c r="BM5" i="58" a="1"/>
  <c r="BM5" i="58" s="1"/>
  <c r="BN4" i="58" a="1"/>
  <c r="BN4" i="58" s="1"/>
  <c r="CH7" i="58" a="1"/>
  <c r="CH7" i="58" s="1"/>
  <c r="BT6" i="58" a="1"/>
  <c r="BT6" i="58" s="1"/>
  <c r="CH11" i="58" a="1"/>
  <c r="CH11" i="58" s="1"/>
  <c r="CA4" i="58" a="1"/>
  <c r="CA4" i="58" s="1"/>
  <c r="BE5" i="58" a="1"/>
  <c r="BE5" i="58" s="1"/>
  <c r="BV8" i="58" a="1"/>
  <c r="BV8" i="58" s="1"/>
  <c r="BG5" i="58" a="1"/>
  <c r="BG5" i="58" s="1"/>
  <c r="CG10" i="58" a="1"/>
  <c r="CG10" i="58" s="1"/>
  <c r="BE3" i="58" a="1"/>
  <c r="BE3" i="58" s="1"/>
  <c r="AQ16" i="58" a="1"/>
  <c r="AQ16" i="58" s="1"/>
  <c r="AP14" i="58" a="1"/>
  <c r="AP14" i="58" s="1"/>
  <c r="AK12" i="58" a="1"/>
  <c r="AK12" i="58" s="1"/>
  <c r="AW10" i="58" a="1"/>
  <c r="AW10" i="58" s="1"/>
  <c r="AL9" i="58" a="1"/>
  <c r="AL9" i="58" s="1"/>
  <c r="AB16" i="58" a="1"/>
  <c r="AB16" i="58" s="1"/>
  <c r="AS14" i="58" a="1"/>
  <c r="AS14" i="58" s="1"/>
  <c r="I13" i="58" a="1"/>
  <c r="I13" i="58" s="1"/>
  <c r="W11" i="58" a="1"/>
  <c r="W11" i="58" s="1"/>
  <c r="V17" i="58" a="1"/>
  <c r="V17" i="58" s="1"/>
  <c r="AW15" i="58" a="1"/>
  <c r="AW15" i="58" s="1"/>
  <c r="O14" i="58" a="1"/>
  <c r="O14" i="58" s="1"/>
  <c r="AW12" i="58" a="1"/>
  <c r="AW12" i="58" s="1"/>
  <c r="G11" i="58" a="1"/>
  <c r="G11" i="58" s="1"/>
  <c r="J17" i="58" a="1"/>
  <c r="J17" i="58" s="1"/>
  <c r="Q15" i="58" a="1"/>
  <c r="Q15" i="58" s="1"/>
  <c r="AE13" i="58" a="1"/>
  <c r="AE13" i="58" s="1"/>
  <c r="AF11" i="58" a="1"/>
  <c r="AF11" i="58" s="1"/>
  <c r="AR9" i="58" a="1"/>
  <c r="AR9" i="58" s="1"/>
  <c r="AY7" i="58" a="1"/>
  <c r="AY7" i="58" s="1"/>
  <c r="AZ5" i="58" a="1"/>
  <c r="AZ5" i="58" s="1"/>
  <c r="AJ16" i="58" a="1"/>
  <c r="AJ16" i="58" s="1"/>
  <c r="AL14" i="58" a="1"/>
  <c r="AL14" i="58" s="1"/>
  <c r="AD12" i="58" a="1"/>
  <c r="AD12" i="58" s="1"/>
  <c r="AT10" i="58" a="1"/>
  <c r="AT10" i="58" s="1"/>
  <c r="AD9" i="58" a="1"/>
  <c r="AD9" i="58" s="1"/>
  <c r="X16" i="58" a="1"/>
  <c r="X16" i="58" s="1"/>
  <c r="AK14" i="58" a="1"/>
  <c r="AK14" i="58" s="1"/>
  <c r="AX12" i="58" a="1"/>
  <c r="AX12" i="58" s="1"/>
  <c r="O11" i="58" a="1"/>
  <c r="O11" i="58" s="1"/>
  <c r="R17" i="58" a="1"/>
  <c r="R17" i="58" s="1"/>
  <c r="AS15" i="58" a="1"/>
  <c r="AS15" i="58" s="1"/>
  <c r="H14" i="58" a="1"/>
  <c r="H14" i="58" s="1"/>
  <c r="AS12" i="58" a="1"/>
  <c r="AS12" i="58" s="1"/>
  <c r="AY10" i="58" a="1"/>
  <c r="AY10" i="58" s="1"/>
  <c r="G17" i="58" a="1"/>
  <c r="G17" i="58" s="1"/>
  <c r="I15" i="58" a="1"/>
  <c r="I15" i="58" s="1"/>
  <c r="W13" i="58" a="1"/>
  <c r="W13" i="58" s="1"/>
  <c r="AB11" i="58" a="1"/>
  <c r="AB11" i="58" s="1"/>
  <c r="AJ9" i="58" a="1"/>
  <c r="AJ9" i="58" s="1"/>
  <c r="AS7" i="58" a="1"/>
  <c r="AS7" i="58" s="1"/>
  <c r="AW5" i="58" a="1"/>
  <c r="AW5" i="58" s="1"/>
  <c r="P17" i="58" a="1"/>
  <c r="P17" i="58" s="1"/>
  <c r="AX14" i="58" a="1"/>
  <c r="AX14" i="58" s="1"/>
  <c r="AY12" i="58" a="1"/>
  <c r="AY12" i="58" s="1"/>
  <c r="I11" i="58" a="1"/>
  <c r="I11" i="58" s="1"/>
  <c r="AZ9" i="58" a="1"/>
  <c r="AZ9" i="58" s="1"/>
  <c r="AM16" i="58" a="1"/>
  <c r="AM16" i="58" s="1"/>
  <c r="BA14" i="58" a="1"/>
  <c r="BA14" i="58" s="1"/>
  <c r="R13" i="58" a="1"/>
  <c r="R13" i="58" s="1"/>
  <c r="AL11" i="58" a="1"/>
  <c r="AL11" i="58" s="1"/>
  <c r="AK17" i="58" a="1"/>
  <c r="AK17" i="58" s="1"/>
  <c r="D16" i="58" a="1"/>
  <c r="D16" i="58" s="1"/>
  <c r="AD14" i="58" a="1"/>
  <c r="AD14" i="58" s="1"/>
  <c r="H13" i="58" a="1"/>
  <c r="H13" i="58" s="1"/>
  <c r="N11" i="58" a="1"/>
  <c r="N11" i="58" s="1"/>
  <c r="U17" i="58" a="1"/>
  <c r="U17" i="58" s="1"/>
  <c r="AE15" i="58" a="1"/>
  <c r="AE15" i="58" s="1"/>
  <c r="AS13" i="58" a="1"/>
  <c r="AS13" i="58" s="1"/>
  <c r="AQ11" i="58" a="1"/>
  <c r="AQ11" i="58" s="1"/>
  <c r="BA9" i="58" a="1"/>
  <c r="BA9" i="58" s="1"/>
  <c r="K8" i="58" a="1"/>
  <c r="K8" i="58" s="1"/>
  <c r="P6" i="58" a="1"/>
  <c r="P6" i="58" s="1"/>
  <c r="AY16" i="58" a="1"/>
  <c r="AY16" i="58" s="1"/>
  <c r="AT14" i="58" a="1"/>
  <c r="AT14" i="58" s="1"/>
  <c r="AQ12" i="58" a="1"/>
  <c r="AQ12" i="58" s="1"/>
  <c r="BA10" i="58" a="1"/>
  <c r="BA10" i="58" s="1"/>
  <c r="AS9" i="58" a="1"/>
  <c r="AS9" i="58" s="1"/>
  <c r="AI16" i="58" a="1"/>
  <c r="AI16" i="58" s="1"/>
  <c r="AW14" i="58" a="1"/>
  <c r="AW14" i="58" s="1"/>
  <c r="O13" i="58" a="1"/>
  <c r="O13" i="58" s="1"/>
  <c r="AD11" i="58" a="1"/>
  <c r="AD11" i="58" s="1"/>
  <c r="AC17" i="58" a="1"/>
  <c r="AC17" i="58" s="1"/>
  <c r="AZ15" i="58" a="1"/>
  <c r="AZ15" i="58" s="1"/>
  <c r="V14" i="58" a="1"/>
  <c r="V14" i="58" s="1"/>
  <c r="BA12" i="58" a="1"/>
  <c r="BA12" i="58" s="1"/>
  <c r="J11" i="58" a="1"/>
  <c r="J11" i="58" s="1"/>
  <c r="Q17" i="58" a="1"/>
  <c r="Q17" i="58" s="1"/>
  <c r="X15" i="58" a="1"/>
  <c r="X15" i="58" s="1"/>
  <c r="AK13" i="58" a="1"/>
  <c r="AK13" i="58" s="1"/>
  <c r="AJ11" i="58" a="1"/>
  <c r="AJ11" i="58" s="1"/>
  <c r="AW9" i="58" a="1"/>
  <c r="AW9" i="58" s="1"/>
  <c r="G8" i="58" a="1"/>
  <c r="G8" i="58" s="1"/>
  <c r="I6" i="58" a="1"/>
  <c r="I6" i="58" s="1"/>
  <c r="Y16" i="58" a="1"/>
  <c r="Y16" i="58" s="1"/>
  <c r="AB14" i="58" a="1"/>
  <c r="AB14" i="58" s="1"/>
  <c r="H12" i="58" a="1"/>
  <c r="H12" i="58" s="1"/>
  <c r="AI10" i="58" a="1"/>
  <c r="AI10" i="58" s="1"/>
  <c r="AY17" i="58" a="1"/>
  <c r="AY17" i="58" s="1"/>
  <c r="BA15" i="58" a="1"/>
  <c r="BA15" i="58" s="1"/>
  <c r="P14" i="58" a="1"/>
  <c r="P14" i="58" s="1"/>
  <c r="AM12" i="58" a="1"/>
  <c r="AM12" i="58" s="1"/>
  <c r="D11" i="58" a="1"/>
  <c r="D11" i="58" s="1"/>
  <c r="H17" i="58" a="1"/>
  <c r="H17" i="58" s="1"/>
  <c r="AI15" i="58" a="1"/>
  <c r="AI15" i="58" s="1"/>
  <c r="AW13" i="58" a="1"/>
  <c r="AW13" i="58" s="1"/>
  <c r="Y12" i="58" a="1"/>
  <c r="Y12" i="58" s="1"/>
  <c r="W10" i="58" a="1"/>
  <c r="W10" i="58" s="1"/>
  <c r="AK16" i="58" a="1"/>
  <c r="AK16" i="58" s="1"/>
  <c r="AM14" i="58" a="1"/>
  <c r="AM14" i="58" s="1"/>
  <c r="AZ12" i="58" a="1"/>
  <c r="AZ12" i="58" s="1"/>
  <c r="Q11" i="58" a="1"/>
  <c r="Q11" i="58" s="1"/>
  <c r="N9" i="58" a="1"/>
  <c r="N9" i="58" s="1"/>
  <c r="AF7" i="58" a="1"/>
  <c r="AF7" i="58" s="1"/>
  <c r="AJ5" i="58" a="1"/>
  <c r="AJ5" i="58" s="1"/>
  <c r="U16" i="58" a="1"/>
  <c r="U16" i="58" s="1"/>
  <c r="X14" i="58" a="1"/>
  <c r="X14" i="58" s="1"/>
  <c r="BA11" i="58" a="1"/>
  <c r="BA11" i="58" s="1"/>
  <c r="AE10" i="58" a="1"/>
  <c r="AE10" i="58" s="1"/>
  <c r="AR17" i="58" a="1"/>
  <c r="AR17" i="58" s="1"/>
  <c r="AT15" i="58" a="1"/>
  <c r="AT15" i="58" s="1"/>
  <c r="I14" i="58" a="1"/>
  <c r="I14" i="58" s="1"/>
  <c r="AC12" i="58" a="1"/>
  <c r="AC12" i="58" s="1"/>
  <c r="AZ10" i="58" a="1"/>
  <c r="AZ10" i="58" s="1"/>
  <c r="D17" i="58" a="1"/>
  <c r="D17" i="58" s="1"/>
  <c r="AB15" i="58" a="1"/>
  <c r="AB15" i="58" s="1"/>
  <c r="AT13" i="58" a="1"/>
  <c r="AT13" i="58" s="1"/>
  <c r="U12" i="58" a="1"/>
  <c r="U12" i="58" s="1"/>
  <c r="H10" i="58" a="1"/>
  <c r="H10" i="58" s="1"/>
  <c r="AD16" i="58" a="1"/>
  <c r="AD16" i="58" s="1"/>
  <c r="AJ14" i="58" a="1"/>
  <c r="AJ14" i="58" s="1"/>
  <c r="AR12" i="58" a="1"/>
  <c r="AR12" i="58" s="1"/>
  <c r="AX10" i="58" a="1"/>
  <c r="AX10" i="58" s="1"/>
  <c r="J9" i="58" a="1"/>
  <c r="J9" i="58" s="1"/>
  <c r="AC7" i="58" a="1"/>
  <c r="AC7" i="58" s="1"/>
  <c r="AD5" i="58" a="1"/>
  <c r="AD5" i="58" s="1"/>
  <c r="AF16" i="58" a="1"/>
  <c r="AF16" i="58" s="1"/>
  <c r="AI14" i="58" a="1"/>
  <c r="AI14" i="58" s="1"/>
  <c r="W12" i="58" a="1"/>
  <c r="W12" i="58" s="1"/>
  <c r="AP10" i="58" a="1"/>
  <c r="AP10" i="58" s="1"/>
  <c r="W9" i="58" a="1"/>
  <c r="W9" i="58" s="1"/>
  <c r="P16" i="58" a="1"/>
  <c r="P16" i="58" s="1"/>
  <c r="AE14" i="58" a="1"/>
  <c r="AE14" i="58" s="1"/>
  <c r="AT12" i="58" a="1"/>
  <c r="AT12" i="58" s="1"/>
  <c r="K11" i="58" a="1"/>
  <c r="K11" i="58" s="1"/>
  <c r="N17" i="58" a="1"/>
  <c r="N17" i="58" s="1"/>
  <c r="AP15" i="58" a="1"/>
  <c r="AP15" i="58" s="1"/>
  <c r="D14" i="58" a="1"/>
  <c r="D14" i="58" s="1"/>
  <c r="AJ12" i="58" a="1"/>
  <c r="AJ12" i="58" s="1"/>
  <c r="AR10" i="58" a="1"/>
  <c r="AR10" i="58" s="1"/>
  <c r="AZ16" i="58" a="1"/>
  <c r="AZ16" i="58" s="1"/>
  <c r="AY14" i="58" a="1"/>
  <c r="AY14" i="58" s="1"/>
  <c r="G13" i="58" a="1"/>
  <c r="G13" i="58" s="1"/>
  <c r="Y11" i="58" a="1"/>
  <c r="Y11" i="58" s="1"/>
  <c r="AF9" i="58" a="1"/>
  <c r="AF9" i="58" s="1"/>
  <c r="AM7" i="58" a="1"/>
  <c r="AM7" i="58" s="1"/>
  <c r="AT5" i="58" a="1"/>
  <c r="AT5" i="58" s="1"/>
  <c r="AC16" i="58" a="1"/>
  <c r="AC16" i="58" s="1"/>
  <c r="AF14" i="58" a="1"/>
  <c r="AF14" i="58" s="1"/>
  <c r="O12" i="58" a="1"/>
  <c r="O12" i="58" s="1"/>
  <c r="AM10" i="58" a="1"/>
  <c r="AM10" i="58" s="1"/>
  <c r="O9" i="58" a="1"/>
  <c r="O9" i="58" s="1"/>
  <c r="H16" i="58" a="1"/>
  <c r="H16" i="58" s="1"/>
  <c r="W14" i="58" a="1"/>
  <c r="W14" i="58" s="1"/>
  <c r="AP12" i="58" a="1"/>
  <c r="AP12" i="58" s="1"/>
  <c r="H11" i="58" a="1"/>
  <c r="H11" i="58" s="1"/>
  <c r="K17" i="58" a="1"/>
  <c r="K17" i="58" s="1"/>
  <c r="AM15" i="58" a="1"/>
  <c r="AM15" i="58" s="1"/>
  <c r="AZ13" i="58" a="1"/>
  <c r="AZ13" i="58" s="1"/>
  <c r="AF12" i="58" a="1"/>
  <c r="AF12" i="58" s="1"/>
  <c r="AK10" i="58" a="1"/>
  <c r="AK10" i="58" s="1"/>
  <c r="AR16" i="58" a="1"/>
  <c r="AR16" i="58" s="1"/>
  <c r="AQ14" i="58" a="1"/>
  <c r="AQ14" i="58" s="1"/>
  <c r="D13" i="58" a="1"/>
  <c r="D13" i="58" s="1"/>
  <c r="U11" i="58" a="1"/>
  <c r="U11" i="58" s="1"/>
  <c r="X9" i="58" a="1"/>
  <c r="X9" i="58" s="1"/>
  <c r="AI7" i="58" a="1"/>
  <c r="AI7" i="58" s="1"/>
  <c r="AP5" i="58" a="1"/>
  <c r="AP5" i="58" s="1"/>
  <c r="AC4" i="58" a="1"/>
  <c r="AC4" i="58" s="1"/>
  <c r="AQ9" i="58" a="1"/>
  <c r="AQ9" i="58" s="1"/>
  <c r="AZ17" i="58" a="1"/>
  <c r="AZ17" i="58" s="1"/>
  <c r="AX15" i="58" a="1"/>
  <c r="AX15" i="58" s="1"/>
  <c r="AR13" i="58" a="1"/>
  <c r="AR13" i="58" s="1"/>
  <c r="AP11" i="58" a="1"/>
  <c r="AP11" i="58" s="1"/>
  <c r="U10" i="58" a="1"/>
  <c r="U10" i="58" s="1"/>
  <c r="W17" i="58" a="1"/>
  <c r="W17" i="58" s="1"/>
  <c r="AF15" i="58" a="1"/>
  <c r="AF15" i="58" s="1"/>
  <c r="AQ13" i="58" a="1"/>
  <c r="AQ13" i="58" s="1"/>
  <c r="N12" i="58" a="1"/>
  <c r="N12" i="58" s="1"/>
  <c r="AD10" i="58" a="1"/>
  <c r="AD10" i="58" s="1"/>
  <c r="AS16" i="58" a="1"/>
  <c r="AS16" i="58" s="1"/>
  <c r="R15" i="58" a="1"/>
  <c r="R15" i="58" s="1"/>
  <c r="AF13" i="58" a="1"/>
  <c r="AF13" i="58" s="1"/>
  <c r="AY11" i="58" a="1"/>
  <c r="AY11" i="58" s="1"/>
  <c r="AT17" i="58" a="1"/>
  <c r="AT17" i="58" s="1"/>
  <c r="N16" i="58" a="1"/>
  <c r="N16" i="58" s="1"/>
  <c r="U14" i="58" a="1"/>
  <c r="U14" i="58" s="1"/>
  <c r="AE12" i="58" a="1"/>
  <c r="AE12" i="58" s="1"/>
  <c r="AF10" i="58" a="1"/>
  <c r="AF10" i="58" s="1"/>
  <c r="AS8" i="58" a="1"/>
  <c r="AS8" i="58" s="1"/>
  <c r="H7" i="58" a="1"/>
  <c r="H7" i="58" s="1"/>
  <c r="AS17" i="58" a="1"/>
  <c r="AS17" i="58" s="1"/>
  <c r="AK15" i="58" a="1"/>
  <c r="AK15" i="58" s="1"/>
  <c r="AJ13" i="58" a="1"/>
  <c r="AJ13" i="58" s="1"/>
  <c r="AM11" i="58" a="1"/>
  <c r="AM11" i="58" s="1"/>
  <c r="Q10" i="58" a="1"/>
  <c r="Q10" i="58" s="1"/>
  <c r="O17" i="58" a="1"/>
  <c r="O17" i="58" s="1"/>
  <c r="AC15" i="58" a="1"/>
  <c r="AC15" i="58" s="1"/>
  <c r="AM13" i="58" a="1"/>
  <c r="AM13" i="58" s="1"/>
  <c r="K12" i="58" a="1"/>
  <c r="K12" i="58" s="1"/>
  <c r="X10" i="58" a="1"/>
  <c r="X10" i="58" s="1"/>
  <c r="AL16" i="58" a="1"/>
  <c r="AL16" i="58" s="1"/>
  <c r="N15" i="58" a="1"/>
  <c r="N15" i="58" s="1"/>
  <c r="AB13" i="58" a="1"/>
  <c r="AB13" i="58" s="1"/>
  <c r="AR11" i="58" a="1"/>
  <c r="AR11" i="58" s="1"/>
  <c r="AP17" i="58" a="1"/>
  <c r="AP17" i="58" s="1"/>
  <c r="J16" i="58" a="1"/>
  <c r="J16" i="58" s="1"/>
  <c r="R14" i="58" a="1"/>
  <c r="R14" i="58" s="1"/>
  <c r="AB12" i="58" a="1"/>
  <c r="AB12" i="58" s="1"/>
  <c r="AC10" i="58" a="1"/>
  <c r="AC10" i="58" s="1"/>
  <c r="AK8" i="58" a="1"/>
  <c r="AK8" i="58" s="1"/>
  <c r="AY6" i="58" a="1"/>
  <c r="AY6" i="58" s="1"/>
  <c r="K5" i="58" a="1"/>
  <c r="K5" i="58" s="1"/>
  <c r="Q16" i="58" a="1"/>
  <c r="Q16" i="58" s="1"/>
  <c r="Q14" i="58" a="1"/>
  <c r="Q14" i="58" s="1"/>
  <c r="AW11" i="58" a="1"/>
  <c r="AW11" i="58" s="1"/>
  <c r="AB10" i="58" a="1"/>
  <c r="AB10" i="58" s="1"/>
  <c r="AL17" i="58" a="1"/>
  <c r="AL17" i="58" s="1"/>
  <c r="AQ15" i="58" a="1"/>
  <c r="AQ15" i="58" s="1"/>
  <c r="BA13" i="58" a="1"/>
  <c r="BA13" i="58" s="1"/>
  <c r="V12" i="58" a="1"/>
  <c r="V12" i="58" s="1"/>
  <c r="AS10" i="58" a="1"/>
  <c r="AS10" i="58" s="1"/>
  <c r="BA16" i="58" a="1"/>
  <c r="BA16" i="58" s="1"/>
  <c r="Y15" i="58" a="1"/>
  <c r="Y15" i="58" s="1"/>
  <c r="AP13" i="58" a="1"/>
  <c r="AP13" i="58" s="1"/>
  <c r="Q12" i="58" a="1"/>
  <c r="Q12" i="58" s="1"/>
  <c r="BA17" i="58" a="1"/>
  <c r="BA17" i="58" s="1"/>
  <c r="V16" i="58" a="1"/>
  <c r="V16" i="58" s="1"/>
  <c r="AC14" i="58" a="1"/>
  <c r="AC14" i="58" s="1"/>
  <c r="AL12" i="58" a="1"/>
  <c r="AL12" i="58" s="1"/>
  <c r="AQ10" i="58" a="1"/>
  <c r="AQ10" i="58" s="1"/>
  <c r="G9" i="58" a="1"/>
  <c r="G9" i="58" s="1"/>
  <c r="V7" i="58" a="1"/>
  <c r="V7" i="58" s="1"/>
  <c r="W5" i="58" a="1"/>
  <c r="W5" i="58" s="1"/>
  <c r="I16" i="58" a="1"/>
  <c r="I16" i="58" s="1"/>
  <c r="J14" i="58" a="1"/>
  <c r="J14" i="58" s="1"/>
  <c r="AT11" i="58" a="1"/>
  <c r="AT11" i="58" s="1"/>
  <c r="Y10" i="58" a="1"/>
  <c r="Y10" i="58" s="1"/>
  <c r="AD17" i="58" a="1"/>
  <c r="AD17" i="58" s="1"/>
  <c r="AJ15" i="58" a="1"/>
  <c r="AJ15" i="58" s="1"/>
  <c r="AX13" i="58" a="1"/>
  <c r="AX13" i="58" s="1"/>
  <c r="R12" i="58" a="1"/>
  <c r="R12" i="58" s="1"/>
  <c r="AL10" i="58" a="1"/>
  <c r="AL10" i="58" s="1"/>
  <c r="AW16" i="58" a="1"/>
  <c r="AW16" i="58" s="1"/>
  <c r="U15" i="58" a="1"/>
  <c r="U15" i="58" s="1"/>
  <c r="AL13" i="58" a="1"/>
  <c r="AL13" i="58" s="1"/>
  <c r="J12" i="58" a="1"/>
  <c r="J12" i="58" s="1"/>
  <c r="AW17" i="58" a="1"/>
  <c r="AW17" i="58" s="1"/>
  <c r="R16" i="58" a="1"/>
  <c r="R16" i="58" s="1"/>
  <c r="Y14" i="58" a="1"/>
  <c r="Y14" i="58" s="1"/>
  <c r="AI12" i="58" a="1"/>
  <c r="AI12" i="58" s="1"/>
  <c r="AJ10" i="58" a="1"/>
  <c r="AJ10" i="58" s="1"/>
  <c r="AZ8" i="58" a="1"/>
  <c r="AZ8" i="58" s="1"/>
  <c r="R7" i="58" a="1"/>
  <c r="R7" i="58" s="1"/>
  <c r="AE17" i="58" a="1"/>
  <c r="AE17" i="58" s="1"/>
  <c r="P15" i="58" a="1"/>
  <c r="P15" i="58" s="1"/>
  <c r="P13" i="58" a="1"/>
  <c r="P13" i="58" s="1"/>
  <c r="X11" i="58" a="1"/>
  <c r="X11" i="58" s="1"/>
  <c r="G10" i="58" a="1"/>
  <c r="G10" i="58" s="1"/>
  <c r="AT16" i="58" a="1"/>
  <c r="AT16" i="58" s="1"/>
  <c r="K15" i="58" a="1"/>
  <c r="K15" i="58" s="1"/>
  <c r="Y13" i="58" a="1"/>
  <c r="Y13" i="58" s="1"/>
  <c r="AZ11" i="58" a="1"/>
  <c r="AZ11" i="58" s="1"/>
  <c r="AX17" i="58" a="1"/>
  <c r="AX17" i="58" s="1"/>
  <c r="O16" i="58" a="1"/>
  <c r="O16" i="58" s="1"/>
  <c r="AZ14" i="58" a="1"/>
  <c r="AZ14" i="58" s="1"/>
  <c r="N13" i="58" a="1"/>
  <c r="N13" i="58" s="1"/>
  <c r="V11" i="58" a="1"/>
  <c r="V11" i="58" s="1"/>
  <c r="AB17" i="58" a="1"/>
  <c r="AB17" i="58" s="1"/>
  <c r="AR15" i="58" a="1"/>
  <c r="AR15" i="58" s="1"/>
  <c r="G14" i="58" a="1"/>
  <c r="G14" i="58" s="1"/>
  <c r="I12" i="58" a="1"/>
  <c r="I12" i="58" s="1"/>
  <c r="O10" i="58" a="1"/>
  <c r="O10" i="58" s="1"/>
  <c r="R8" i="58" a="1"/>
  <c r="R8" i="58" s="1"/>
  <c r="AC6" i="58" a="1"/>
  <c r="AC6" i="58" s="1"/>
  <c r="X17" i="58" a="1"/>
  <c r="X17" i="58" s="1"/>
  <c r="H15" i="58" a="1"/>
  <c r="H15" i="58" s="1"/>
  <c r="J13" i="58" a="1"/>
  <c r="J13" i="58" s="1"/>
  <c r="P11" i="58" a="1"/>
  <c r="P11" i="58" s="1"/>
  <c r="D10" i="58" a="1"/>
  <c r="D10" i="58" s="1"/>
  <c r="AP16" i="58" a="1"/>
  <c r="AP16" i="58" s="1"/>
  <c r="D15" i="58" a="1"/>
  <c r="D15" i="58" s="1"/>
  <c r="U13" i="58" a="1"/>
  <c r="U13" i="58" s="1"/>
  <c r="AS11" i="58" a="1"/>
  <c r="AS11" i="58" s="1"/>
  <c r="AQ17" i="58" a="1"/>
  <c r="AQ17" i="58" s="1"/>
  <c r="K16" i="58" a="1"/>
  <c r="K16" i="58" s="1"/>
  <c r="AR14" i="58" a="1"/>
  <c r="AR14" i="58" s="1"/>
  <c r="K13" i="58" a="1"/>
  <c r="K13" i="58" s="1"/>
  <c r="R11" i="58" a="1"/>
  <c r="R11" i="58" s="1"/>
  <c r="Y17" i="58" a="1"/>
  <c r="Y17" i="58" s="1"/>
  <c r="AL15" i="58" a="1"/>
  <c r="AL15" i="58" s="1"/>
  <c r="AY13" i="58" a="1"/>
  <c r="AY13" i="58" s="1"/>
  <c r="AX11" i="58" a="1"/>
  <c r="AX11" i="58" s="1"/>
  <c r="K10" i="58" a="1"/>
  <c r="K10" i="58" s="1"/>
  <c r="N8" i="58" a="1"/>
  <c r="N8" i="58" s="1"/>
  <c r="V6" i="58" a="1"/>
  <c r="V6" i="58" s="1"/>
  <c r="AM17" i="58" a="1"/>
  <c r="AM17" i="58" s="1"/>
  <c r="AD15" i="58" a="1"/>
  <c r="AD15" i="58" s="1"/>
  <c r="AD13" i="58" a="1"/>
  <c r="AD13" i="58" s="1"/>
  <c r="AI11" i="58" a="1"/>
  <c r="AI11" i="58" s="1"/>
  <c r="N10" i="58" a="1"/>
  <c r="N10" i="58" s="1"/>
  <c r="I17" i="58" a="1"/>
  <c r="I17" i="58" s="1"/>
  <c r="V15" i="58" a="1"/>
  <c r="V15" i="58" s="1"/>
  <c r="AI13" i="58" a="1"/>
  <c r="AI13" i="58" s="1"/>
  <c r="G12" i="58" a="1"/>
  <c r="G12" i="58" s="1"/>
  <c r="P10" i="58" a="1"/>
  <c r="P10" i="58" s="1"/>
  <c r="AE16" i="58" a="1"/>
  <c r="AE16" i="58" s="1"/>
  <c r="J15" i="58" a="1"/>
  <c r="J15" i="58" s="1"/>
  <c r="X13" i="58" a="1"/>
  <c r="X13" i="58" s="1"/>
  <c r="AK11" i="58" a="1"/>
  <c r="AK11" i="58" s="1"/>
  <c r="AJ17" i="58" a="1"/>
  <c r="AJ17" i="58" s="1"/>
  <c r="G16" i="58" a="1"/>
  <c r="G16" i="58" s="1"/>
  <c r="N14" i="58" a="1"/>
  <c r="N14" i="58" s="1"/>
  <c r="X12" i="58" a="1"/>
  <c r="X12" i="58" s="1"/>
  <c r="V10" i="58" a="1"/>
  <c r="V10" i="58" s="1"/>
  <c r="AC8" i="58" a="1"/>
  <c r="AC8" i="58" s="1"/>
  <c r="AR6" i="58" a="1"/>
  <c r="AR6" i="58" s="1"/>
  <c r="AI17" i="58" a="1"/>
  <c r="AI17" i="58" s="1"/>
  <c r="W15" i="58" a="1"/>
  <c r="W15" i="58" s="1"/>
  <c r="V13" i="58" a="1"/>
  <c r="V13" i="58" s="1"/>
  <c r="AE11" i="58" a="1"/>
  <c r="AE11" i="58" s="1"/>
  <c r="J10" i="58" a="1"/>
  <c r="J10" i="58" s="1"/>
  <c r="AX16" i="58" a="1"/>
  <c r="AX16" i="58" s="1"/>
  <c r="O15" i="58" a="1"/>
  <c r="O15" i="58" s="1"/>
  <c r="AC13" i="58" a="1"/>
  <c r="AC13" i="58" s="1"/>
  <c r="D12" i="58" a="1"/>
  <c r="D12" i="58" s="1"/>
  <c r="I10" i="58" a="1"/>
  <c r="I10" i="58" s="1"/>
  <c r="W16" i="58" a="1"/>
  <c r="W16" i="58" s="1"/>
  <c r="G15" i="58" a="1"/>
  <c r="G15" i="58" s="1"/>
  <c r="Q13" i="58" a="1"/>
  <c r="Q13" i="58" s="1"/>
  <c r="AC11" i="58" a="1"/>
  <c r="AC11" i="58" s="1"/>
  <c r="AF17" i="58" a="1"/>
  <c r="AF17" i="58" s="1"/>
  <c r="AY15" i="58" a="1"/>
  <c r="AY15" i="58" s="1"/>
  <c r="K14" i="58" a="1"/>
  <c r="K14" i="58" s="1"/>
  <c r="P12" i="58" a="1"/>
  <c r="P12" i="58" s="1"/>
  <c r="R10" i="58" a="1"/>
  <c r="R10" i="58" s="1"/>
  <c r="V8" i="58" a="1"/>
  <c r="V8" i="58" s="1"/>
  <c r="AJ6" i="58" a="1"/>
  <c r="AJ6" i="58" s="1"/>
  <c r="N5" i="58" a="1"/>
  <c r="N5" i="58" s="1"/>
  <c r="AD3" i="58" a="1"/>
  <c r="AD3" i="58" s="1"/>
  <c r="C15" i="58" a="1"/>
  <c r="C15" i="58" s="1"/>
  <c r="AL7" i="58" a="1"/>
  <c r="AL7" i="58" s="1"/>
  <c r="AS5" i="58" a="1"/>
  <c r="AS5" i="58" s="1"/>
  <c r="U4" i="58" a="1"/>
  <c r="U4" i="58" s="1"/>
  <c r="C6" i="58" a="1"/>
  <c r="C6" i="58" s="1"/>
  <c r="I8" i="58" a="1"/>
  <c r="I8" i="58" s="1"/>
  <c r="X6" i="58" a="1"/>
  <c r="X6" i="58" s="1"/>
  <c r="AD4" i="58" a="1"/>
  <c r="AD4" i="58" s="1"/>
  <c r="C9" i="58" a="1"/>
  <c r="C9" i="58" s="1"/>
  <c r="W8" i="58" a="1"/>
  <c r="W8" i="58" s="1"/>
  <c r="AK6" i="58" a="1"/>
  <c r="AK6" i="58" s="1"/>
  <c r="AK4" i="58" a="1"/>
  <c r="AK4" i="58" s="1"/>
  <c r="D5" i="58" a="1"/>
  <c r="D5" i="58" s="1"/>
  <c r="U3" i="58" a="1"/>
  <c r="U3" i="58" s="1"/>
  <c r="AB8" i="58" a="1"/>
  <c r="AB8" i="58" s="1"/>
  <c r="AI6" i="58" a="1"/>
  <c r="AI6" i="58" s="1"/>
  <c r="AZ4" i="58" a="1"/>
  <c r="AZ4" i="58" s="1"/>
  <c r="AC3" i="58" a="1"/>
  <c r="AC3" i="58" s="1"/>
  <c r="AT8" i="58" a="1"/>
  <c r="AT8" i="58" s="1"/>
  <c r="G7" i="58" a="1"/>
  <c r="G7" i="58" s="1"/>
  <c r="Y5" i="58" a="1"/>
  <c r="Y5" i="58" s="1"/>
  <c r="AF3" i="58" a="1"/>
  <c r="AF3" i="58" s="1"/>
  <c r="H9" i="58" a="1"/>
  <c r="H9" i="58" s="1"/>
  <c r="AD7" i="58" a="1"/>
  <c r="AD7" i="58" s="1"/>
  <c r="AK5" i="58" a="1"/>
  <c r="AK5" i="58" s="1"/>
  <c r="Y3" i="58" a="1"/>
  <c r="Y3" i="58" s="1"/>
  <c r="AJ4" i="58" a="1"/>
  <c r="AJ4" i="58" s="1"/>
  <c r="C7" i="58" a="1"/>
  <c r="C7" i="58" s="1"/>
  <c r="AX7" i="58" a="1"/>
  <c r="AX7" i="58" s="1"/>
  <c r="H6" i="58" a="1"/>
  <c r="H6" i="58" s="1"/>
  <c r="AB4" i="58" a="1"/>
  <c r="AB4" i="58" s="1"/>
  <c r="C14" i="58" a="1"/>
  <c r="C14" i="58" s="1"/>
  <c r="X8" i="58" a="1"/>
  <c r="X8" i="58" s="1"/>
  <c r="AL6" i="58" a="1"/>
  <c r="AL6" i="58" s="1"/>
  <c r="AS4" i="58" a="1"/>
  <c r="AS4" i="58" s="1"/>
  <c r="C17" i="58" a="1"/>
  <c r="C17" i="58" s="1"/>
  <c r="AL8" i="58" a="1"/>
  <c r="AL8" i="58" s="1"/>
  <c r="AW6" i="58" a="1"/>
  <c r="AW6" i="58" s="1"/>
  <c r="AX4" i="58" a="1"/>
  <c r="AX4" i="58" s="1"/>
  <c r="C16" i="58" a="1"/>
  <c r="C16" i="58" s="1"/>
  <c r="AK3" i="58" a="1"/>
  <c r="AK3" i="58" s="1"/>
  <c r="AJ8" i="58" a="1"/>
  <c r="AJ8" i="58" s="1"/>
  <c r="AQ6" i="58" a="1"/>
  <c r="AQ6" i="58" s="1"/>
  <c r="J5" i="58" a="1"/>
  <c r="J5" i="58" s="1"/>
  <c r="AP3" i="58" a="1"/>
  <c r="AP3" i="58" s="1"/>
  <c r="I9" i="58" a="1"/>
  <c r="I9" i="58" s="1"/>
  <c r="N7" i="58" a="1"/>
  <c r="N7" i="58" s="1"/>
  <c r="AL5" i="58" a="1"/>
  <c r="AL5" i="58" s="1"/>
  <c r="AM3" i="58" a="1"/>
  <c r="AM3" i="58" s="1"/>
  <c r="P9" i="58" a="1"/>
  <c r="P9" i="58" s="1"/>
  <c r="AP7" i="58" a="1"/>
  <c r="AP7" i="58" s="1"/>
  <c r="BA5" i="58" a="1"/>
  <c r="BA5" i="58" s="1"/>
  <c r="AE3" i="58" a="1"/>
  <c r="AE3" i="58" s="1"/>
  <c r="Q5" i="58" a="1"/>
  <c r="Q5" i="58" s="1"/>
  <c r="R9" i="58" a="1"/>
  <c r="R9" i="58" s="1"/>
  <c r="O7" i="58" a="1"/>
  <c r="O7" i="58" s="1"/>
  <c r="AC5" i="58" a="1"/>
  <c r="AC5" i="58" s="1"/>
  <c r="AZ3" i="58" a="1"/>
  <c r="AZ3" i="58" s="1"/>
  <c r="AC9" i="58" a="1"/>
  <c r="AC9" i="58" s="1"/>
  <c r="AE7" i="58" a="1"/>
  <c r="AE7" i="58" s="1"/>
  <c r="K6" i="58" a="1"/>
  <c r="K6" i="58" s="1"/>
  <c r="H4" i="58" a="1"/>
  <c r="H4" i="58" s="1"/>
  <c r="AK9" i="58" a="1"/>
  <c r="AK9" i="58" s="1"/>
  <c r="AZ7" i="58" a="1"/>
  <c r="AZ7" i="58" s="1"/>
  <c r="J6" i="58" a="1"/>
  <c r="J6" i="58" s="1"/>
  <c r="AX3" i="58" a="1"/>
  <c r="AX3" i="58" s="1"/>
  <c r="AQ4" i="58" a="1"/>
  <c r="AQ4" i="58" s="1"/>
  <c r="C11" i="58" a="1"/>
  <c r="C11" i="58" s="1"/>
  <c r="J8" i="58" a="1"/>
  <c r="J8" i="58" s="1"/>
  <c r="O6" i="58" a="1"/>
  <c r="O6" i="58" s="1"/>
  <c r="AE4" i="58" a="1"/>
  <c r="AE4" i="58" s="1"/>
  <c r="D3" i="58" a="1"/>
  <c r="D3" i="58" s="1"/>
  <c r="AE8" i="58" a="1"/>
  <c r="AE8" i="58" s="1"/>
  <c r="AP6" i="58" a="1"/>
  <c r="AP6" i="58" s="1"/>
  <c r="AY4" i="58" a="1"/>
  <c r="AY4" i="58" s="1"/>
  <c r="G3" i="58" a="1"/>
  <c r="G3" i="58" s="1"/>
  <c r="AP8" i="58" a="1"/>
  <c r="AP8" i="58" s="1"/>
  <c r="AZ6" i="58" a="1"/>
  <c r="AZ6" i="58" s="1"/>
  <c r="H5" i="58" a="1"/>
  <c r="H5" i="58" s="1"/>
  <c r="J3" i="58" a="1"/>
  <c r="J3" i="58" s="1"/>
  <c r="J4" i="58" a="1"/>
  <c r="J4" i="58" s="1"/>
  <c r="AE9" i="58" a="1"/>
  <c r="AE9" i="58" s="1"/>
  <c r="Y7" i="58" a="1"/>
  <c r="Y7" i="58" s="1"/>
  <c r="AI5" i="58" a="1"/>
  <c r="AI5" i="58" s="1"/>
  <c r="O4" i="58" a="1"/>
  <c r="O4" i="58" s="1"/>
  <c r="AP9" i="58" a="1"/>
  <c r="AP9" i="58" s="1"/>
  <c r="AQ7" i="58" a="1"/>
  <c r="AQ7" i="58" s="1"/>
  <c r="R6" i="58" a="1"/>
  <c r="R6" i="58" s="1"/>
  <c r="Q4" i="58" a="1"/>
  <c r="Q4" i="58" s="1"/>
  <c r="AX9" i="58" a="1"/>
  <c r="AX9" i="58" s="1"/>
  <c r="H8" i="58" a="1"/>
  <c r="H8" i="58" s="1"/>
  <c r="W6" i="58" a="1"/>
  <c r="W6" i="58" s="1"/>
  <c r="P4" i="58" a="1"/>
  <c r="P4" i="58" s="1"/>
  <c r="AW4" i="58" a="1"/>
  <c r="AW4" i="58" s="1"/>
  <c r="I3" i="58" a="1"/>
  <c r="I3" i="58" s="1"/>
  <c r="U8" i="58" a="1"/>
  <c r="U8" i="58" s="1"/>
  <c r="AB6" i="58" a="1"/>
  <c r="AB6" i="58" s="1"/>
  <c r="AM4" i="58" a="1"/>
  <c r="AM4" i="58" s="1"/>
  <c r="P3" i="58" a="1"/>
  <c r="P3" i="58" s="1"/>
  <c r="AM8" i="58" a="1"/>
  <c r="AM8" i="58" s="1"/>
  <c r="BA6" i="58" a="1"/>
  <c r="BA6" i="58" s="1"/>
  <c r="R5" i="58" a="1"/>
  <c r="R5" i="58" s="1"/>
  <c r="O3" i="58" a="1"/>
  <c r="O3" i="58" s="1"/>
  <c r="BA8" i="58" a="1"/>
  <c r="BA8" i="58" s="1"/>
  <c r="P7" i="58" a="1"/>
  <c r="P7" i="58" s="1"/>
  <c r="X5" i="58" a="1"/>
  <c r="X5" i="58" s="1"/>
  <c r="R3" i="58" a="1"/>
  <c r="R3" i="58" s="1"/>
  <c r="AT4" i="58" a="1"/>
  <c r="AT4" i="58" s="1"/>
  <c r="AF8" i="58" a="1"/>
  <c r="AF8" i="58" s="1"/>
  <c r="AM6" i="58" a="1"/>
  <c r="AM6" i="58" s="1"/>
  <c r="G5" i="58" a="1"/>
  <c r="G5" i="58" s="1"/>
  <c r="AJ3" i="58" a="1"/>
  <c r="AJ3" i="58" s="1"/>
  <c r="AX8" i="58" a="1"/>
  <c r="AX8" i="58" s="1"/>
  <c r="J7" i="58" a="1"/>
  <c r="J7" i="58" s="1"/>
  <c r="AB5" i="58" a="1"/>
  <c r="AB5" i="58" s="1"/>
  <c r="AI3" i="58" a="1"/>
  <c r="AI3" i="58" s="1"/>
  <c r="K9" i="58" a="1"/>
  <c r="K9" i="58" s="1"/>
  <c r="AJ7" i="58" a="1"/>
  <c r="AJ7" i="58" s="1"/>
  <c r="AQ5" i="58" a="1"/>
  <c r="AQ5" i="58" s="1"/>
  <c r="AB3" i="58" a="1"/>
  <c r="AB3" i="58" s="1"/>
  <c r="Y4" i="58" a="1"/>
  <c r="Y4" i="58" s="1"/>
  <c r="AI9" i="58" a="1"/>
  <c r="AI9" i="58" s="1"/>
  <c r="AB7" i="58" a="1"/>
  <c r="AB7" i="58" s="1"/>
  <c r="AM5" i="58" a="1"/>
  <c r="AM5" i="58" s="1"/>
  <c r="R4" i="58" a="1"/>
  <c r="R4" i="58" s="1"/>
  <c r="AY9" i="58" a="1"/>
  <c r="AY9" i="58" s="1"/>
  <c r="BA7" i="58" a="1"/>
  <c r="BA7" i="58" s="1"/>
  <c r="U6" i="58" a="1"/>
  <c r="U6" i="58" s="1"/>
  <c r="W4" i="58" a="1"/>
  <c r="W4" i="58" s="1"/>
  <c r="C5" i="58" a="1"/>
  <c r="C5" i="58" s="1"/>
  <c r="O8" i="58" a="1"/>
  <c r="O8" i="58" s="1"/>
  <c r="AD6" i="58" a="1"/>
  <c r="AD6" i="58" s="1"/>
  <c r="V4" i="58" a="1"/>
  <c r="V4" i="58" s="1"/>
  <c r="C4" i="58" a="1"/>
  <c r="C4" i="58" s="1"/>
  <c r="AQ3" i="58" a="1"/>
  <c r="AQ3" i="58" s="1"/>
  <c r="AR8" i="58" a="1"/>
  <c r="AR8" i="58" s="1"/>
  <c r="AX6" i="58" a="1"/>
  <c r="AX6" i="58" s="1"/>
  <c r="P5" i="58" a="1"/>
  <c r="P5" i="58" s="1"/>
  <c r="AT3" i="58" a="1"/>
  <c r="AT3" i="58" s="1"/>
  <c r="Q9" i="58" a="1"/>
  <c r="Q9" i="58" s="1"/>
  <c r="Q7" i="58" a="1"/>
  <c r="Q7" i="58" s="1"/>
  <c r="AR5" i="58" a="1"/>
  <c r="AR5" i="58" s="1"/>
  <c r="AS3" i="58" a="1"/>
  <c r="AS3" i="58" s="1"/>
  <c r="Y9" i="58" a="1"/>
  <c r="Y9" i="58" s="1"/>
  <c r="AT7" i="58" a="1"/>
  <c r="AT7" i="58" s="1"/>
  <c r="D6" i="58" a="1"/>
  <c r="D6" i="58" s="1"/>
  <c r="AL3" i="58" a="1"/>
  <c r="AL3" i="58" s="1"/>
  <c r="AF4" i="58" a="1"/>
  <c r="AF4" i="58" s="1"/>
  <c r="C3" i="58" a="1"/>
  <c r="C3" i="58" s="1"/>
  <c r="AR7" i="58" a="1"/>
  <c r="AR7" i="58" s="1"/>
  <c r="AY5" i="58" a="1"/>
  <c r="AY5" i="58" s="1"/>
  <c r="X4" i="58" a="1"/>
  <c r="X4" i="58" s="1"/>
  <c r="C10" i="58" a="1"/>
  <c r="C10" i="58" s="1"/>
  <c r="P8" i="58" a="1"/>
  <c r="P8" i="58" s="1"/>
  <c r="AE6" i="58" a="1"/>
  <c r="AE6" i="58" s="1"/>
  <c r="AL4" i="58" a="1"/>
  <c r="AL4" i="58" s="1"/>
  <c r="C13" i="58" a="1"/>
  <c r="C13" i="58" s="1"/>
  <c r="AD8" i="58" a="1"/>
  <c r="AD8" i="58" s="1"/>
  <c r="AS6" i="58" a="1"/>
  <c r="AS6" i="58" s="1"/>
  <c r="AR4" i="58" a="1"/>
  <c r="AR4" i="58" s="1"/>
  <c r="C12" i="58" a="1"/>
  <c r="C12" i="58" s="1"/>
  <c r="D4" i="58" a="1"/>
  <c r="D4" i="58" s="1"/>
  <c r="Q8" i="58" a="1"/>
  <c r="Q8" i="58" s="1"/>
  <c r="Y6" i="58" a="1"/>
  <c r="Y6" i="58" s="1"/>
  <c r="AI4" i="58" a="1"/>
  <c r="AI4" i="58" s="1"/>
  <c r="H3" i="58" a="1"/>
  <c r="H3" i="58" s="1"/>
  <c r="AI8" i="58" a="1"/>
  <c r="AI8" i="58" s="1"/>
  <c r="AT6" i="58" a="1"/>
  <c r="AT6" i="58" s="1"/>
  <c r="I5" i="58" a="1"/>
  <c r="I5" i="58" s="1"/>
  <c r="K3" i="58" a="1"/>
  <c r="K3" i="58" s="1"/>
  <c r="AW8" i="58" a="1"/>
  <c r="AW8" i="58" s="1"/>
  <c r="I7" i="58" a="1"/>
  <c r="I7" i="58" s="1"/>
  <c r="O5" i="58" a="1"/>
  <c r="O5" i="58" s="1"/>
  <c r="N3" i="58" a="1"/>
  <c r="N3" i="58" s="1"/>
  <c r="BA3" i="58" a="1"/>
  <c r="BA3" i="58" s="1"/>
  <c r="AY8" i="58" a="1"/>
  <c r="AY8" i="58" s="1"/>
  <c r="K7" i="58" a="1"/>
  <c r="K7" i="58" s="1"/>
  <c r="V5" i="58" a="1"/>
  <c r="V5" i="58" s="1"/>
  <c r="AW3" i="58" a="1"/>
  <c r="AW3" i="58" s="1"/>
  <c r="U9" i="58" a="1"/>
  <c r="U9" i="58" s="1"/>
  <c r="X7" i="58" a="1"/>
  <c r="X7" i="58" s="1"/>
  <c r="AX5" i="58" a="1"/>
  <c r="AX5" i="58" s="1"/>
  <c r="AY3" i="58" a="1"/>
  <c r="AY3" i="58" s="1"/>
  <c r="AB9" i="58" a="1"/>
  <c r="AB9" i="58" s="1"/>
  <c r="AW7" i="58" a="1"/>
  <c r="AW7" i="58" s="1"/>
  <c r="G6" i="58" a="1"/>
  <c r="G6" i="58" s="1"/>
  <c r="AR3" i="58" a="1"/>
  <c r="AR3" i="58" s="1"/>
  <c r="BA4" i="58" a="1"/>
  <c r="BA4" i="58" s="1"/>
  <c r="Q3" i="58" a="1"/>
  <c r="Q3" i="58" s="1"/>
  <c r="Y8" i="58" a="1"/>
  <c r="Y8" i="58" s="1"/>
  <c r="AF6" i="58" a="1"/>
  <c r="AF6" i="58" s="1"/>
  <c r="AP4" i="58" a="1"/>
  <c r="AP4" i="58" s="1"/>
  <c r="X3" i="58" a="1"/>
  <c r="X3" i="58" s="1"/>
  <c r="AQ8" i="58" a="1"/>
  <c r="AQ8" i="58" s="1"/>
  <c r="D7" i="58" a="1"/>
  <c r="D7" i="58" s="1"/>
  <c r="U5" i="58" a="1"/>
  <c r="U5" i="58" s="1"/>
  <c r="W3" i="58" a="1"/>
  <c r="W3" i="58" s="1"/>
  <c r="D9" i="58" a="1"/>
  <c r="D9" i="58" s="1"/>
  <c r="W7" i="58" a="1"/>
  <c r="W7" i="58" s="1"/>
  <c r="AE5" i="58" a="1"/>
  <c r="AE5" i="58" s="1"/>
  <c r="V3" i="58" a="1"/>
  <c r="V3" i="58" s="1"/>
  <c r="G4" i="58" a="1"/>
  <c r="G4" i="58" s="1"/>
  <c r="V9" i="58" a="1"/>
  <c r="V9" i="58" s="1"/>
  <c r="U7" i="58" a="1"/>
  <c r="U7" i="58" s="1"/>
  <c r="AF5" i="58" a="1"/>
  <c r="AF5" i="58" s="1"/>
  <c r="I4" i="58" a="1"/>
  <c r="I4" i="58" s="1"/>
  <c r="AM9" i="58" a="1"/>
  <c r="AM9" i="58" s="1"/>
  <c r="AK7" i="58" a="1"/>
  <c r="AK7" i="58" s="1"/>
  <c r="N6" i="58" a="1"/>
  <c r="N6" i="58" s="1"/>
  <c r="N4" i="58" a="1"/>
  <c r="N4" i="58" s="1"/>
  <c r="AT9" i="58" a="1"/>
  <c r="AT9" i="58" s="1"/>
  <c r="D8" i="58" a="1"/>
  <c r="D8" i="58" s="1"/>
  <c r="Q6" i="58" a="1"/>
  <c r="Q6" i="58" s="1"/>
  <c r="K4" i="58" a="1"/>
  <c r="K4" i="58" s="1"/>
  <c r="C8" i="58" a="1"/>
  <c r="C8" i="58" s="1"/>
  <c r="V20" i="58" l="1"/>
  <c r="AB20" i="58"/>
  <c r="R20" i="58"/>
  <c r="O20" i="58"/>
  <c r="P20" i="58"/>
  <c r="Q20" i="58"/>
  <c r="X20" i="58"/>
  <c r="AY20" i="58"/>
  <c r="AQ20" i="58"/>
  <c r="G20" i="58"/>
  <c r="J20" i="58"/>
  <c r="Y20" i="58"/>
  <c r="AE20" i="58"/>
  <c r="AP20" i="58"/>
  <c r="BA20" i="58"/>
  <c r="AL20" i="58"/>
  <c r="AW20" i="58"/>
  <c r="AM20" i="58"/>
  <c r="AX20" i="58"/>
  <c r="AI20" i="58"/>
  <c r="AT20" i="58"/>
  <c r="K20" i="58"/>
  <c r="D20" i="58"/>
  <c r="H20" i="58"/>
  <c r="AC20" i="58"/>
  <c r="AZ20" i="58"/>
  <c r="W20" i="58"/>
  <c r="AR20" i="58"/>
  <c r="AD20" i="58"/>
  <c r="AS20" i="58"/>
  <c r="I20" i="58"/>
  <c r="AK20" i="58"/>
  <c r="U20" i="58"/>
  <c r="N20" i="58"/>
  <c r="C20" i="58"/>
  <c r="AJ20" i="58"/>
  <c r="AF20" i="58"/>
  <c r="BC22" i="58" l="1"/>
  <c r="Y22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汪洋</author>
  </authors>
  <commentList>
    <comment ref="W2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NDレビュー依頼後、以下状態を管理する
・空欄　NDS殿レビュー中
・済　NDS殿はレビュー済連絡
・対象外　NDS殿レビューしない連絡
・指摘　NDS殿指摘、KMD指摘対応中
・再レビュー　指摘対応NDS殿再レビュー中
</t>
        </r>
      </text>
    </comment>
    <comment ref="X2" authorId="0" shapeId="0" xr:uid="{00000000-0006-0000-0000-000002000000}">
      <text>
        <r>
          <rPr>
            <b/>
            <sz val="9"/>
            <color indexed="81"/>
            <rFont val="MS P ゴシック"/>
            <family val="3"/>
            <charset val="128"/>
          </rPr>
          <t>タスク調整の可能性があり、チケットは頻繁に修正させないため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野茂 浩人</author>
    <author>薄井 章弘</author>
    <author>ryoko.takahashi</author>
  </authors>
  <commentList>
    <comment ref="U1" authorId="0" shapeId="0" xr:uid="{00000000-0006-0000-0600-000001000000}">
      <text>
        <r>
          <rPr>
            <b/>
            <strike/>
            <sz val="9"/>
            <color indexed="81"/>
            <rFont val="MS P ゴシック"/>
            <family val="3"/>
            <charset val="128"/>
          </rPr>
          <t xml:space="preserve">202404バージョン：4
202406バージョン：6
</t>
        </r>
        <r>
          <rPr>
            <b/>
            <sz val="9"/>
            <color indexed="81"/>
            <rFont val="MS P ゴシック"/>
            <family val="3"/>
            <charset val="128"/>
          </rPr>
          <t>202504バージョン：4</t>
        </r>
      </text>
    </comment>
    <comment ref="O2" authorId="0" shapeId="0" xr:uid="{00000000-0006-0000-0600-000002000000}">
      <text>
        <r>
          <rPr>
            <b/>
            <sz val="8"/>
            <color indexed="81"/>
            <rFont val="MS P ゴシック"/>
            <family val="3"/>
            <charset val="128"/>
          </rPr>
          <t>・「対象成果物」名をいれる　→全体の指摘対応（全体整理の工数を使用する）
・工数の色分け　→①の指摘対応（①の指摘対応工数を使用する）
・一部番号がおかしい　→全体の指摘対応（全体整理の工数を使用する）</t>
        </r>
      </text>
    </comment>
    <comment ref="DC2" authorId="1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サービス種類毎にならない場合にここを選択
</t>
        </r>
      </text>
    </comment>
    <comment ref="ER2" authorId="2" shapeId="0" xr:uid="{00000000-0006-0000-0600-000004000000}">
      <text>
        <r>
          <rPr>
            <b/>
            <sz val="9"/>
            <color indexed="81"/>
            <rFont val="MS P ゴシック"/>
            <family val="3"/>
            <charset val="128"/>
          </rPr>
          <t>BP</t>
        </r>
      </text>
    </comment>
    <comment ref="EJ11" authorId="2" shapeId="0" xr:uid="{00000000-0006-0000-0600-000005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12" authorId="2" shapeId="0" xr:uid="{00000000-0006-0000-0600-000006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13" authorId="2" shapeId="0" xr:uid="{00000000-0006-0000-0600-000007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14" authorId="2" shapeId="0" xr:uid="{00000000-0006-0000-0600-000008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15" authorId="2" shapeId="0" xr:uid="{00000000-0006-0000-0600-000009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16" authorId="2" shapeId="0" xr:uid="{00000000-0006-0000-0600-00000A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17" authorId="2" shapeId="0" xr:uid="{00000000-0006-0000-0600-00000B000000}">
      <text>
        <r>
          <rPr>
            <b/>
            <sz val="9"/>
            <color indexed="81"/>
            <rFont val="MS P ゴシック"/>
            <family val="3"/>
            <charset val="128"/>
          </rPr>
          <t>005→052へ変更</t>
        </r>
      </text>
    </comment>
    <comment ref="EJ21" authorId="2" shapeId="0" xr:uid="{00000000-0006-0000-0600-00000C000000}">
      <text>
        <r>
          <rPr>
            <b/>
            <sz val="9"/>
            <color indexed="81"/>
            <rFont val="MS P ゴシック"/>
            <family val="3"/>
            <charset val="128"/>
          </rPr>
          <t>R6/6のため開発以降工程のタスク化が未設定</t>
        </r>
      </text>
    </comment>
    <comment ref="EJ22" authorId="2" shapeId="0" xr:uid="{00000000-0006-0000-0600-00000D000000}">
      <text>
        <r>
          <rPr>
            <b/>
            <sz val="9"/>
            <color indexed="81"/>
            <rFont val="MS P ゴシック"/>
            <family val="3"/>
            <charset val="128"/>
          </rPr>
          <t>R6/6のため開発以降工程のタスク化が未設定</t>
        </r>
      </text>
    </comment>
    <comment ref="EJ23" authorId="2" shapeId="0" xr:uid="{00000000-0006-0000-0600-00000E000000}">
      <text>
        <r>
          <rPr>
            <b/>
            <sz val="9"/>
            <color indexed="81"/>
            <rFont val="MS P ゴシック"/>
            <family val="3"/>
            <charset val="128"/>
          </rPr>
          <t>R6/6のため開発以降工程のタスク化が未設定</t>
        </r>
      </text>
    </comment>
    <comment ref="EJ24" authorId="2" shapeId="0" xr:uid="{00000000-0006-0000-0600-00000F000000}">
      <text>
        <r>
          <rPr>
            <b/>
            <sz val="9"/>
            <color indexed="81"/>
            <rFont val="MS P ゴシック"/>
            <family val="3"/>
            <charset val="128"/>
          </rPr>
          <t>R6/6のため開発以降工程のタスク化が未設定</t>
        </r>
      </text>
    </comment>
    <comment ref="EJ25" authorId="2" shapeId="0" xr:uid="{00000000-0006-0000-0600-000010000000}">
      <text>
        <r>
          <rPr>
            <b/>
            <sz val="9"/>
            <color indexed="81"/>
            <rFont val="MS P ゴシック"/>
            <family val="3"/>
            <charset val="128"/>
          </rPr>
          <t>R6/6のため開発以降工程のタスク化が未設定</t>
        </r>
      </text>
    </comment>
  </commentList>
</comments>
</file>

<file path=xl/sharedStrings.xml><?xml version="1.0" encoding="utf-8"?>
<sst xmlns="http://schemas.openxmlformats.org/spreadsheetml/2006/main" count="5456" uniqueCount="424">
  <si>
    <t>No</t>
    <phoneticPr fontId="4"/>
  </si>
  <si>
    <t>工数単位：人日</t>
    <phoneticPr fontId="2"/>
  </si>
  <si>
    <t>-</t>
    <phoneticPr fontId="2"/>
  </si>
  <si>
    <t>汪 洋</t>
    <phoneticPr fontId="2"/>
  </si>
  <si>
    <t>李 博</t>
    <phoneticPr fontId="2"/>
  </si>
  <si>
    <t>王 正</t>
    <phoneticPr fontId="2"/>
  </si>
  <si>
    <t>李 春梅</t>
    <phoneticPr fontId="2"/>
  </si>
  <si>
    <t>孫 洪雯</t>
    <phoneticPr fontId="2"/>
  </si>
  <si>
    <t>K02.算定機能</t>
    <phoneticPr fontId="13"/>
  </si>
  <si>
    <t>K01.検索機能</t>
    <phoneticPr fontId="13"/>
  </si>
  <si>
    <t/>
  </si>
  <si>
    <t>-</t>
  </si>
  <si>
    <t>管理No.</t>
    <rPh sb="0" eb="2">
      <t>カンリ</t>
    </rPh>
    <phoneticPr fontId="2"/>
  </si>
  <si>
    <t>管理NO</t>
    <rPh sb="0" eb="2">
      <t>カンリ</t>
    </rPh>
    <phoneticPr fontId="2"/>
  </si>
  <si>
    <t>調査</t>
    <rPh sb="0" eb="2">
      <t>チョウサ</t>
    </rPh>
    <phoneticPr fontId="12"/>
  </si>
  <si>
    <t>FD</t>
  </si>
  <si>
    <t>CD</t>
  </si>
  <si>
    <t>FT</t>
  </si>
  <si>
    <t>回帰</t>
    <rPh sb="0" eb="2">
      <t>カイキ</t>
    </rPh>
    <phoneticPr fontId="12"/>
  </si>
  <si>
    <t>テストケース
※FTから分割</t>
  </si>
  <si>
    <t>テスト実施
※FTから分割</t>
    <rPh sb="3" eb="5">
      <t>ジッシ</t>
    </rPh>
    <rPh sb="11" eb="13">
      <t>ブンカツ</t>
    </rPh>
    <phoneticPr fontId="12"/>
  </si>
  <si>
    <t>計</t>
    <rPh sb="0" eb="1">
      <t>ケイ</t>
    </rPh>
    <phoneticPr fontId="12"/>
  </si>
  <si>
    <t>状況</t>
    <rPh sb="0" eb="2">
      <t>ジョウキョウ</t>
    </rPh>
    <phoneticPr fontId="12"/>
  </si>
  <si>
    <t>設計</t>
    <rPh sb="0" eb="2">
      <t>セッケイ</t>
    </rPh>
    <phoneticPr fontId="12"/>
  </si>
  <si>
    <t>製造</t>
    <rPh sb="0" eb="2">
      <t>セイゾウ</t>
    </rPh>
    <phoneticPr fontId="12"/>
  </si>
  <si>
    <t>テスト
ケース</t>
  </si>
  <si>
    <t>開発No</t>
    <rPh sb="0" eb="2">
      <t>カイハツ</t>
    </rPh>
    <phoneticPr fontId="12"/>
  </si>
  <si>
    <t>4月●
6月○
両方◎</t>
    <rPh sb="1" eb="2">
      <t>ガツ</t>
    </rPh>
    <rPh sb="5" eb="6">
      <t>ガツ</t>
    </rPh>
    <rPh sb="8" eb="10">
      <t>リョウホウ</t>
    </rPh>
    <phoneticPr fontId="12"/>
  </si>
  <si>
    <t>ケース</t>
  </si>
  <si>
    <t>実施</t>
    <rPh sb="0" eb="2">
      <t>ジッシ</t>
    </rPh>
    <phoneticPr fontId="12"/>
  </si>
  <si>
    <t>◎</t>
  </si>
  <si>
    <t>済</t>
    <rPh sb="0" eb="1">
      <t>ズ</t>
    </rPh>
    <phoneticPr fontId="12"/>
  </si>
  <si>
    <t>対応済</t>
    <rPh sb="0" eb="2">
      <t>タイオウ</t>
    </rPh>
    <rPh sb="2" eb="3">
      <t>ズ</t>
    </rPh>
    <phoneticPr fontId="12"/>
  </si>
  <si>
    <t>NDﾚﾋﾞｭ残</t>
    <rPh sb="6" eb="7">
      <t>ザン</t>
    </rPh>
    <phoneticPr fontId="12"/>
  </si>
  <si>
    <t>未設定</t>
    <rPh sb="0" eb="3">
      <t>ミセッテイ</t>
    </rPh>
    <phoneticPr fontId="12"/>
  </si>
  <si>
    <t>●</t>
  </si>
  <si>
    <t>対応不要</t>
    <rPh sb="0" eb="2">
      <t>タイオウ</t>
    </rPh>
    <rPh sb="2" eb="4">
      <t>フヨウ</t>
    </rPh>
    <phoneticPr fontId="12"/>
  </si>
  <si>
    <t>未着</t>
    <rPh sb="0" eb="2">
      <t>ミチャク</t>
    </rPh>
    <phoneticPr fontId="12"/>
  </si>
  <si>
    <t>○</t>
  </si>
  <si>
    <t>済</t>
    <rPh sb="0" eb="1">
      <t>スミ</t>
    </rPh>
    <phoneticPr fontId="12"/>
  </si>
  <si>
    <t>対応不要</t>
    <rPh sb="0" eb="4">
      <t>タイオウフヨウ</t>
    </rPh>
    <phoneticPr fontId="12"/>
  </si>
  <si>
    <t>対応済</t>
    <rPh sb="0" eb="2">
      <t>タイオウ</t>
    </rPh>
    <rPh sb="2" eb="3">
      <t>スミ</t>
    </rPh>
    <phoneticPr fontId="12"/>
  </si>
  <si>
    <t>NDﾚﾋﾞｭ残</t>
  </si>
  <si>
    <t>未着</t>
  </si>
  <si>
    <t>要確認</t>
    <rPh sb="0" eb="3">
      <t>ヨウカクニン</t>
    </rPh>
    <phoneticPr fontId="12"/>
  </si>
  <si>
    <t>対応済</t>
    <rPh sb="0" eb="2">
      <t>タイオウ</t>
    </rPh>
    <rPh sb="2" eb="3">
      <t>ズミ</t>
    </rPh>
    <phoneticPr fontId="12"/>
  </si>
  <si>
    <t>×</t>
  </si>
  <si>
    <t>設計NDﾚﾋﾞｭ</t>
    <rPh sb="0" eb="2">
      <t>セッケイ</t>
    </rPh>
    <phoneticPr fontId="12"/>
  </si>
  <si>
    <t>テスト
ケースレビュ</t>
  </si>
  <si>
    <t>テスト</t>
  </si>
  <si>
    <t>残工数（R6/4）単位：人日</t>
  </si>
  <si>
    <t>残工数（R6/6）単位：人日</t>
  </si>
  <si>
    <t>ID</t>
    <phoneticPr fontId="2"/>
  </si>
  <si>
    <t>COL_NO</t>
    <phoneticPr fontId="2"/>
  </si>
  <si>
    <t>基本設計</t>
    <rPh sb="0" eb="2">
      <t>キホン</t>
    </rPh>
    <rPh sb="2" eb="4">
      <t>セッケイ</t>
    </rPh>
    <phoneticPr fontId="2"/>
  </si>
  <si>
    <t>製造</t>
    <rPh sb="0" eb="2">
      <t>セイゾウ</t>
    </rPh>
    <phoneticPr fontId="2"/>
  </si>
  <si>
    <t>基本設計残</t>
    <rPh sb="0" eb="2">
      <t>キホン</t>
    </rPh>
    <rPh sb="2" eb="4">
      <t>セッケイ</t>
    </rPh>
    <rPh sb="4" eb="5">
      <t>ザン</t>
    </rPh>
    <phoneticPr fontId="2"/>
  </si>
  <si>
    <t>製造残</t>
    <rPh sb="0" eb="2">
      <t>セイゾウ</t>
    </rPh>
    <rPh sb="2" eb="3">
      <t>ザン</t>
    </rPh>
    <phoneticPr fontId="2"/>
  </si>
  <si>
    <t>基本設計</t>
    <rPh sb="0" eb="2">
      <t>キホン</t>
    </rPh>
    <rPh sb="2" eb="4">
      <t>セッケイ</t>
    </rPh>
    <phoneticPr fontId="2"/>
  </si>
  <si>
    <t>基本設計残</t>
    <rPh sb="0" eb="2">
      <t>キホン</t>
    </rPh>
    <rPh sb="2" eb="4">
      <t>セッケイ</t>
    </rPh>
    <rPh sb="4" eb="5">
      <t>ザン</t>
    </rPh>
    <phoneticPr fontId="2"/>
  </si>
  <si>
    <t>製造</t>
    <rPh sb="0" eb="2">
      <t>セイゾウ</t>
    </rPh>
    <phoneticPr fontId="2"/>
  </si>
  <si>
    <t>製造残</t>
    <rPh sb="0" eb="2">
      <t>セイゾウ</t>
    </rPh>
    <rPh sb="2" eb="3">
      <t>ザン</t>
    </rPh>
    <phoneticPr fontId="2"/>
  </si>
  <si>
    <t>製造(KMD)</t>
    <rPh sb="0" eb="2">
      <t>セイゾウ</t>
    </rPh>
    <phoneticPr fontId="2"/>
  </si>
  <si>
    <t>詳細設計(KMD)</t>
    <rPh sb="0" eb="2">
      <t>ショウサイ</t>
    </rPh>
    <rPh sb="2" eb="4">
      <t>セッケイ</t>
    </rPh>
    <phoneticPr fontId="2"/>
  </si>
  <si>
    <t>詳細設計作成</t>
    <rPh sb="0" eb="2">
      <t>ショウサイ</t>
    </rPh>
    <rPh sb="2" eb="4">
      <t>セッケイ</t>
    </rPh>
    <rPh sb="4" eb="6">
      <t>サクセイ</t>
    </rPh>
    <phoneticPr fontId="2"/>
  </si>
  <si>
    <t>詳細設計レビュー</t>
    <rPh sb="0" eb="2">
      <t>ショウサイ</t>
    </rPh>
    <rPh sb="2" eb="4">
      <t>セッケイ</t>
    </rPh>
    <phoneticPr fontId="2"/>
  </si>
  <si>
    <t>製造作成</t>
    <rPh sb="0" eb="2">
      <t>セイゾウ</t>
    </rPh>
    <rPh sb="2" eb="4">
      <t>サクセイ</t>
    </rPh>
    <phoneticPr fontId="2"/>
  </si>
  <si>
    <t>製造レビュー</t>
    <rPh sb="0" eb="2">
      <t>セイゾウ</t>
    </rPh>
    <phoneticPr fontId="2"/>
  </si>
  <si>
    <t>テスト</t>
    <phoneticPr fontId="2"/>
  </si>
  <si>
    <t>元</t>
    <rPh sb="0" eb="1">
      <t>モト</t>
    </rPh>
    <phoneticPr fontId="2"/>
  </si>
  <si>
    <t>テスト仕様書作成</t>
    <rPh sb="3" eb="6">
      <t>シヨウショ</t>
    </rPh>
    <rPh sb="6" eb="8">
      <t>サクセイ</t>
    </rPh>
    <phoneticPr fontId="2"/>
  </si>
  <si>
    <t>テスト仕様書レビュー</t>
    <rPh sb="3" eb="6">
      <t>シヨウショ</t>
    </rPh>
    <phoneticPr fontId="2"/>
  </si>
  <si>
    <t>テスト実施</t>
    <rPh sb="3" eb="5">
      <t>ジッシ</t>
    </rPh>
    <phoneticPr fontId="2"/>
  </si>
  <si>
    <t>テスト結果レビュー</t>
    <rPh sb="3" eb="5">
      <t>ケッカ</t>
    </rPh>
    <phoneticPr fontId="2"/>
  </si>
  <si>
    <t>テスト残</t>
    <rPh sb="3" eb="4">
      <t>ザン</t>
    </rPh>
    <phoneticPr fontId="2"/>
  </si>
  <si>
    <t>テスト(KMD)</t>
    <phoneticPr fontId="2"/>
  </si>
  <si>
    <t>DBマスタ作成</t>
    <phoneticPr fontId="2"/>
  </si>
  <si>
    <t>バージョン展開</t>
    <phoneticPr fontId="13"/>
  </si>
  <si>
    <t>盧 青陽</t>
  </si>
  <si>
    <t>程 龍延</t>
    <rPh sb="0" eb="1">
      <t>テイ</t>
    </rPh>
    <rPh sb="2" eb="3">
      <t>リュウ</t>
    </rPh>
    <rPh sb="3" eb="4">
      <t>エン</t>
    </rPh>
    <phoneticPr fontId="2"/>
  </si>
  <si>
    <t>高 金康</t>
    <rPh sb="0" eb="1">
      <t>コウ</t>
    </rPh>
    <rPh sb="2" eb="3">
      <t>キン</t>
    </rPh>
    <rPh sb="3" eb="4">
      <t>ヤスシ</t>
    </rPh>
    <phoneticPr fontId="2"/>
  </si>
  <si>
    <t>K03</t>
    <phoneticPr fontId="2"/>
  </si>
  <si>
    <t>羅 婕</t>
    <rPh sb="0" eb="1">
      <t>ラ</t>
    </rPh>
    <rPh sb="2" eb="3">
      <t>ショウ</t>
    </rPh>
    <phoneticPr fontId="2"/>
  </si>
  <si>
    <t>焦 静</t>
  </si>
  <si>
    <t>K10</t>
    <phoneticPr fontId="2"/>
  </si>
  <si>
    <t>K08</t>
    <phoneticPr fontId="2"/>
  </si>
  <si>
    <t>管理番号
および枝番</t>
    <rPh sb="0" eb="2">
      <t>カンリ</t>
    </rPh>
    <rPh sb="2" eb="4">
      <t>バンゴウ</t>
    </rPh>
    <rPh sb="8" eb="10">
      <t>エダバン</t>
    </rPh>
    <phoneticPr fontId="13"/>
  </si>
  <si>
    <t>対応内容</t>
    <rPh sb="0" eb="2">
      <t>タイオウ</t>
    </rPh>
    <rPh sb="2" eb="4">
      <t>ナイヨウ</t>
    </rPh>
    <phoneticPr fontId="13"/>
  </si>
  <si>
    <t>対応内容（詳細）</t>
    <rPh sb="0" eb="2">
      <t>タイオウ</t>
    </rPh>
    <rPh sb="2" eb="4">
      <t>ナイヨウ</t>
    </rPh>
    <rPh sb="5" eb="7">
      <t>ショウサイ</t>
    </rPh>
    <phoneticPr fontId="13"/>
  </si>
  <si>
    <t>対象成果物</t>
    <rPh sb="0" eb="2">
      <t>タイショウ</t>
    </rPh>
    <rPh sb="2" eb="5">
      <t>セイカブツ</t>
    </rPh>
    <phoneticPr fontId="13"/>
  </si>
  <si>
    <t>先行
タスク</t>
    <rPh sb="0" eb="2">
      <t>センコウ</t>
    </rPh>
    <phoneticPr fontId="13"/>
  </si>
  <si>
    <t>1タスクで一緒に対応する
管理番号を記入</t>
    <rPh sb="5" eb="7">
      <t>イッショ</t>
    </rPh>
    <rPh sb="8" eb="10">
      <t>タイオウ</t>
    </rPh>
    <rPh sb="13" eb="15">
      <t>カンリ</t>
    </rPh>
    <rPh sb="15" eb="17">
      <t>バンゴウ</t>
    </rPh>
    <rPh sb="18" eb="20">
      <t>キニュウ</t>
    </rPh>
    <phoneticPr fontId="13"/>
  </si>
  <si>
    <t>関連する
管理番号を記入</t>
    <rPh sb="0" eb="2">
      <t>カンレン</t>
    </rPh>
    <rPh sb="5" eb="7">
      <t>カンリ</t>
    </rPh>
    <rPh sb="7" eb="9">
      <t>バンゴウ</t>
    </rPh>
    <rPh sb="10" eb="12">
      <t>キニュウ</t>
    </rPh>
    <phoneticPr fontId="13"/>
  </si>
  <si>
    <t>説明</t>
    <rPh sb="0" eb="2">
      <t>セツメイ</t>
    </rPh>
    <phoneticPr fontId="13"/>
  </si>
  <si>
    <t>13</t>
    <phoneticPr fontId="13"/>
  </si>
  <si>
    <t>78</t>
    <phoneticPr fontId="13"/>
  </si>
  <si>
    <t>16</t>
    <phoneticPr fontId="2"/>
  </si>
  <si>
    <t>66</t>
    <phoneticPr fontId="2"/>
  </si>
  <si>
    <t>66</t>
    <phoneticPr fontId="13"/>
  </si>
  <si>
    <t>17</t>
    <phoneticPr fontId="2"/>
  </si>
  <si>
    <t>67</t>
    <phoneticPr fontId="2"/>
  </si>
  <si>
    <t>31</t>
    <phoneticPr fontId="2"/>
  </si>
  <si>
    <t>34</t>
    <phoneticPr fontId="2"/>
  </si>
  <si>
    <t>43</t>
    <phoneticPr fontId="2"/>
  </si>
  <si>
    <t>46</t>
    <phoneticPr fontId="2"/>
  </si>
  <si>
    <t>33</t>
    <phoneticPr fontId="2"/>
  </si>
  <si>
    <t>33</t>
    <phoneticPr fontId="13"/>
  </si>
  <si>
    <t>(27)</t>
    <phoneticPr fontId="2"/>
  </si>
  <si>
    <t>35</t>
    <phoneticPr fontId="2"/>
  </si>
  <si>
    <t>35</t>
    <phoneticPr fontId="13"/>
  </si>
  <si>
    <t>36</t>
    <phoneticPr fontId="2"/>
  </si>
  <si>
    <t>(28)</t>
    <phoneticPr fontId="2"/>
  </si>
  <si>
    <t>32</t>
    <phoneticPr fontId="2"/>
  </si>
  <si>
    <t>(38)</t>
    <phoneticPr fontId="2"/>
  </si>
  <si>
    <t>37</t>
    <phoneticPr fontId="2"/>
  </si>
  <si>
    <t>(39)</t>
    <phoneticPr fontId="2"/>
  </si>
  <si>
    <t>76</t>
    <phoneticPr fontId="2"/>
  </si>
  <si>
    <t>76</t>
    <phoneticPr fontId="13"/>
  </si>
  <si>
    <t>71</t>
    <phoneticPr fontId="2"/>
  </si>
  <si>
    <t>71</t>
    <phoneticPr fontId="13"/>
  </si>
  <si>
    <t>72</t>
    <phoneticPr fontId="2"/>
  </si>
  <si>
    <t>74</t>
    <phoneticPr fontId="2"/>
  </si>
  <si>
    <t>73</t>
    <phoneticPr fontId="2"/>
  </si>
  <si>
    <t>73</t>
    <phoneticPr fontId="13"/>
  </si>
  <si>
    <t>(68)</t>
    <phoneticPr fontId="2"/>
  </si>
  <si>
    <t>75</t>
    <phoneticPr fontId="2"/>
  </si>
  <si>
    <t>75</t>
    <phoneticPr fontId="13"/>
  </si>
  <si>
    <t>(69)</t>
    <phoneticPr fontId="2"/>
  </si>
  <si>
    <t>77</t>
    <phoneticPr fontId="2"/>
  </si>
  <si>
    <t>77</t>
    <phoneticPr fontId="13"/>
  </si>
  <si>
    <t>(79)</t>
    <phoneticPr fontId="2"/>
  </si>
  <si>
    <t>21</t>
    <phoneticPr fontId="2"/>
  </si>
  <si>
    <t>24</t>
    <phoneticPr fontId="2"/>
  </si>
  <si>
    <t>22</t>
    <phoneticPr fontId="2"/>
  </si>
  <si>
    <t>25</t>
    <phoneticPr fontId="2"/>
  </si>
  <si>
    <t>23a</t>
    <phoneticPr fontId="2"/>
  </si>
  <si>
    <t>23b</t>
    <phoneticPr fontId="2"/>
  </si>
  <si>
    <t>23c</t>
    <phoneticPr fontId="2"/>
  </si>
  <si>
    <t>26a</t>
    <phoneticPr fontId="2"/>
  </si>
  <si>
    <t>26b</t>
    <phoneticPr fontId="2"/>
  </si>
  <si>
    <t>26c</t>
    <phoneticPr fontId="2"/>
  </si>
  <si>
    <t>2A</t>
    <phoneticPr fontId="2"/>
  </si>
  <si>
    <t>2B</t>
    <phoneticPr fontId="2"/>
  </si>
  <si>
    <t>51</t>
    <phoneticPr fontId="2"/>
  </si>
  <si>
    <t>54</t>
    <phoneticPr fontId="2"/>
  </si>
  <si>
    <t>52</t>
    <phoneticPr fontId="2"/>
  </si>
  <si>
    <t>53a</t>
    <phoneticPr fontId="2"/>
  </si>
  <si>
    <t>53b</t>
    <phoneticPr fontId="2"/>
  </si>
  <si>
    <t>53c</t>
    <phoneticPr fontId="2"/>
  </si>
  <si>
    <t>55</t>
    <phoneticPr fontId="2"/>
  </si>
  <si>
    <t>A2</t>
    <phoneticPr fontId="2"/>
  </si>
  <si>
    <t>A2</t>
    <phoneticPr fontId="13"/>
  </si>
  <si>
    <t>A3</t>
    <phoneticPr fontId="13"/>
  </si>
  <si>
    <t>A4</t>
    <phoneticPr fontId="13"/>
  </si>
  <si>
    <t>A6</t>
    <phoneticPr fontId="2"/>
  </si>
  <si>
    <t>A6</t>
    <phoneticPr fontId="13"/>
  </si>
  <si>
    <t>A7</t>
    <phoneticPr fontId="13"/>
  </si>
  <si>
    <t>A8</t>
    <phoneticPr fontId="13"/>
  </si>
  <si>
    <t>A9</t>
    <phoneticPr fontId="13"/>
  </si>
  <si>
    <t>AA</t>
    <phoneticPr fontId="13"/>
  </si>
  <si>
    <t>AB</t>
    <phoneticPr fontId="13"/>
  </si>
  <si>
    <t>AC</t>
    <phoneticPr fontId="13"/>
  </si>
  <si>
    <t>AD</t>
    <phoneticPr fontId="13"/>
  </si>
  <si>
    <t>AE</t>
    <phoneticPr fontId="13"/>
  </si>
  <si>
    <t>AF</t>
    <phoneticPr fontId="2"/>
  </si>
  <si>
    <t>59</t>
    <phoneticPr fontId="13"/>
  </si>
  <si>
    <t>共通</t>
    <rPh sb="0" eb="2">
      <t>キョウツウ</t>
    </rPh>
    <phoneticPr fontId="2"/>
  </si>
  <si>
    <t>種別</t>
    <rPh sb="0" eb="2">
      <t>シュベツ</t>
    </rPh>
    <phoneticPr fontId="13"/>
  </si>
  <si>
    <t>対象
サービス
種類・様式数</t>
    <rPh sb="0" eb="2">
      <t>タイショウ</t>
    </rPh>
    <rPh sb="8" eb="10">
      <t>シュルイ</t>
    </rPh>
    <rPh sb="11" eb="13">
      <t>ヨウシキ</t>
    </rPh>
    <rPh sb="13" eb="14">
      <t>スウ</t>
    </rPh>
    <phoneticPr fontId="13"/>
  </si>
  <si>
    <t>規模
（L）</t>
    <rPh sb="0" eb="2">
      <t>キボ</t>
    </rPh>
    <phoneticPr fontId="13"/>
  </si>
  <si>
    <t>流用
のみ</t>
    <rPh sb="0" eb="2">
      <t>リュウヨウ</t>
    </rPh>
    <phoneticPr fontId="13"/>
  </si>
  <si>
    <t>別バージョンへ流用</t>
    <rPh sb="0" eb="1">
      <t>ベツ</t>
    </rPh>
    <rPh sb="7" eb="9">
      <t>リュウヨウ</t>
    </rPh>
    <phoneticPr fontId="13"/>
  </si>
  <si>
    <t>追加</t>
    <rPh sb="0" eb="2">
      <t>ツイカ</t>
    </rPh>
    <phoneticPr fontId="13"/>
  </si>
  <si>
    <t>最新バージョン[20**年*月度]
（人日）</t>
    <rPh sb="0" eb="2">
      <t>サイシン</t>
    </rPh>
    <rPh sb="12" eb="13">
      <t>ネン</t>
    </rPh>
    <rPh sb="14" eb="15">
      <t>ガツ</t>
    </rPh>
    <rPh sb="15" eb="16">
      <t>ド</t>
    </rPh>
    <rPh sb="19" eb="21">
      <t>ニンニチ</t>
    </rPh>
    <phoneticPr fontId="13"/>
  </si>
  <si>
    <t>別バージョン
（人日）</t>
    <rPh sb="0" eb="1">
      <t>ベツ</t>
    </rPh>
    <phoneticPr fontId="13"/>
  </si>
  <si>
    <t>合計</t>
    <rPh sb="0" eb="2">
      <t>ゴウケイ</t>
    </rPh>
    <phoneticPr fontId="13"/>
  </si>
  <si>
    <t>特記事項</t>
    <rPh sb="0" eb="4">
      <t>トッキジコウ</t>
    </rPh>
    <phoneticPr fontId="13"/>
  </si>
  <si>
    <t>work</t>
    <phoneticPr fontId="13"/>
  </si>
  <si>
    <t>残工数（R7/4）単位：人日</t>
    <rPh sb="0" eb="1">
      <t>ザン</t>
    </rPh>
    <rPh sb="1" eb="3">
      <t>コウスウ</t>
    </rPh>
    <phoneticPr fontId="13"/>
  </si>
  <si>
    <t>残工数（R6/6）単位：人日</t>
    <rPh sb="0" eb="1">
      <t>ザン</t>
    </rPh>
    <rPh sb="1" eb="3">
      <t>コウスウ</t>
    </rPh>
    <rPh sb="9" eb="11">
      <t>タンイ</t>
    </rPh>
    <rPh sb="12" eb="14">
      <t>ニンニチ</t>
    </rPh>
    <phoneticPr fontId="13"/>
  </si>
  <si>
    <t>対応順</t>
    <rPh sb="0" eb="3">
      <t>タイオウジュン</t>
    </rPh>
    <phoneticPr fontId="13"/>
  </si>
  <si>
    <t>4月件数</t>
    <rPh sb="1" eb="2">
      <t>ガツ</t>
    </rPh>
    <rPh sb="2" eb="4">
      <t>ケンスウ</t>
    </rPh>
    <phoneticPr fontId="13"/>
  </si>
  <si>
    <t>6月件数</t>
    <rPh sb="1" eb="2">
      <t>ガツ</t>
    </rPh>
    <rPh sb="2" eb="4">
      <t>ケンスウ</t>
    </rPh>
    <phoneticPr fontId="13"/>
  </si>
  <si>
    <t>4or6</t>
    <phoneticPr fontId="13"/>
  </si>
  <si>
    <t>要件定義後変更</t>
    <rPh sb="0" eb="4">
      <t>ヨウケンテイギ</t>
    </rPh>
    <rPh sb="4" eb="5">
      <t>ゴ</t>
    </rPh>
    <rPh sb="5" eb="7">
      <t>ヘンコウ</t>
    </rPh>
    <phoneticPr fontId="13"/>
  </si>
  <si>
    <t>日割</t>
    <rPh sb="0" eb="2">
      <t>ヒワリ</t>
    </rPh>
    <phoneticPr fontId="13"/>
  </si>
  <si>
    <t>療養
月額</t>
    <rPh sb="0" eb="2">
      <t>リョウヨウ</t>
    </rPh>
    <rPh sb="3" eb="4">
      <t>ツキ</t>
    </rPh>
    <rPh sb="4" eb="5">
      <t>ガク</t>
    </rPh>
    <phoneticPr fontId="13"/>
  </si>
  <si>
    <t>療養
日割</t>
    <rPh sb="0" eb="2">
      <t>リョウヨウ</t>
    </rPh>
    <rPh sb="3" eb="5">
      <t>ヒワリ</t>
    </rPh>
    <phoneticPr fontId="13"/>
  </si>
  <si>
    <t>療養
短期</t>
    <rPh sb="0" eb="2">
      <t>リョウヨウ</t>
    </rPh>
    <rPh sb="3" eb="5">
      <t>タンキ</t>
    </rPh>
    <phoneticPr fontId="13"/>
  </si>
  <si>
    <t>外部</t>
    <rPh sb="0" eb="2">
      <t>ガイブ</t>
    </rPh>
    <phoneticPr fontId="13"/>
  </si>
  <si>
    <t>2019年
4月度</t>
    <rPh sb="4" eb="5">
      <t>ネン</t>
    </rPh>
    <rPh sb="7" eb="8">
      <t>ガツ</t>
    </rPh>
    <rPh sb="8" eb="9">
      <t>ド</t>
    </rPh>
    <phoneticPr fontId="13"/>
  </si>
  <si>
    <t>2018年
10月度</t>
    <rPh sb="4" eb="5">
      <t>ネン</t>
    </rPh>
    <rPh sb="8" eb="9">
      <t>ガツ</t>
    </rPh>
    <rPh sb="9" eb="10">
      <t>ド</t>
    </rPh>
    <phoneticPr fontId="13"/>
  </si>
  <si>
    <t>2017年
4月度</t>
    <rPh sb="4" eb="5">
      <t>ネン</t>
    </rPh>
    <rPh sb="7" eb="8">
      <t>ガツ</t>
    </rPh>
    <rPh sb="8" eb="9">
      <t>ド</t>
    </rPh>
    <phoneticPr fontId="13"/>
  </si>
  <si>
    <t>2016年
4月度</t>
    <rPh sb="4" eb="5">
      <t>ネン</t>
    </rPh>
    <rPh sb="7" eb="8">
      <t>ガツ</t>
    </rPh>
    <rPh sb="8" eb="9">
      <t>ド</t>
    </rPh>
    <phoneticPr fontId="13"/>
  </si>
  <si>
    <t>RD</t>
    <phoneticPr fontId="13"/>
  </si>
  <si>
    <t>FD</t>
    <phoneticPr fontId="13"/>
  </si>
  <si>
    <t>CD</t>
    <phoneticPr fontId="13"/>
  </si>
  <si>
    <t>FT</t>
    <phoneticPr fontId="13"/>
  </si>
  <si>
    <t>回帰</t>
    <rPh sb="0" eb="2">
      <t>カイキ</t>
    </rPh>
    <phoneticPr fontId="13"/>
  </si>
  <si>
    <t>調査</t>
    <rPh sb="0" eb="2">
      <t>チョウサ</t>
    </rPh>
    <phoneticPr fontId="13"/>
  </si>
  <si>
    <t>テストケース
※FTから分割</t>
    <phoneticPr fontId="13"/>
  </si>
  <si>
    <t>テスト実施
※FTから分割</t>
    <rPh sb="3" eb="5">
      <t>ジッシ</t>
    </rPh>
    <rPh sb="11" eb="13">
      <t>ブンカツ</t>
    </rPh>
    <phoneticPr fontId="13"/>
  </si>
  <si>
    <t>計</t>
    <rPh sb="0" eb="1">
      <t>ケイ</t>
    </rPh>
    <phoneticPr fontId="13"/>
  </si>
  <si>
    <t>2018年
8月度</t>
    <rPh sb="4" eb="5">
      <t>ネン</t>
    </rPh>
    <rPh sb="7" eb="8">
      <t>ガツ</t>
    </rPh>
    <rPh sb="8" eb="9">
      <t>ド</t>
    </rPh>
    <phoneticPr fontId="13"/>
  </si>
  <si>
    <t>2019年
10月度</t>
    <rPh sb="4" eb="5">
      <t>ネン</t>
    </rPh>
    <rPh sb="8" eb="9">
      <t>ガツ</t>
    </rPh>
    <rPh sb="9" eb="10">
      <t>ド</t>
    </rPh>
    <phoneticPr fontId="13"/>
  </si>
  <si>
    <t>担当</t>
    <rPh sb="0" eb="2">
      <t>タントウ</t>
    </rPh>
    <phoneticPr fontId="13"/>
  </si>
  <si>
    <t>状況</t>
    <rPh sb="0" eb="2">
      <t>ジョウキョウ</t>
    </rPh>
    <phoneticPr fontId="13"/>
  </si>
  <si>
    <t>設計</t>
    <rPh sb="0" eb="2">
      <t>セッケイ</t>
    </rPh>
    <phoneticPr fontId="13"/>
  </si>
  <si>
    <t>製造</t>
    <rPh sb="0" eb="2">
      <t>セイゾウ</t>
    </rPh>
    <phoneticPr fontId="13"/>
  </si>
  <si>
    <t>テスト
ケース</t>
    <phoneticPr fontId="13"/>
  </si>
  <si>
    <t>開発No</t>
    <rPh sb="0" eb="2">
      <t>カイハツ</t>
    </rPh>
    <phoneticPr fontId="13"/>
  </si>
  <si>
    <t>4月●
6月○
両方◎</t>
    <rPh sb="1" eb="2">
      <t>ガツ</t>
    </rPh>
    <rPh sb="5" eb="6">
      <t>ガツ</t>
    </rPh>
    <rPh sb="8" eb="10">
      <t>リョウホウ</t>
    </rPh>
    <phoneticPr fontId="13"/>
  </si>
  <si>
    <t>ケース</t>
    <phoneticPr fontId="13"/>
  </si>
  <si>
    <t>実施</t>
    <rPh sb="0" eb="2">
      <t>ジッシ</t>
    </rPh>
    <phoneticPr fontId="13"/>
  </si>
  <si>
    <t>利用票別表関連かどうか</t>
    <rPh sb="0" eb="5">
      <t>リヨウヒョウベッピョウ</t>
    </rPh>
    <rPh sb="5" eb="7">
      <t>カンレン</t>
    </rPh>
    <phoneticPr fontId="13"/>
  </si>
  <si>
    <t>設計NDﾚﾋﾞｭ</t>
    <rPh sb="0" eb="2">
      <t>セッケイ</t>
    </rPh>
    <phoneticPr fontId="13"/>
  </si>
  <si>
    <t>テスト
ケースレビュ</t>
    <phoneticPr fontId="13"/>
  </si>
  <si>
    <t>テスト</t>
    <phoneticPr fontId="13"/>
  </si>
  <si>
    <t>ＤＢ作成（※マッピング仕様書の修正、ツールの修正・実行）</t>
    <phoneticPr fontId="13"/>
  </si>
  <si>
    <t>R7改正_要件001：ＤＢ作成.xlsx</t>
    <phoneticPr fontId="13"/>
  </si>
  <si>
    <t>涼子</t>
    <rPh sb="0" eb="2">
      <t>リョウコ</t>
    </rPh>
    <phoneticPr fontId="13"/>
  </si>
  <si>
    <t>-</t>
    <phoneticPr fontId="13"/>
  </si>
  <si>
    <t>◎</t>
    <phoneticPr fontId="13"/>
  </si>
  <si>
    <t>DBマスタ作成</t>
    <phoneticPr fontId="13"/>
  </si>
  <si>
    <t>202504バージョン</t>
    <phoneticPr fontId="13"/>
  </si>
  <si>
    <t>2-1</t>
    <phoneticPr fontId="13"/>
  </si>
  <si>
    <t>バージョン展開決定後の作成となるため</t>
    <rPh sb="5" eb="7">
      <t>テンカイ</t>
    </rPh>
    <rPh sb="7" eb="10">
      <t>ケッテイゴ</t>
    </rPh>
    <rPh sb="11" eb="13">
      <t>サクセイ</t>
    </rPh>
    <phoneticPr fontId="13"/>
  </si>
  <si>
    <t>－</t>
  </si>
  <si>
    <t>－</t>
    <phoneticPr fontId="13"/>
  </si>
  <si>
    <t>4</t>
    <phoneticPr fontId="13"/>
  </si>
  <si>
    <t>DBマスタ作成</t>
    <rPh sb="5" eb="7">
      <t>サクセイ</t>
    </rPh>
    <phoneticPr fontId="13"/>
  </si>
  <si>
    <r>
      <rPr>
        <strike/>
        <sz val="10"/>
        <color rgb="FFFF0000"/>
        <rFont val="游ゴシック"/>
        <family val="3"/>
        <charset val="128"/>
        <scheme val="minor"/>
      </rPr>
      <t>R6の工数と同等の工数（R6と同等ではないと思うが、算出基準が分からないため多めに見積もり）</t>
    </r>
    <r>
      <rPr>
        <sz val="10"/>
        <color rgb="FFFF0000"/>
        <rFont val="游ゴシック"/>
        <family val="3"/>
        <charset val="128"/>
        <scheme val="minor"/>
      </rPr>
      <t xml:space="preserve">
見積参考：【R6】1-2 　⇒R6の202406と同じ規模で設定</t>
    </r>
    <rPh sb="3" eb="5">
      <t>コウスウ</t>
    </rPh>
    <rPh sb="6" eb="8">
      <t>ドウトウ</t>
    </rPh>
    <rPh sb="9" eb="11">
      <t>コウスウ</t>
    </rPh>
    <rPh sb="15" eb="17">
      <t>ドウトウ</t>
    </rPh>
    <rPh sb="22" eb="23">
      <t>オモ</t>
    </rPh>
    <rPh sb="26" eb="28">
      <t>サンシュツ</t>
    </rPh>
    <rPh sb="28" eb="30">
      <t>キジュン</t>
    </rPh>
    <rPh sb="31" eb="32">
      <t>ワ</t>
    </rPh>
    <rPh sb="38" eb="39">
      <t>オオ</t>
    </rPh>
    <rPh sb="41" eb="43">
      <t>ミツ</t>
    </rPh>
    <phoneticPr fontId="13"/>
  </si>
  <si>
    <t>済</t>
    <rPh sb="0" eb="1">
      <t>ズ</t>
    </rPh>
    <phoneticPr fontId="13"/>
  </si>
  <si>
    <t>NDﾚﾋﾞｭ残</t>
    <rPh sb="6" eb="7">
      <t>ザン</t>
    </rPh>
    <phoneticPr fontId="13"/>
  </si>
  <si>
    <t>CM</t>
    <phoneticPr fontId="13"/>
  </si>
  <si>
    <t>R7改正_要件002：バージョン展開.xlsx</t>
    <phoneticPr fontId="13"/>
  </si>
  <si>
    <t>バージョン展開</t>
    <rPh sb="5" eb="7">
      <t>テンカイ</t>
    </rPh>
    <phoneticPr fontId="13"/>
  </si>
  <si>
    <t>R6と同等工数</t>
    <phoneticPr fontId="13"/>
  </si>
  <si>
    <t>対応済</t>
    <rPh sb="0" eb="2">
      <t>タイオウ</t>
    </rPh>
    <rPh sb="2" eb="3">
      <t>ズ</t>
    </rPh>
    <phoneticPr fontId="13"/>
  </si>
  <si>
    <t>サービス利用票の様式改定（福祉用具貸与用具情報追加）</t>
    <phoneticPr fontId="13"/>
  </si>
  <si>
    <t>R7改正_要件003：サービス利用票の様式改定（福祉用具貸与用具情報追加）.xlsx</t>
    <phoneticPr fontId="13"/>
  </si>
  <si>
    <t>●</t>
    <phoneticPr fontId="13"/>
  </si>
  <si>
    <t>K08.利用票別表作成機能</t>
    <rPh sb="4" eb="7">
      <t>リヨウヒョウ</t>
    </rPh>
    <rPh sb="7" eb="9">
      <t>ベッピョウ</t>
    </rPh>
    <rPh sb="9" eb="11">
      <t>サクセイ</t>
    </rPh>
    <rPh sb="11" eb="13">
      <t>キノウ</t>
    </rPh>
    <phoneticPr fontId="13"/>
  </si>
  <si>
    <t>6表、7表に福祉用具貸与の用具情報を記載する欄が追加</t>
    <rPh sb="1" eb="2">
      <t>ヒョウ</t>
    </rPh>
    <rPh sb="4" eb="5">
      <t>ヒョウ</t>
    </rPh>
    <phoneticPr fontId="13"/>
  </si>
  <si>
    <t>出力条件変更</t>
    <rPh sb="0" eb="2">
      <t>シュツリョク</t>
    </rPh>
    <rPh sb="2" eb="4">
      <t>ジョウケン</t>
    </rPh>
    <rPh sb="4" eb="6">
      <t>ヘンコウ</t>
    </rPh>
    <phoneticPr fontId="13"/>
  </si>
  <si>
    <t>参考なし</t>
    <rPh sb="0" eb="2">
      <t>サンコウ</t>
    </rPh>
    <phoneticPr fontId="13"/>
  </si>
  <si>
    <t>対応不要</t>
    <rPh sb="0" eb="2">
      <t>タイオウ</t>
    </rPh>
    <rPh sb="2" eb="4">
      <t>フヨウ</t>
    </rPh>
    <phoneticPr fontId="13"/>
  </si>
  <si>
    <t>業務継続計画未策定減算の追加（R7経過措置：訪問系、福祉用具貸与、居宅介護支援）</t>
    <phoneticPr fontId="13"/>
  </si>
  <si>
    <t>R7改正_要件004：業務継続計画未策定減算の追加（R7経過措置：訪問系、福祉用具貸与、居宅介護支援）.xlsx</t>
    <phoneticPr fontId="13"/>
  </si>
  <si>
    <t>BCP減算の体制を判断する入力項目を追加、検索処理を変更</t>
    <phoneticPr fontId="13"/>
  </si>
  <si>
    <t>4,18</t>
    <phoneticPr fontId="13"/>
  </si>
  <si>
    <t>13：定期巡回訪看は独立加減算のため13日割は対象外
見積参考：【R6】17-1　(規模：標準40→80へ変更している)　R7は40と80の間をとって60</t>
    <rPh sb="3" eb="7">
      <t>テイキジュンカイ</t>
    </rPh>
    <rPh sb="7" eb="9">
      <t>ホウカン</t>
    </rPh>
    <rPh sb="10" eb="15">
      <t>ドクリツ</t>
    </rPh>
    <rPh sb="20" eb="22">
      <t>ヒワリ</t>
    </rPh>
    <rPh sb="23" eb="26">
      <t>タイショウガイ</t>
    </rPh>
    <rPh sb="45" eb="47">
      <t>ヒョウジュン</t>
    </rPh>
    <rPh sb="53" eb="55">
      <t>ヘンコウ</t>
    </rPh>
    <rPh sb="70" eb="71">
      <t>アイダ</t>
    </rPh>
    <phoneticPr fontId="13"/>
  </si>
  <si>
    <t>未着</t>
    <rPh sb="0" eb="2">
      <t>ミチャク</t>
    </rPh>
    <phoneticPr fontId="13"/>
  </si>
  <si>
    <t>他</t>
    <rPh sb="0" eb="1">
      <t>ホカ</t>
    </rPh>
    <phoneticPr fontId="13"/>
  </si>
  <si>
    <t>訪問介護（身体９系）のきざみ計算</t>
    <rPh sb="0" eb="4">
      <t>ホウモンカイゴ</t>
    </rPh>
    <rPh sb="5" eb="7">
      <t>シンタイ</t>
    </rPh>
    <rPh sb="8" eb="9">
      <t>ケイ</t>
    </rPh>
    <rPh sb="14" eb="16">
      <t>ケイサン</t>
    </rPh>
    <phoneticPr fontId="13"/>
  </si>
  <si>
    <t>見積参考：【R6】112-1-2(規模160)　仕組みはできたので160の半分で80</t>
    <rPh sb="0" eb="4">
      <t>ミツモリサンコウ</t>
    </rPh>
    <rPh sb="17" eb="19">
      <t>キボ</t>
    </rPh>
    <rPh sb="24" eb="26">
      <t>シク</t>
    </rPh>
    <rPh sb="37" eb="39">
      <t>ハンブン</t>
    </rPh>
    <phoneticPr fontId="13"/>
  </si>
  <si>
    <t>BCP減算の算定処理を追加</t>
    <rPh sb="3" eb="5">
      <t>ゲンサン</t>
    </rPh>
    <rPh sb="6" eb="8">
      <t>サンテイ</t>
    </rPh>
    <rPh sb="8" eb="10">
      <t>ショリ</t>
    </rPh>
    <rPh sb="11" eb="13">
      <t>ツイカ</t>
    </rPh>
    <phoneticPr fontId="13"/>
  </si>
  <si>
    <t>4</t>
  </si>
  <si>
    <t>サービス追加</t>
    <phoneticPr fontId="13"/>
  </si>
  <si>
    <r>
      <t>AFは市町村が規定するため請求エンジンの対象外。</t>
    </r>
    <r>
      <rPr>
        <strike/>
        <sz val="10"/>
        <rFont val="游ゴシック"/>
        <family val="3"/>
        <charset val="128"/>
        <scheme val="minor"/>
      </rPr>
      <t>※見積もりはR6対応済のものも含まれている状態。</t>
    </r>
    <r>
      <rPr>
        <sz val="10"/>
        <rFont val="游ゴシック"/>
        <family val="3"/>
        <charset val="128"/>
        <scheme val="minor"/>
      </rPr>
      <t xml:space="preserve">
</t>
    </r>
    <r>
      <rPr>
        <sz val="10"/>
        <color rgb="FFFF0000"/>
        <rFont val="游ゴシック"/>
        <family val="3"/>
        <charset val="128"/>
        <scheme val="minor"/>
      </rPr>
      <t>見積参考：【R6】117-2-1</t>
    </r>
    <r>
      <rPr>
        <sz val="10"/>
        <rFont val="游ゴシック"/>
        <family val="3"/>
        <charset val="128"/>
        <scheme val="minor"/>
      </rPr>
      <t>　</t>
    </r>
    <r>
      <rPr>
        <sz val="10"/>
        <color rgb="FFFF0000"/>
        <rFont val="游ゴシック"/>
        <family val="3"/>
        <charset val="128"/>
        <scheme val="minor"/>
      </rPr>
      <t>→標準指標通り（サービス追加）</t>
    </r>
    <rPh sb="3" eb="6">
      <t>シチョウソン</t>
    </rPh>
    <rPh sb="7" eb="9">
      <t>キテイ</t>
    </rPh>
    <rPh sb="13" eb="15">
      <t>セイキュウ</t>
    </rPh>
    <rPh sb="20" eb="23">
      <t>タイショウガイ</t>
    </rPh>
    <phoneticPr fontId="13"/>
  </si>
  <si>
    <t>K03.集計機能</t>
    <rPh sb="4" eb="6">
      <t>シュウケイ</t>
    </rPh>
    <rPh sb="6" eb="8">
      <t>キノウ</t>
    </rPh>
    <phoneticPr fontId="13"/>
  </si>
  <si>
    <t>福祉用具貸与、介護予防福祉用具貸与の率減算の単位数計算処理を追加</t>
    <rPh sb="7" eb="9">
      <t>カイゴ</t>
    </rPh>
    <rPh sb="9" eb="11">
      <t>ヨボウ</t>
    </rPh>
    <rPh sb="11" eb="13">
      <t>フクシ</t>
    </rPh>
    <rPh sb="13" eb="15">
      <t>ヨウグ</t>
    </rPh>
    <rPh sb="15" eb="17">
      <t>タイヨ</t>
    </rPh>
    <rPh sb="18" eb="19">
      <t>リツ</t>
    </rPh>
    <rPh sb="19" eb="21">
      <t>ゲンザン</t>
    </rPh>
    <rPh sb="22" eb="25">
      <t>タンイスウ</t>
    </rPh>
    <rPh sb="25" eb="27">
      <t>ケイサン</t>
    </rPh>
    <rPh sb="27" eb="29">
      <t>ショリ</t>
    </rPh>
    <rPh sb="30" eb="32">
      <t>ツイカ</t>
    </rPh>
    <phoneticPr fontId="13"/>
  </si>
  <si>
    <t>参考なし
新規の率計算のため</t>
    <rPh sb="0" eb="2">
      <t>サンコウ</t>
    </rPh>
    <rPh sb="5" eb="7">
      <t>シンキ</t>
    </rPh>
    <rPh sb="8" eb="11">
      <t>リツケイサン</t>
    </rPh>
    <phoneticPr fontId="13"/>
  </si>
  <si>
    <t>K10.単位数計算機能</t>
    <rPh sb="4" eb="7">
      <t>タンイスウ</t>
    </rPh>
    <rPh sb="7" eb="9">
      <t>ケイサン</t>
    </rPh>
    <rPh sb="9" eb="11">
      <t>キノウ</t>
    </rPh>
    <phoneticPr fontId="13"/>
  </si>
  <si>
    <t>K03の内容が組み込まれているか</t>
    <rPh sb="4" eb="6">
      <t>ナイヨウ</t>
    </rPh>
    <rPh sb="7" eb="8">
      <t>ク</t>
    </rPh>
    <rPh sb="9" eb="10">
      <t>コ</t>
    </rPh>
    <phoneticPr fontId="13"/>
  </si>
  <si>
    <t>出力条件変更（テストのみ）</t>
    <rPh sb="0" eb="2">
      <t>シュツリョク</t>
    </rPh>
    <rPh sb="2" eb="4">
      <t>ジョウケン</t>
    </rPh>
    <rPh sb="4" eb="6">
      <t>ヘンコウ</t>
    </rPh>
    <phoneticPr fontId="13"/>
  </si>
  <si>
    <t>参考なし
新規の率計算のため
→K03のテストケースを流用想定　で180の半分で90</t>
    <rPh sb="0" eb="2">
      <t>サンコウ</t>
    </rPh>
    <rPh sb="5" eb="7">
      <t>シンキ</t>
    </rPh>
    <rPh sb="8" eb="11">
      <t>リツケイサン</t>
    </rPh>
    <rPh sb="27" eb="29">
      <t>リュウヨウ</t>
    </rPh>
    <rPh sb="29" eb="31">
      <t>ソウテイ</t>
    </rPh>
    <rPh sb="37" eb="39">
      <t>ハンブン</t>
    </rPh>
    <phoneticPr fontId="13"/>
  </si>
  <si>
    <t>テストのみ
・要介護チェック
・介護時間チェック
・時間帯チェック
・福祉用具貸与の計算</t>
    <rPh sb="7" eb="10">
      <t>ヨウカイゴ</t>
    </rPh>
    <rPh sb="16" eb="18">
      <t>カイゴ</t>
    </rPh>
    <rPh sb="18" eb="20">
      <t>ジカン</t>
    </rPh>
    <rPh sb="26" eb="29">
      <t>ジカンタイ</t>
    </rPh>
    <phoneticPr fontId="13"/>
  </si>
  <si>
    <t>参考なし
規模：10×3（チェック系）＋60（福祉用具）=90</t>
    <rPh sb="5" eb="7">
      <t>キボ</t>
    </rPh>
    <rPh sb="17" eb="18">
      <t>ケイ</t>
    </rPh>
    <rPh sb="23" eb="27">
      <t>フクシヨウグ</t>
    </rPh>
    <phoneticPr fontId="13"/>
  </si>
  <si>
    <t>身体拘束廃止未実施減算の追加（R7経過措置：短期入所系、多機能系）</t>
    <phoneticPr fontId="13"/>
  </si>
  <si>
    <t>R7改正_要件005：身体拘束廃止未実施減算の追加（R7経過措置：短期入所系、多機能系）.xlsx</t>
    <phoneticPr fontId="13"/>
  </si>
  <si>
    <t>身体拘束未実施減算の算定処理を追加</t>
    <rPh sb="0" eb="4">
      <t>シンタイコウソク</t>
    </rPh>
    <rPh sb="4" eb="7">
      <t>ミジッシ</t>
    </rPh>
    <rPh sb="7" eb="9">
      <t>ゲンザン</t>
    </rPh>
    <rPh sb="10" eb="14">
      <t>サンテイショリ</t>
    </rPh>
    <rPh sb="15" eb="17">
      <t>ツイカ</t>
    </rPh>
    <phoneticPr fontId="13"/>
  </si>
  <si>
    <t>5,19</t>
    <phoneticPr fontId="13"/>
  </si>
  <si>
    <t>標準指標通り（サービス追加）</t>
    <rPh sb="0" eb="2">
      <t>ヒョウジュン</t>
    </rPh>
    <rPh sb="2" eb="4">
      <t>シヒョウ</t>
    </rPh>
    <rPh sb="4" eb="5">
      <t>ドオ</t>
    </rPh>
    <rPh sb="11" eb="13">
      <t>ツイカ</t>
    </rPh>
    <phoneticPr fontId="13"/>
  </si>
  <si>
    <t>出力条件変更（設計、テストのみ）</t>
    <phoneticPr fontId="13"/>
  </si>
  <si>
    <r>
      <t>設計書メンテ、テスト実施のみでOK？　</t>
    </r>
    <r>
      <rPr>
        <sz val="10"/>
        <color rgb="FFFF0000"/>
        <rFont val="游ゴシック"/>
        <family val="3"/>
        <charset val="128"/>
        <scheme val="minor"/>
      </rPr>
      <t>要件定義上、テスト不要としているので対応不要</t>
    </r>
    <rPh sb="0" eb="3">
      <t>セッケイショ</t>
    </rPh>
    <rPh sb="10" eb="12">
      <t>ジッシ</t>
    </rPh>
    <rPh sb="19" eb="24">
      <t>ヨウケンテイギジョウ</t>
    </rPh>
    <rPh sb="28" eb="30">
      <t>フヨウ</t>
    </rPh>
    <rPh sb="37" eb="39">
      <t>タイオウ</t>
    </rPh>
    <rPh sb="39" eb="41">
      <t>フヨウ</t>
    </rPh>
    <phoneticPr fontId="13"/>
  </si>
  <si>
    <t>介護職員等処遇改善加算Ⅴの廃止（R7経過措置）</t>
    <phoneticPr fontId="13"/>
  </si>
  <si>
    <t>R7改正_要件006：介護職員等処遇改善加算Ⅴの廃止（R7経過措置）.xlsx</t>
    <phoneticPr fontId="13"/>
  </si>
  <si>
    <t>未設定</t>
    <rPh sb="0" eb="3">
      <t>ミセッテイ</t>
    </rPh>
    <phoneticPr fontId="13"/>
  </si>
  <si>
    <t>○</t>
    <phoneticPr fontId="13"/>
  </si>
  <si>
    <t>加算Ⅴ１～Ⅴ１４を廃止</t>
    <rPh sb="0" eb="2">
      <t>カサン</t>
    </rPh>
    <rPh sb="9" eb="11">
      <t>ハイシ</t>
    </rPh>
    <phoneticPr fontId="13"/>
  </si>
  <si>
    <t>個別に設定</t>
    <rPh sb="0" eb="2">
      <t>コベツ</t>
    </rPh>
    <rPh sb="3" eb="5">
      <t>セッテイ</t>
    </rPh>
    <phoneticPr fontId="13"/>
  </si>
  <si>
    <t>見積参考：【R6】113-1-1（処遇ⅣⅤ廃止）　→標準指標（サービス廃止）だと過大工数となるため
2サービス廃止→14サービス廃止のため、工数上乗せ</t>
    <rPh sb="17" eb="19">
      <t>ショグウ</t>
    </rPh>
    <rPh sb="21" eb="23">
      <t>ハイシ</t>
    </rPh>
    <rPh sb="26" eb="30">
      <t>ヒョウジュンシヒョウ</t>
    </rPh>
    <rPh sb="35" eb="37">
      <t>ハイシ</t>
    </rPh>
    <rPh sb="40" eb="42">
      <t>カダイ</t>
    </rPh>
    <rPh sb="42" eb="44">
      <t>コウスウ</t>
    </rPh>
    <rPh sb="55" eb="57">
      <t>ハイシ</t>
    </rPh>
    <rPh sb="64" eb="66">
      <t>ハイシ</t>
    </rPh>
    <rPh sb="70" eb="72">
      <t>コウスウ</t>
    </rPh>
    <rPh sb="72" eb="74">
      <t>ウワノ</t>
    </rPh>
    <phoneticPr fontId="13"/>
  </si>
  <si>
    <t>回帰のみ</t>
    <rPh sb="0" eb="2">
      <t>カイキ</t>
    </rPh>
    <phoneticPr fontId="13"/>
  </si>
  <si>
    <r>
      <t xml:space="preserve">回帰テストのメンテとそのテスト実施のみでOK
</t>
    </r>
    <r>
      <rPr>
        <sz val="10"/>
        <color rgb="FFFF0000"/>
        <rFont val="游ゴシック"/>
        <family val="3"/>
        <charset val="128"/>
        <scheme val="minor"/>
      </rPr>
      <t>見積参考：【R6】113-2-1（処遇ⅣⅤ廃止）　→標準指標（サービス廃止）だと過大工数となるため
2サービス廃止→14サービス廃止のため、工数上乗せ</t>
    </r>
    <rPh sb="0" eb="2">
      <t>カイキ</t>
    </rPh>
    <phoneticPr fontId="13"/>
  </si>
  <si>
    <r>
      <t xml:space="preserve">回帰テストのメンテとそのテスト実施のみでOK
</t>
    </r>
    <r>
      <rPr>
        <sz val="10"/>
        <color rgb="FFFF0000"/>
        <rFont val="游ゴシック"/>
        <family val="3"/>
        <charset val="128"/>
        <scheme val="minor"/>
      </rPr>
      <t>見積参考：【R6】113-3-1（処遇ⅣⅤ廃止）　→標準指標（サービス廃止）だと過大工数となるため
2サービス廃止→14サービス廃止のため、工数上乗せ</t>
    </r>
    <rPh sb="0" eb="2">
      <t>カイキ</t>
    </rPh>
    <phoneticPr fontId="13"/>
  </si>
  <si>
    <t>マッピングの修正</t>
    <rPh sb="6" eb="8">
      <t>シュウセイ</t>
    </rPh>
    <phoneticPr fontId="13"/>
  </si>
  <si>
    <t>出力条件変更（設計のみ）</t>
    <rPh sb="7" eb="9">
      <t>セッケイ</t>
    </rPh>
    <phoneticPr fontId="13"/>
  </si>
  <si>
    <r>
      <t xml:space="preserve">DBマッピングのメンテのみのため、FD工程のみ
</t>
    </r>
    <r>
      <rPr>
        <sz val="10"/>
        <color rgb="FFFF0000"/>
        <rFont val="游ゴシック"/>
        <family val="3"/>
        <charset val="128"/>
        <scheme val="minor"/>
      </rPr>
      <t>参考なし</t>
    </r>
    <r>
      <rPr>
        <sz val="10"/>
        <rFont val="游ゴシック"/>
        <family val="3"/>
        <charset val="128"/>
        <scheme val="minor"/>
      </rPr>
      <t>　</t>
    </r>
    <r>
      <rPr>
        <sz val="10"/>
        <color rgb="FF0070C0"/>
        <rFont val="游ゴシック"/>
        <family val="3"/>
        <charset val="128"/>
        <scheme val="minor"/>
      </rPr>
      <t>サービス種類数×10分で算出する、001で実施（要件定義修正</t>
    </r>
    <r>
      <rPr>
        <sz val="10"/>
        <rFont val="游ゴシック"/>
        <family val="3"/>
        <charset val="128"/>
        <scheme val="minor"/>
      </rPr>
      <t>）</t>
    </r>
    <rPh sb="19" eb="21">
      <t>コウテイ</t>
    </rPh>
    <rPh sb="24" eb="26">
      <t>サンコウ</t>
    </rPh>
    <rPh sb="33" eb="36">
      <t>シュルイスウ</t>
    </rPh>
    <rPh sb="39" eb="40">
      <t>フン</t>
    </rPh>
    <rPh sb="41" eb="43">
      <t>サンシュツ</t>
    </rPh>
    <rPh sb="50" eb="52">
      <t>ジッシ</t>
    </rPh>
    <rPh sb="53" eb="57">
      <t>ヨウケンテイギ</t>
    </rPh>
    <rPh sb="57" eb="59">
      <t>シュウセイ</t>
    </rPh>
    <phoneticPr fontId="13"/>
  </si>
  <si>
    <t>多床室の室料負担への対応（R7.8～老健・医療院）</t>
    <phoneticPr fontId="13"/>
  </si>
  <si>
    <t>R7改正_要件007：多床室の室料負担への対応（R7.8～老健・医療院）.xlsx</t>
    <phoneticPr fontId="13"/>
  </si>
  <si>
    <t>59（居住費）</t>
    <rPh sb="3" eb="6">
      <t>キョジュウヒ</t>
    </rPh>
    <phoneticPr fontId="13"/>
  </si>
  <si>
    <t>サービス追加</t>
    <rPh sb="4" eb="6">
      <t>ツイカ</t>
    </rPh>
    <phoneticPr fontId="13"/>
  </si>
  <si>
    <r>
      <t xml:space="preserve">入力項目を追加、検索処理を変更
</t>
    </r>
    <r>
      <rPr>
        <sz val="10"/>
        <color rgb="FFFF0000"/>
        <rFont val="游ゴシック"/>
        <family val="3"/>
        <charset val="128"/>
        <scheme val="minor"/>
      </rPr>
      <t>標準指標通り（サービス追加）</t>
    </r>
    <rPh sb="0" eb="2">
      <t>ニュウリョク</t>
    </rPh>
    <rPh sb="2" eb="4">
      <t>コウモク</t>
    </rPh>
    <rPh sb="5" eb="7">
      <t>ツイカ</t>
    </rPh>
    <rPh sb="8" eb="10">
      <t>ケンサク</t>
    </rPh>
    <rPh sb="10" eb="12">
      <t>ショリ</t>
    </rPh>
    <rPh sb="13" eb="15">
      <t>ヘンコウ</t>
    </rPh>
    <phoneticPr fontId="13"/>
  </si>
  <si>
    <t>済</t>
    <rPh sb="0" eb="1">
      <t>スミ</t>
    </rPh>
    <phoneticPr fontId="13"/>
  </si>
  <si>
    <t>室料相当額控除と59（居住費）の算定</t>
    <rPh sb="0" eb="7">
      <t>シツリョウソウトウガクコウジョ</t>
    </rPh>
    <rPh sb="11" eb="14">
      <t>キョジュウヒ</t>
    </rPh>
    <rPh sb="16" eb="18">
      <t>サンテイ</t>
    </rPh>
    <phoneticPr fontId="13"/>
  </si>
  <si>
    <t>基本報酬部分が算定に影響するため</t>
    <rPh sb="0" eb="2">
      <t>キホン</t>
    </rPh>
    <rPh sb="2" eb="4">
      <t>ホウシュウ</t>
    </rPh>
    <rPh sb="4" eb="6">
      <t>ブブン</t>
    </rPh>
    <rPh sb="7" eb="9">
      <t>サンテイ</t>
    </rPh>
    <rPh sb="10" eb="12">
      <t>エイキョウ</t>
    </rPh>
    <phoneticPr fontId="13"/>
  </si>
  <si>
    <r>
      <t xml:space="preserve">入力項目を追加、算定処理を変更
</t>
    </r>
    <r>
      <rPr>
        <sz val="10"/>
        <color rgb="FFFF0000"/>
        <rFont val="游ゴシック"/>
        <family val="3"/>
        <charset val="128"/>
        <scheme val="minor"/>
      </rPr>
      <t>標準指標通り（サービス追加）</t>
    </r>
    <rPh sb="0" eb="2">
      <t>ニュウリョク</t>
    </rPh>
    <rPh sb="2" eb="4">
      <t>コウモク</t>
    </rPh>
    <rPh sb="5" eb="7">
      <t>ツイカ</t>
    </rPh>
    <rPh sb="8" eb="10">
      <t>サンテイ</t>
    </rPh>
    <rPh sb="10" eb="12">
      <t>ショリ</t>
    </rPh>
    <rPh sb="13" eb="15">
      <t>ヘンコウ</t>
    </rPh>
    <phoneticPr fontId="13"/>
  </si>
  <si>
    <t>K03.集計機能</t>
    <rPh sb="4" eb="6">
      <t>シュウケイ</t>
    </rPh>
    <phoneticPr fontId="13"/>
  </si>
  <si>
    <t>テストケース追加</t>
    <rPh sb="6" eb="8">
      <t>ツイカ</t>
    </rPh>
    <phoneticPr fontId="13"/>
  </si>
  <si>
    <t>出力条件変更（テストのみ）</t>
    <rPh sb="0" eb="1">
      <t>シュツリョク</t>
    </rPh>
    <rPh sb="1" eb="3">
      <t>ジョウケン</t>
    </rPh>
    <rPh sb="3" eb="5">
      <t>ヘンコウ</t>
    </rPh>
    <phoneticPr fontId="13"/>
  </si>
  <si>
    <r>
      <t xml:space="preserve">テストケースの追加と、そのテストのみ実施必要
</t>
    </r>
    <r>
      <rPr>
        <sz val="10"/>
        <color rgb="FFFF0000"/>
        <rFont val="游ゴシック"/>
        <family val="3"/>
        <charset val="128"/>
        <scheme val="minor"/>
      </rPr>
      <t>参考なし　（サービス種類は様式単位で見積もり→59は除外）</t>
    </r>
    <rPh sb="7" eb="9">
      <t>ツイカ</t>
    </rPh>
    <rPh sb="18" eb="20">
      <t>ジッシ</t>
    </rPh>
    <rPh sb="20" eb="22">
      <t>ヒツヨウ</t>
    </rPh>
    <rPh sb="23" eb="25">
      <t>サンコウ</t>
    </rPh>
    <rPh sb="33" eb="35">
      <t>シュルイ</t>
    </rPh>
    <phoneticPr fontId="13"/>
  </si>
  <si>
    <t>対応不要</t>
    <rPh sb="0" eb="4">
      <t>タイオウフヨウ</t>
    </rPh>
    <phoneticPr fontId="13"/>
  </si>
  <si>
    <t>算定条件変更</t>
    <rPh sb="0" eb="3">
      <t>サンテイジョウケン</t>
    </rPh>
    <rPh sb="3" eb="5">
      <t>ヘンコウ</t>
    </rPh>
    <phoneticPr fontId="13"/>
  </si>
  <si>
    <t>内容的に対応不要だが、設計書のメンテ有無の再確認程度の工数がいるか？</t>
    <rPh sb="0" eb="2">
      <t>ナイヨウ</t>
    </rPh>
    <rPh sb="2" eb="3">
      <t>テキ</t>
    </rPh>
    <rPh sb="4" eb="6">
      <t>タイオウ</t>
    </rPh>
    <rPh sb="6" eb="8">
      <t>フヨウ</t>
    </rPh>
    <rPh sb="11" eb="14">
      <t>セッケイショ</t>
    </rPh>
    <rPh sb="18" eb="20">
      <t>ウム</t>
    </rPh>
    <rPh sb="21" eb="24">
      <t>サイカクニン</t>
    </rPh>
    <rPh sb="24" eb="26">
      <t>テイド</t>
    </rPh>
    <rPh sb="27" eb="29">
      <t>コウスウ</t>
    </rPh>
    <phoneticPr fontId="13"/>
  </si>
  <si>
    <t>（人日）</t>
    <rPh sb="1" eb="3">
      <t>ニンニチ</t>
    </rPh>
    <phoneticPr fontId="13"/>
  </si>
  <si>
    <t>（人月）</t>
    <rPh sb="1" eb="3">
      <t>ニンゲツ</t>
    </rPh>
    <phoneticPr fontId="13"/>
  </si>
  <si>
    <t>4月</t>
    <rPh sb="1" eb="2">
      <t>ガツ</t>
    </rPh>
    <phoneticPr fontId="13"/>
  </si>
  <si>
    <t>6月</t>
    <rPh sb="1" eb="2">
      <t>ガツ</t>
    </rPh>
    <phoneticPr fontId="13"/>
  </si>
  <si>
    <t>4月＋6月</t>
    <rPh sb="1" eb="2">
      <t>ガツ</t>
    </rPh>
    <rPh sb="4" eb="5">
      <t>ガツ</t>
    </rPh>
    <phoneticPr fontId="13"/>
  </si>
  <si>
    <t>総合計</t>
    <rPh sb="0" eb="3">
      <t>ソウゴウケイ</t>
    </rPh>
    <phoneticPr fontId="13"/>
  </si>
  <si>
    <t>設計工程、予定工数</t>
    <rPh sb="0" eb="4">
      <t>セッケイコウテイ</t>
    </rPh>
    <rPh sb="5" eb="7">
      <t>ヨテイ</t>
    </rPh>
    <rPh sb="7" eb="9">
      <t>コウスウ</t>
    </rPh>
    <phoneticPr fontId="13"/>
  </si>
  <si>
    <t>利用票別表</t>
    <rPh sb="0" eb="3">
      <t>リヨウヒョウ</t>
    </rPh>
    <rPh sb="3" eb="5">
      <t>ベッピョウ</t>
    </rPh>
    <phoneticPr fontId="13"/>
  </si>
  <si>
    <t>人日</t>
    <rPh sb="0" eb="2">
      <t>ニンニチ</t>
    </rPh>
    <phoneticPr fontId="13"/>
  </si>
  <si>
    <t>1.1倍</t>
    <rPh sb="3" eb="4">
      <t>バイ</t>
    </rPh>
    <phoneticPr fontId="13"/>
  </si>
  <si>
    <t>人月</t>
    <rPh sb="0" eb="2">
      <t>ニンゲツ</t>
    </rPh>
    <phoneticPr fontId="13"/>
  </si>
  <si>
    <t>1.2倍</t>
    <rPh sb="3" eb="4">
      <t>バイ</t>
    </rPh>
    <phoneticPr fontId="13"/>
  </si>
  <si>
    <t>利用票別表以外</t>
    <rPh sb="0" eb="3">
      <t>リヨウヒョウ</t>
    </rPh>
    <rPh sb="3" eb="5">
      <t>ベッピョウ</t>
    </rPh>
    <rPh sb="5" eb="7">
      <t>イガイ</t>
    </rPh>
    <phoneticPr fontId="13"/>
  </si>
  <si>
    <t>R6年合計</t>
    <rPh sb="2" eb="3">
      <t>ネン</t>
    </rPh>
    <rPh sb="3" eb="5">
      <t>ゴウケイ</t>
    </rPh>
    <phoneticPr fontId="13"/>
  </si>
  <si>
    <t>BP</t>
    <phoneticPr fontId="13"/>
  </si>
  <si>
    <t>ND</t>
    <phoneticPr fontId="13"/>
  </si>
  <si>
    <t>胡 偉東</t>
  </si>
  <si>
    <t>崔 貝貝</t>
  </si>
  <si>
    <t>呉 江平</t>
    <rPh sb="0" eb="1">
      <t>クレ</t>
    </rPh>
    <rPh sb="2" eb="4">
      <t>エヒラ</t>
    </rPh>
    <phoneticPr fontId="1"/>
  </si>
  <si>
    <t>龐 敏</t>
    <rPh sb="0" eb="1">
      <t>ホウ</t>
    </rPh>
    <rPh sb="2" eb="3">
      <t>トシ</t>
    </rPh>
    <phoneticPr fontId="2"/>
  </si>
  <si>
    <t>趙 威武</t>
    <rPh sb="0" eb="1">
      <t>チョウ</t>
    </rPh>
    <rPh sb="2" eb="3">
      <t>イ</t>
    </rPh>
    <rPh sb="3" eb="4">
      <t>タケシ</t>
    </rPh>
    <phoneticPr fontId="1"/>
  </si>
  <si>
    <t>テストケース説明</t>
    <rPh sb="6" eb="8">
      <t>セツメイ</t>
    </rPh>
    <phoneticPr fontId="2"/>
  </si>
  <si>
    <t>単体テスト</t>
    <rPh sb="0" eb="2">
      <t>タンタイ</t>
    </rPh>
    <phoneticPr fontId="13"/>
  </si>
  <si>
    <t>回帰テスト</t>
    <rPh sb="0" eb="2">
      <t>カイキ</t>
    </rPh>
    <phoneticPr fontId="2"/>
  </si>
  <si>
    <t>PV</t>
    <phoneticPr fontId="2"/>
  </si>
  <si>
    <t>EV</t>
    <phoneticPr fontId="2"/>
  </si>
  <si>
    <t>AC</t>
    <phoneticPr fontId="2"/>
  </si>
  <si>
    <t>前日実工数</t>
    <rPh sb="0" eb="2">
      <t>ゼンジツ</t>
    </rPh>
    <rPh sb="2" eb="3">
      <t>ジツ</t>
    </rPh>
    <rPh sb="3" eb="5">
      <t>コウスウ</t>
    </rPh>
    <phoneticPr fontId="2"/>
  </si>
  <si>
    <t>実担当</t>
    <rPh sb="0" eb="1">
      <t>ジツ</t>
    </rPh>
    <rPh sb="1" eb="3">
      <t>タントウ</t>
    </rPh>
    <phoneticPr fontId="2"/>
  </si>
  <si>
    <t>チケットチェック</t>
    <phoneticPr fontId="2"/>
  </si>
  <si>
    <t>【JU2 DEX】WBS</t>
  </si>
  <si>
    <t>时期</t>
    <phoneticPr fontId="2"/>
  </si>
  <si>
    <t>需求编号</t>
    <phoneticPr fontId="4"/>
  </si>
  <si>
    <t>任务</t>
    <phoneticPr fontId="2"/>
  </si>
  <si>
    <t>负责团队</t>
    <phoneticPr fontId="4"/>
  </si>
  <si>
    <t>负责人</t>
    <phoneticPr fontId="2"/>
  </si>
  <si>
    <t>计划</t>
    <phoneticPr fontId="2"/>
  </si>
  <si>
    <t xml:space="preserve">开始 </t>
    <phoneticPr fontId="2"/>
  </si>
  <si>
    <t>结束</t>
    <phoneticPr fontId="2"/>
  </si>
  <si>
    <t>开始</t>
    <phoneticPr fontId="2"/>
  </si>
  <si>
    <t>实际</t>
    <phoneticPr fontId="2"/>
  </si>
  <si>
    <t>进度</t>
    <phoneticPr fontId="2"/>
  </si>
  <si>
    <r>
      <rPr>
        <b/>
        <sz val="10"/>
        <rFont val="Microsoft YaHei"/>
        <family val="2"/>
        <charset val="134"/>
      </rPr>
      <t>计</t>
    </r>
    <r>
      <rPr>
        <b/>
        <sz val="10"/>
        <rFont val="Noto Sans JP"/>
        <family val="3"/>
        <charset val="134"/>
      </rPr>
      <t>划</t>
    </r>
    <r>
      <rPr>
        <b/>
        <sz val="10"/>
        <rFont val="Meiryo UI"/>
        <family val="3"/>
        <charset val="128"/>
      </rPr>
      <t xml:space="preserve">
工</t>
    </r>
    <r>
      <rPr>
        <b/>
        <sz val="10"/>
        <rFont val="Microsoft YaHei"/>
        <family val="2"/>
        <charset val="134"/>
      </rPr>
      <t>时</t>
    </r>
    <r>
      <rPr>
        <b/>
        <sz val="10"/>
        <rFont val="Meiryo UI"/>
        <family val="3"/>
        <charset val="128"/>
      </rPr>
      <t>[人</t>
    </r>
    <r>
      <rPr>
        <b/>
        <sz val="10"/>
        <rFont val="Noto Sans JP"/>
        <family val="3"/>
        <charset val="134"/>
      </rPr>
      <t>小</t>
    </r>
    <r>
      <rPr>
        <b/>
        <sz val="10"/>
        <rFont val="Microsoft YaHei"/>
        <family val="2"/>
        <charset val="134"/>
      </rPr>
      <t>时</t>
    </r>
    <r>
      <rPr>
        <b/>
        <sz val="10"/>
        <rFont val="Meiryo UI"/>
        <family val="3"/>
        <charset val="128"/>
      </rPr>
      <t>]</t>
    </r>
    <rPh sb="3" eb="4">
      <t>コウ</t>
    </rPh>
    <rPh sb="6" eb="7">
      <t>ニン</t>
    </rPh>
    <rPh sb="7" eb="8">
      <t>コ</t>
    </rPh>
    <phoneticPr fontId="4"/>
  </si>
  <si>
    <r>
      <rPr>
        <b/>
        <sz val="10"/>
        <rFont val="Noto Sans JP"/>
        <family val="3"/>
        <charset val="134"/>
      </rPr>
      <t>实际</t>
    </r>
    <r>
      <rPr>
        <b/>
        <sz val="10"/>
        <rFont val="Meiryo UI"/>
        <family val="3"/>
        <charset val="128"/>
      </rPr>
      <t xml:space="preserve">
</t>
    </r>
    <r>
      <rPr>
        <b/>
        <sz val="10"/>
        <rFont val="Noto Sans JP"/>
        <family val="3"/>
        <charset val="134"/>
      </rPr>
      <t>工时[人小时]</t>
    </r>
    <phoneticPr fontId="2"/>
  </si>
  <si>
    <t>备注</t>
    <phoneticPr fontId="4"/>
  </si>
  <si>
    <t>评审请求</t>
    <rPh sb="3" eb="4">
      <t>モトム</t>
    </rPh>
    <phoneticPr fontId="2"/>
  </si>
  <si>
    <t>评审期限</t>
    <rPh sb="2" eb="4">
      <t>キゲン</t>
    </rPh>
    <phoneticPr fontId="2"/>
  </si>
  <si>
    <t>工单编号</t>
    <phoneticPr fontId="2"/>
  </si>
  <si>
    <t>对应内容（详细）</t>
    <phoneticPr fontId="2"/>
  </si>
  <si>
    <t>评审状况</t>
    <rPh sb="2" eb="3">
      <t>ジョウ</t>
    </rPh>
    <rPh sb="3" eb="4">
      <t>マシ</t>
    </rPh>
    <phoneticPr fontId="2"/>
  </si>
  <si>
    <t>实际负责人</t>
    <rPh sb="4" eb="5">
      <t>ニン</t>
    </rPh>
    <phoneticPr fontId="2"/>
  </si>
  <si>
    <t>准备</t>
    <phoneticPr fontId="2"/>
  </si>
  <si>
    <r>
      <t>需求</t>
    </r>
    <r>
      <rPr>
        <sz val="10"/>
        <rFont val="Microsoft YaHei"/>
        <family val="2"/>
        <charset val="134"/>
      </rPr>
      <t>调</t>
    </r>
    <r>
      <rPr>
        <sz val="10"/>
        <rFont val="Noto Sans JP"/>
        <family val="3"/>
        <charset val="128"/>
      </rPr>
      <t>研</t>
    </r>
    <phoneticPr fontId="2"/>
  </si>
  <si>
    <t>需求调研</t>
    <rPh sb="0" eb="1">
      <t>ジュ</t>
    </rPh>
    <rPh sb="1" eb="2">
      <t>モトム</t>
    </rPh>
    <rPh sb="3" eb="4">
      <t>ケン</t>
    </rPh>
    <phoneticPr fontId="2"/>
  </si>
  <si>
    <t>里程碑 1 —— 技术与治理蓝图</t>
    <phoneticPr fontId="2"/>
  </si>
  <si>
    <t>里程碑 1 —— 技术与治理蓝图</t>
    <phoneticPr fontId="2"/>
  </si>
  <si>
    <t>里程碑 2 —— 技术与治理蓝图</t>
  </si>
  <si>
    <t>里程碑 3 —— 技术与治理蓝图</t>
  </si>
  <si>
    <t>里程碑 4 —— 技术与治理蓝图</t>
  </si>
  <si>
    <t>JU2 架构 v1.0</t>
  </si>
  <si>
    <r>
      <t xml:space="preserve">DAO 治理草案（角色、参数、投票、DAO </t>
    </r>
    <r>
      <rPr>
        <sz val="10"/>
        <rFont val="NSimSun"/>
        <family val="3"/>
        <charset val="134"/>
      </rPr>
      <t>过</t>
    </r>
    <r>
      <rPr>
        <sz val="10"/>
        <rFont val="Meiryo UI"/>
        <family val="3"/>
        <charset val="128"/>
      </rPr>
      <t>渡</t>
    </r>
    <r>
      <rPr>
        <sz val="10"/>
        <rFont val="NSimSun"/>
        <family val="3"/>
        <charset val="134"/>
      </rPr>
      <t>计</t>
    </r>
    <r>
      <rPr>
        <sz val="10"/>
        <rFont val="Meiryo UI"/>
        <family val="3"/>
        <charset val="128"/>
      </rPr>
      <t>划）</t>
    </r>
  </si>
  <si>
    <r>
      <t>跨</t>
    </r>
    <r>
      <rPr>
        <sz val="10"/>
        <rFont val="NSimSun"/>
        <family val="3"/>
        <charset val="134"/>
      </rPr>
      <t>链</t>
    </r>
    <r>
      <rPr>
        <sz val="10"/>
        <rFont val="Meiryo UI"/>
        <family val="3"/>
        <charset val="128"/>
      </rPr>
      <t>研究</t>
    </r>
    <r>
      <rPr>
        <sz val="10"/>
        <rFont val="NSimSun"/>
        <family val="3"/>
        <charset val="134"/>
      </rPr>
      <t>报</t>
    </r>
    <r>
      <rPr>
        <sz val="10"/>
        <rFont val="Meiryo UI"/>
        <family val="3"/>
        <charset val="128"/>
      </rPr>
      <t xml:space="preserve">告（Arbitrum </t>
    </r>
    <r>
      <rPr>
        <sz val="10"/>
        <rFont val="Malgun Gothic Semilight"/>
        <family val="3"/>
        <charset val="129"/>
      </rPr>
      <t>优</t>
    </r>
    <r>
      <rPr>
        <sz val="10"/>
        <rFont val="Meiryo UI"/>
        <family val="3"/>
        <charset val="128"/>
      </rPr>
      <t>先部署策略）</t>
    </r>
  </si>
  <si>
    <r>
      <t>里程碑 2 —— Tokenomics 与融</t>
    </r>
    <r>
      <rPr>
        <sz val="10"/>
        <color rgb="FFC0C0C0"/>
        <rFont val="NSimSun"/>
        <family val="3"/>
        <charset val="134"/>
      </rPr>
      <t>资</t>
    </r>
    <r>
      <rPr>
        <sz val="10"/>
        <color rgb="FFC0C0C0"/>
        <rFont val="Meiryo UI"/>
        <family val="3"/>
        <charset val="128"/>
      </rPr>
      <t>架构</t>
    </r>
  </si>
  <si>
    <r>
      <t>里程碑 3 —— Tokenomics 与融资架构</t>
    </r>
    <r>
      <rPr>
        <sz val="10"/>
        <color rgb="FFC0C0C0"/>
        <rFont val="Meiryo UI"/>
        <family val="3"/>
        <charset val="128"/>
      </rPr>
      <t/>
    </r>
  </si>
  <si>
    <r>
      <t>里程碑 4 —— Tokenomics 与融资架构</t>
    </r>
    <r>
      <rPr>
        <sz val="10"/>
        <color rgb="FFC0C0C0"/>
        <rFont val="Meiryo UI"/>
        <family val="3"/>
        <charset val="128"/>
      </rPr>
      <t/>
    </r>
  </si>
  <si>
    <r>
      <t>里程碑 5 —— Tokenomics 与融资架构</t>
    </r>
    <r>
      <rPr>
        <sz val="10"/>
        <color rgb="FFC0C0C0"/>
        <rFont val="Meiryo UI"/>
        <family val="3"/>
        <charset val="128"/>
      </rPr>
      <t/>
    </r>
  </si>
  <si>
    <r>
      <t>里程碑 6 —— Tokenomics 与融资架构</t>
    </r>
    <r>
      <rPr>
        <sz val="10"/>
        <color rgb="FFC0C0C0"/>
        <rFont val="Meiryo UI"/>
        <family val="3"/>
        <charset val="128"/>
      </rPr>
      <t/>
    </r>
  </si>
  <si>
    <r>
      <t>里程碑 2 —— Tokenomics 与融</t>
    </r>
    <r>
      <rPr>
        <sz val="10"/>
        <color theme="1"/>
        <rFont val="NSimSun"/>
        <family val="3"/>
        <charset val="134"/>
      </rPr>
      <t>资</t>
    </r>
    <r>
      <rPr>
        <sz val="10"/>
        <color theme="1"/>
        <rFont val="Meiryo UI"/>
        <family val="3"/>
        <charset val="128"/>
      </rPr>
      <t>架构</t>
    </r>
    <phoneticPr fontId="2"/>
  </si>
  <si>
    <r>
      <t xml:space="preserve">完整 Tokenomics </t>
    </r>
    <r>
      <rPr>
        <sz val="10"/>
        <rFont val="NSimSun"/>
        <family val="3"/>
        <charset val="134"/>
      </rPr>
      <t>验证报</t>
    </r>
    <r>
      <rPr>
        <sz val="10"/>
        <rFont val="Meiryo UI"/>
        <family val="3"/>
        <charset val="128"/>
      </rPr>
      <t>告</t>
    </r>
  </si>
  <si>
    <r>
      <t>敏感性分析（供</t>
    </r>
    <r>
      <rPr>
        <sz val="10"/>
        <rFont val="NSimSun"/>
        <family val="3"/>
        <charset val="134"/>
      </rPr>
      <t>应</t>
    </r>
    <r>
      <rPr>
        <sz val="10"/>
        <rFont val="Meiryo UI"/>
        <family val="3"/>
        <charset val="128"/>
      </rPr>
      <t>、通</t>
    </r>
    <r>
      <rPr>
        <sz val="10"/>
        <rFont val="NSimSun"/>
        <family val="3"/>
        <charset val="134"/>
      </rPr>
      <t>胀</t>
    </r>
    <r>
      <rPr>
        <sz val="10"/>
        <rFont val="Meiryo UI"/>
        <family val="3"/>
        <charset val="128"/>
      </rPr>
      <t>、LP 激励、可持</t>
    </r>
    <r>
      <rPr>
        <sz val="10"/>
        <rFont val="NSimSun"/>
        <family val="3"/>
        <charset val="134"/>
      </rPr>
      <t>续</t>
    </r>
    <r>
      <rPr>
        <sz val="10"/>
        <rFont val="Meiryo UI"/>
        <family val="3"/>
        <charset val="128"/>
      </rPr>
      <t>性）</t>
    </r>
  </si>
  <si>
    <r>
      <t>种子</t>
    </r>
    <r>
      <rPr>
        <sz val="10"/>
        <rFont val="NSimSun"/>
        <family val="3"/>
        <charset val="134"/>
      </rPr>
      <t>轮</t>
    </r>
    <r>
      <rPr>
        <sz val="10"/>
        <rFont val="Meiryo UI"/>
        <family val="3"/>
        <charset val="128"/>
      </rPr>
      <t>路演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料（v1.0）</t>
    </r>
  </si>
  <si>
    <r>
      <t>条款清</t>
    </r>
    <r>
      <rPr>
        <sz val="10"/>
        <rFont val="NSimSun"/>
        <family val="3"/>
        <charset val="134"/>
      </rPr>
      <t>单</t>
    </r>
    <r>
      <rPr>
        <sz val="10"/>
        <rFont val="Meiryo UI"/>
        <family val="3"/>
        <charset val="128"/>
      </rPr>
      <t>与投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者</t>
    </r>
    <r>
      <rPr>
        <sz val="10"/>
        <rFont val="NSimSun"/>
        <family val="3"/>
        <charset val="134"/>
      </rPr>
      <t>简报</t>
    </r>
    <r>
      <rPr>
        <sz val="10"/>
        <rFont val="Meiryo UI"/>
        <family val="3"/>
        <charset val="128"/>
      </rPr>
      <t>材料</t>
    </r>
  </si>
  <si>
    <r>
      <t>商</t>
    </r>
    <r>
      <rPr>
        <sz val="10"/>
        <rFont val="NSimSun"/>
        <family val="3"/>
        <charset val="134"/>
      </rPr>
      <t>业计</t>
    </r>
    <r>
      <rPr>
        <sz val="10"/>
        <rFont val="Meiryo UI"/>
        <family val="3"/>
        <charset val="128"/>
      </rPr>
      <t>划</t>
    </r>
    <r>
      <rPr>
        <sz val="10"/>
        <rFont val="NSimSun"/>
        <family val="3"/>
        <charset val="134"/>
      </rPr>
      <t>书</t>
    </r>
    <r>
      <rPr>
        <sz val="10"/>
        <rFont val="Meiryo UI"/>
        <family val="3"/>
        <charset val="128"/>
      </rPr>
      <t>（v1.0）</t>
    </r>
  </si>
  <si>
    <r>
      <t>完整英文白皮</t>
    </r>
    <r>
      <rPr>
        <sz val="10"/>
        <rFont val="NSimSun"/>
        <family val="3"/>
        <charset val="134"/>
      </rPr>
      <t>书</t>
    </r>
  </si>
  <si>
    <r>
      <t>公开</t>
    </r>
    <r>
      <rPr>
        <sz val="10"/>
        <rFont val="NSimSun"/>
        <family val="3"/>
        <charset val="134"/>
      </rPr>
      <t>项</t>
    </r>
    <r>
      <rPr>
        <sz val="10"/>
        <rFont val="Meiryo UI"/>
        <family val="3"/>
        <charset val="128"/>
      </rPr>
      <t>目信息网站（非交互）</t>
    </r>
  </si>
  <si>
    <t>Twitter、Telegram、Discord 搭建</t>
  </si>
  <si>
    <r>
      <t>Arbitrum 集成与合作伙伴准</t>
    </r>
    <r>
      <rPr>
        <sz val="10"/>
        <rFont val="NSimSun"/>
        <family val="3"/>
        <charset val="134"/>
      </rPr>
      <t>备计</t>
    </r>
    <r>
      <rPr>
        <sz val="10"/>
        <rFont val="Meiryo UI"/>
        <family val="3"/>
        <charset val="128"/>
      </rPr>
      <t>划</t>
    </r>
  </si>
  <si>
    <r>
      <t>最</t>
    </r>
    <r>
      <rPr>
        <sz val="10"/>
        <rFont val="NSimSun"/>
        <family val="3"/>
        <charset val="134"/>
      </rPr>
      <t>终</t>
    </r>
    <r>
      <rPr>
        <sz val="10"/>
        <rFont val="Meiryo UI"/>
        <family val="3"/>
        <charset val="128"/>
      </rPr>
      <t>投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者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料包</t>
    </r>
  </si>
  <si>
    <r>
      <t>里程碑 3 —— 社区与生</t>
    </r>
    <r>
      <rPr>
        <sz val="10"/>
        <color theme="1"/>
        <rFont val="Microsoft YaHei"/>
        <family val="2"/>
        <charset val="134"/>
      </rPr>
      <t>态</t>
    </r>
    <r>
      <rPr>
        <sz val="10"/>
        <color theme="1"/>
        <rFont val="Noto Sans JP"/>
        <family val="3"/>
        <charset val="128"/>
      </rPr>
      <t>准</t>
    </r>
    <r>
      <rPr>
        <sz val="10"/>
        <color theme="1"/>
        <rFont val="Microsoft YaHei"/>
        <family val="2"/>
        <charset val="134"/>
      </rPr>
      <t>备</t>
    </r>
    <phoneticPr fontId="2"/>
  </si>
  <si>
    <r>
      <t>里程碑 3 —— 社区与生</t>
    </r>
    <r>
      <rPr>
        <sz val="10"/>
        <color rgb="FFC0C0C0"/>
        <rFont val="NSimSun"/>
        <family val="3"/>
        <charset val="134"/>
      </rPr>
      <t>态</t>
    </r>
    <r>
      <rPr>
        <sz val="10"/>
        <color rgb="FFC0C0C0"/>
        <rFont val="Meiryo UI"/>
        <family val="3"/>
        <charset val="128"/>
      </rPr>
      <t>准</t>
    </r>
    <r>
      <rPr>
        <sz val="10"/>
        <color rgb="FFC0C0C0"/>
        <rFont val="NSimSun"/>
        <family val="3"/>
        <charset val="134"/>
      </rPr>
      <t>备</t>
    </r>
  </si>
  <si>
    <r>
      <t>里程碑 4 —— 社区与生态准备</t>
    </r>
    <r>
      <rPr>
        <sz val="10"/>
        <color rgb="FFC0C0C0"/>
        <rFont val="NSimSun"/>
        <family val="3"/>
        <charset val="134"/>
      </rPr>
      <t/>
    </r>
  </si>
  <si>
    <r>
      <t>里程碑 5 —— 社区与生态准备</t>
    </r>
    <r>
      <rPr>
        <sz val="10"/>
        <color rgb="FFC0C0C0"/>
        <rFont val="NSimSun"/>
        <family val="3"/>
        <charset val="134"/>
      </rPr>
      <t/>
    </r>
  </si>
  <si>
    <r>
      <t>里程碑 6 —— 社区与生态准备</t>
    </r>
    <r>
      <rPr>
        <sz val="10"/>
        <color rgb="FFC0C0C0"/>
        <rFont val="NSimSun"/>
        <family val="3"/>
        <charset val="134"/>
      </rPr>
      <t/>
    </r>
  </si>
  <si>
    <r>
      <t>里程碑 7 —— 社区与生态准备</t>
    </r>
    <r>
      <rPr>
        <sz val="10"/>
        <color rgb="FFC0C0C0"/>
        <rFont val="NSimSun"/>
        <family val="3"/>
        <charset val="134"/>
      </rPr>
      <t/>
    </r>
  </si>
  <si>
    <t>其他</t>
    <phoneticPr fontId="2"/>
  </si>
  <si>
    <t>问答列表</t>
    <phoneticPr fontId="2"/>
  </si>
  <si>
    <r>
      <t>pre</t>
    </r>
    <r>
      <rPr>
        <sz val="10"/>
        <color rgb="FF000000"/>
        <rFont val="Noto Sans JP"/>
        <family val="3"/>
        <charset val="134"/>
      </rPr>
      <t>-seed</t>
    </r>
    <phoneticPr fontId="2"/>
  </si>
  <si>
    <t>pre-sed</t>
    <phoneticPr fontId="2"/>
  </si>
  <si>
    <t>技术</t>
    <phoneticPr fontId="2"/>
  </si>
  <si>
    <t>特纳</t>
    <phoneticPr fontId="2"/>
  </si>
  <si>
    <t>W1</t>
    <phoneticPr fontId="2"/>
  </si>
  <si>
    <t>W2</t>
    <phoneticPr fontId="2"/>
  </si>
  <si>
    <r>
      <t>JU2 架构 v1.0</t>
    </r>
    <r>
      <rPr>
        <sz val="10"/>
        <rFont val="Noto Sans JP"/>
        <family val="3"/>
        <charset val="134"/>
      </rPr>
      <t xml:space="preserve"> </t>
    </r>
    <r>
      <rPr>
        <sz val="10"/>
        <rFont val="Microsoft YaHei"/>
        <family val="2"/>
        <charset val="134"/>
      </rPr>
      <t>评审</t>
    </r>
    <phoneticPr fontId="2"/>
  </si>
  <si>
    <r>
      <t xml:space="preserve">DAO 治理草案（角色、参数、投票、DAO </t>
    </r>
    <r>
      <rPr>
        <sz val="10"/>
        <rFont val="NSimSun"/>
        <family val="3"/>
        <charset val="134"/>
      </rPr>
      <t>过</t>
    </r>
    <r>
      <rPr>
        <sz val="10"/>
        <rFont val="Meiryo UI"/>
        <family val="3"/>
        <charset val="128"/>
      </rPr>
      <t>渡</t>
    </r>
    <r>
      <rPr>
        <sz val="10"/>
        <rFont val="NSimSun"/>
        <family val="3"/>
        <charset val="134"/>
      </rPr>
      <t>计</t>
    </r>
    <r>
      <rPr>
        <sz val="10"/>
        <rFont val="Meiryo UI"/>
        <family val="3"/>
        <charset val="128"/>
      </rPr>
      <t>划）</t>
    </r>
    <r>
      <rPr>
        <sz val="10"/>
        <rFont val="NSimSun"/>
        <family val="3"/>
        <charset val="134"/>
      </rPr>
      <t xml:space="preserve"> 评审</t>
    </r>
    <phoneticPr fontId="2"/>
  </si>
  <si>
    <r>
      <t>安全框架</t>
    </r>
    <r>
      <rPr>
        <sz val="10"/>
        <rFont val="NSimSun"/>
        <family val="3"/>
        <charset val="134"/>
      </rPr>
      <t>蓝图</t>
    </r>
    <phoneticPr fontId="2"/>
  </si>
  <si>
    <r>
      <t>安全框架</t>
    </r>
    <r>
      <rPr>
        <sz val="10"/>
        <rFont val="NSimSun"/>
        <family val="3"/>
        <charset val="134"/>
      </rPr>
      <t>蓝图 评审</t>
    </r>
    <phoneticPr fontId="2"/>
  </si>
  <si>
    <r>
      <t>跨</t>
    </r>
    <r>
      <rPr>
        <sz val="10"/>
        <rFont val="NSimSun"/>
        <family val="3"/>
        <charset val="134"/>
      </rPr>
      <t>链</t>
    </r>
    <r>
      <rPr>
        <sz val="10"/>
        <rFont val="Meiryo UI"/>
        <family val="3"/>
        <charset val="128"/>
      </rPr>
      <t>研究</t>
    </r>
    <r>
      <rPr>
        <sz val="10"/>
        <rFont val="NSimSun"/>
        <family val="3"/>
        <charset val="134"/>
      </rPr>
      <t>报</t>
    </r>
    <r>
      <rPr>
        <sz val="10"/>
        <rFont val="Meiryo UI"/>
        <family val="3"/>
        <charset val="128"/>
      </rPr>
      <t xml:space="preserve">告（Arbitrum </t>
    </r>
    <r>
      <rPr>
        <sz val="10"/>
        <rFont val="Microsoft YaHei"/>
        <family val="2"/>
        <charset val="134"/>
      </rPr>
      <t>优</t>
    </r>
    <r>
      <rPr>
        <sz val="10"/>
        <rFont val="Meiryo UI"/>
        <family val="3"/>
        <charset val="128"/>
      </rPr>
      <t>先部署策略）</t>
    </r>
    <r>
      <rPr>
        <sz val="10"/>
        <rFont val="Microsoft YaHei"/>
        <family val="3"/>
        <charset val="134"/>
      </rPr>
      <t xml:space="preserve"> 评审</t>
    </r>
    <phoneticPr fontId="2"/>
  </si>
  <si>
    <r>
      <t xml:space="preserve">完整 Tokenomics </t>
    </r>
    <r>
      <rPr>
        <sz val="10"/>
        <rFont val="NSimSun"/>
        <family val="3"/>
        <charset val="134"/>
      </rPr>
      <t>验证报</t>
    </r>
    <r>
      <rPr>
        <sz val="10"/>
        <rFont val="Meiryo UI"/>
        <family val="3"/>
        <charset val="128"/>
      </rPr>
      <t>告</t>
    </r>
    <r>
      <rPr>
        <sz val="10"/>
        <rFont val="NSimSun"/>
        <family val="3"/>
        <charset val="134"/>
      </rPr>
      <t xml:space="preserve"> 评审</t>
    </r>
    <phoneticPr fontId="2"/>
  </si>
  <si>
    <r>
      <t>敏感性分析（供</t>
    </r>
    <r>
      <rPr>
        <sz val="10"/>
        <rFont val="NSimSun"/>
        <family val="3"/>
        <charset val="134"/>
      </rPr>
      <t>应</t>
    </r>
    <r>
      <rPr>
        <sz val="10"/>
        <rFont val="Meiryo UI"/>
        <family val="3"/>
        <charset val="128"/>
      </rPr>
      <t>、通</t>
    </r>
    <r>
      <rPr>
        <sz val="10"/>
        <rFont val="NSimSun"/>
        <family val="3"/>
        <charset val="134"/>
      </rPr>
      <t>胀</t>
    </r>
    <r>
      <rPr>
        <sz val="10"/>
        <rFont val="Meiryo UI"/>
        <family val="3"/>
        <charset val="128"/>
      </rPr>
      <t>、LP 激励、可持</t>
    </r>
    <r>
      <rPr>
        <sz val="10"/>
        <rFont val="NSimSun"/>
        <family val="3"/>
        <charset val="134"/>
      </rPr>
      <t>续</t>
    </r>
    <r>
      <rPr>
        <sz val="10"/>
        <rFont val="Meiryo UI"/>
        <family val="3"/>
        <charset val="128"/>
      </rPr>
      <t>性）</t>
    </r>
    <r>
      <rPr>
        <sz val="10"/>
        <rFont val="NSimSun"/>
        <family val="3"/>
        <charset val="134"/>
      </rPr>
      <t xml:space="preserve"> 评审</t>
    </r>
    <phoneticPr fontId="2"/>
  </si>
  <si>
    <r>
      <t>种子</t>
    </r>
    <r>
      <rPr>
        <sz val="10"/>
        <rFont val="NSimSun"/>
        <family val="3"/>
        <charset val="134"/>
      </rPr>
      <t>轮</t>
    </r>
    <r>
      <rPr>
        <sz val="10"/>
        <rFont val="Meiryo UI"/>
        <family val="3"/>
        <charset val="128"/>
      </rPr>
      <t>路演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料（v1.0）</t>
    </r>
    <r>
      <rPr>
        <sz val="10"/>
        <rFont val="NSimSun"/>
        <family val="3"/>
        <charset val="134"/>
      </rPr>
      <t xml:space="preserve"> 评审</t>
    </r>
    <phoneticPr fontId="2"/>
  </si>
  <si>
    <r>
      <t>条款清</t>
    </r>
    <r>
      <rPr>
        <sz val="10"/>
        <rFont val="NSimSun"/>
        <family val="3"/>
        <charset val="134"/>
      </rPr>
      <t>单</t>
    </r>
    <r>
      <rPr>
        <sz val="10"/>
        <rFont val="Meiryo UI"/>
        <family val="3"/>
        <charset val="128"/>
      </rPr>
      <t>与投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者</t>
    </r>
    <r>
      <rPr>
        <sz val="10"/>
        <rFont val="NSimSun"/>
        <family val="3"/>
        <charset val="134"/>
      </rPr>
      <t>简报</t>
    </r>
    <r>
      <rPr>
        <sz val="10"/>
        <rFont val="Meiryo UI"/>
        <family val="3"/>
        <charset val="128"/>
      </rPr>
      <t>材料</t>
    </r>
    <r>
      <rPr>
        <sz val="10"/>
        <rFont val="NSimSun"/>
        <family val="3"/>
        <charset val="134"/>
      </rPr>
      <t xml:space="preserve"> 评审</t>
    </r>
    <phoneticPr fontId="2"/>
  </si>
  <si>
    <r>
      <t>商</t>
    </r>
    <r>
      <rPr>
        <sz val="10"/>
        <rFont val="NSimSun"/>
        <family val="3"/>
        <charset val="134"/>
      </rPr>
      <t>业计</t>
    </r>
    <r>
      <rPr>
        <sz val="10"/>
        <rFont val="Meiryo UI"/>
        <family val="3"/>
        <charset val="128"/>
      </rPr>
      <t>划</t>
    </r>
    <r>
      <rPr>
        <sz val="10"/>
        <rFont val="NSimSun"/>
        <family val="3"/>
        <charset val="134"/>
      </rPr>
      <t>书</t>
    </r>
    <r>
      <rPr>
        <sz val="10"/>
        <rFont val="Meiryo UI"/>
        <family val="3"/>
        <charset val="128"/>
      </rPr>
      <t>（v1.0）</t>
    </r>
    <r>
      <rPr>
        <sz val="10"/>
        <rFont val="NSimSun"/>
        <family val="3"/>
        <charset val="134"/>
      </rPr>
      <t xml:space="preserve"> 评审</t>
    </r>
    <phoneticPr fontId="2"/>
  </si>
  <si>
    <r>
      <t>完整英文白皮</t>
    </r>
    <r>
      <rPr>
        <sz val="10"/>
        <rFont val="NSimSun"/>
        <family val="3"/>
        <charset val="134"/>
      </rPr>
      <t>书 评审</t>
    </r>
    <phoneticPr fontId="2"/>
  </si>
  <si>
    <r>
      <t>公开</t>
    </r>
    <r>
      <rPr>
        <sz val="10"/>
        <rFont val="NSimSun"/>
        <family val="3"/>
        <charset val="134"/>
      </rPr>
      <t>项</t>
    </r>
    <r>
      <rPr>
        <sz val="10"/>
        <rFont val="Meiryo UI"/>
        <family val="3"/>
        <charset val="128"/>
      </rPr>
      <t>目信息网站（非交互）</t>
    </r>
    <r>
      <rPr>
        <sz val="10"/>
        <rFont val="NSimSun"/>
        <family val="3"/>
        <charset val="134"/>
      </rPr>
      <t xml:space="preserve"> 评审</t>
    </r>
    <phoneticPr fontId="2"/>
  </si>
  <si>
    <r>
      <t>Twitter、Telegram、Discord 搭建</t>
    </r>
    <r>
      <rPr>
        <sz val="10"/>
        <rFont val="Microsoft YaHei UI"/>
        <family val="3"/>
        <charset val="134"/>
      </rPr>
      <t xml:space="preserve"> 评审</t>
    </r>
    <phoneticPr fontId="2"/>
  </si>
  <si>
    <r>
      <t>Arbitrum 集成与合作伙伴准</t>
    </r>
    <r>
      <rPr>
        <sz val="10"/>
        <rFont val="NSimSun"/>
        <family val="3"/>
        <charset val="134"/>
      </rPr>
      <t>备计</t>
    </r>
    <r>
      <rPr>
        <sz val="10"/>
        <rFont val="Meiryo UI"/>
        <family val="3"/>
        <charset val="128"/>
      </rPr>
      <t>划</t>
    </r>
    <r>
      <rPr>
        <sz val="10"/>
        <rFont val="NSimSun"/>
        <family val="3"/>
        <charset val="134"/>
      </rPr>
      <t xml:space="preserve"> 评审</t>
    </r>
    <phoneticPr fontId="2"/>
  </si>
  <si>
    <r>
      <t>最</t>
    </r>
    <r>
      <rPr>
        <sz val="10"/>
        <rFont val="NSimSun"/>
        <family val="3"/>
        <charset val="134"/>
      </rPr>
      <t>终</t>
    </r>
    <r>
      <rPr>
        <sz val="10"/>
        <rFont val="Meiryo UI"/>
        <family val="3"/>
        <charset val="128"/>
      </rPr>
      <t>投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者</t>
    </r>
    <r>
      <rPr>
        <sz val="10"/>
        <rFont val="NSimSun"/>
        <family val="3"/>
        <charset val="134"/>
      </rPr>
      <t>资</t>
    </r>
    <r>
      <rPr>
        <sz val="10"/>
        <rFont val="Meiryo UI"/>
        <family val="3"/>
        <charset val="128"/>
      </rPr>
      <t>料包</t>
    </r>
    <r>
      <rPr>
        <sz val="10"/>
        <rFont val="NSimSun"/>
        <family val="3"/>
        <charset val="134"/>
      </rPr>
      <t xml:space="preserve"> 评审</t>
    </r>
    <phoneticPr fontId="2"/>
  </si>
  <si>
    <r>
      <t>需求</t>
    </r>
    <r>
      <rPr>
        <sz val="10"/>
        <color indexed="22"/>
        <rFont val="NSimSun"/>
        <family val="3"/>
        <charset val="134"/>
      </rPr>
      <t>调</t>
    </r>
    <r>
      <rPr>
        <sz val="10"/>
        <color indexed="22"/>
        <rFont val="Meiryo UI"/>
        <family val="3"/>
        <charset val="128"/>
      </rPr>
      <t>研</t>
    </r>
  </si>
  <si>
    <r>
      <rPr>
        <sz val="10"/>
        <rFont val="Microsoft YaHei"/>
        <family val="2"/>
        <charset val="134"/>
      </rPr>
      <t>合约功能调</t>
    </r>
    <r>
      <rPr>
        <sz val="10"/>
        <rFont val="Noto Sans JP"/>
        <family val="3"/>
        <charset val="128"/>
      </rPr>
      <t>研</t>
    </r>
    <phoneticPr fontId="2"/>
  </si>
  <si>
    <t>合约功能调研</t>
    <phoneticPr fontId="2"/>
  </si>
  <si>
    <t>合约功能调研</t>
    <phoneticPr fontId="2"/>
  </si>
  <si>
    <t>合约功能清单</t>
    <phoneticPr fontId="2"/>
  </si>
  <si>
    <r>
      <t>合</t>
    </r>
    <r>
      <rPr>
        <sz val="10"/>
        <rFont val="Microsoft YaHei"/>
        <family val="2"/>
        <charset val="134"/>
      </rPr>
      <t>约</t>
    </r>
    <r>
      <rPr>
        <sz val="10"/>
        <rFont val="Noto Sans JP"/>
        <family val="3"/>
        <charset val="128"/>
      </rPr>
      <t>功能清</t>
    </r>
    <r>
      <rPr>
        <sz val="10"/>
        <rFont val="Microsoft YaHei"/>
        <family val="2"/>
        <charset val="134"/>
      </rPr>
      <t>单</t>
    </r>
    <r>
      <rPr>
        <sz val="10"/>
        <rFont val="Microsoft YaHei"/>
        <family val="3"/>
        <charset val="134"/>
      </rPr>
      <t xml:space="preserve"> 评审</t>
    </r>
    <phoneticPr fontId="2"/>
  </si>
  <si>
    <t>合约详细设计</t>
    <phoneticPr fontId="2"/>
  </si>
  <si>
    <r>
      <t>合</t>
    </r>
    <r>
      <rPr>
        <sz val="10"/>
        <rFont val="Microsoft YaHei"/>
        <family val="2"/>
        <charset val="134"/>
      </rPr>
      <t>约详细设计</t>
    </r>
    <r>
      <rPr>
        <sz val="10"/>
        <rFont val="Microsoft YaHei"/>
        <family val="3"/>
        <charset val="134"/>
      </rPr>
      <t xml:space="preserve"> 评审</t>
    </r>
    <phoneticPr fontId="2"/>
  </si>
  <si>
    <t>合约开发环境搭建</t>
    <phoneticPr fontId="2"/>
  </si>
  <si>
    <t>合约开发环境搭建</t>
    <phoneticPr fontId="2"/>
  </si>
  <si>
    <t>搭建</t>
    <phoneticPr fontId="2"/>
  </si>
  <si>
    <t>LM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</si>
</sst>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_);[Red]\(0.0\)"/>
    <numFmt numFmtId="177" formatCode="0.00_);[Red]\(0.00\)"/>
    <numFmt numFmtId="178" formatCode="mm&quot;月&quot;dd&quot;日&quot;;@"/>
    <numFmt numFmtId="180" formatCode="0.00_ "/>
    <numFmt numFmtId="181" formatCode="000"/>
    <numFmt numFmtId="182" formatCode="m/d;@"/>
    <numFmt numFmtId="184" formatCode="#,##0_ ;[Red]\-#,##0\ "/>
    <numFmt numFmtId="185" formatCode="#,##0;[Red]#,##0"/>
    <numFmt numFmtId="186" formatCode="0.00;[Red]0.00"/>
  </numFmts>
  <fonts count="69">
    <font>
      <sz val="11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0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indexed="8"/>
      <name val="ＭＳ Ｐゴシック"/>
      <family val="3"/>
      <charset val="128"/>
    </font>
    <font>
      <sz val="10"/>
      <color indexed="8"/>
      <name val="Meiryo UI"/>
      <family val="3"/>
      <charset val="128"/>
    </font>
    <font>
      <sz val="10"/>
      <color indexed="22"/>
      <name val="Meiryo UI"/>
      <family val="3"/>
      <charset val="128"/>
    </font>
    <font>
      <sz val="10"/>
      <color rgb="FFC0C0C0"/>
      <name val="Meiryo UI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rgb="FFFF0000"/>
      <name val="Meiryo UI"/>
      <family val="3"/>
      <charset val="128"/>
    </font>
    <font>
      <sz val="10"/>
      <name val="Microsoft YaHei"/>
      <family val="3"/>
      <charset val="134"/>
    </font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name val="Noto Sans JP"/>
      <family val="3"/>
      <charset val="134"/>
    </font>
    <font>
      <sz val="11"/>
      <color rgb="FFFF0000"/>
      <name val="游ゴシック"/>
      <family val="2"/>
      <charset val="128"/>
      <scheme val="minor"/>
    </font>
    <font>
      <sz val="10"/>
      <color rgb="FF0000FF"/>
      <name val="Meiryo UI"/>
      <family val="3"/>
      <charset val="128"/>
    </font>
    <font>
      <sz val="10"/>
      <name val="ＭＳ ゴシック"/>
      <family val="3"/>
      <charset val="128"/>
    </font>
    <font>
      <sz val="10"/>
      <color theme="5" tint="0.59999389629810485"/>
      <name val="ＭＳ ゴシック"/>
      <family val="3"/>
      <charset val="128"/>
    </font>
    <font>
      <sz val="14"/>
      <color theme="1"/>
      <name val="ＭＳ ゴシック"/>
      <family val="3"/>
      <charset val="128"/>
    </font>
    <font>
      <sz val="14"/>
      <color rgb="FFFF0000"/>
      <name val="ＭＳ ゴシック"/>
      <family val="3"/>
      <charset val="128"/>
    </font>
    <font>
      <strike/>
      <sz val="10"/>
      <name val="ＭＳ ゴシック"/>
      <family val="3"/>
      <charset val="128"/>
    </font>
    <font>
      <b/>
      <strike/>
      <sz val="10"/>
      <name val="ＭＳ ゴシック"/>
      <family val="3"/>
      <charset val="128"/>
    </font>
    <font>
      <sz val="11"/>
      <color theme="5" tint="0.59999389629810485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color rgb="FF7030A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6"/>
      <color theme="1"/>
      <name val="ＭＳ ゴシック"/>
      <family val="3"/>
      <charset val="128"/>
    </font>
    <font>
      <sz val="1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trike/>
      <sz val="10"/>
      <color rgb="FFFF0000"/>
      <name val="游ゴシック"/>
      <family val="3"/>
      <charset val="128"/>
      <scheme val="minor"/>
    </font>
    <font>
      <b/>
      <sz val="10"/>
      <color rgb="FFFF0000"/>
      <name val="ＭＳ ゴシック"/>
      <family val="3"/>
      <charset val="128"/>
    </font>
    <font>
      <b/>
      <sz val="10"/>
      <color rgb="FF6600FF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trike/>
      <sz val="10"/>
      <name val="游ゴシック"/>
      <family val="3"/>
      <charset val="128"/>
      <scheme val="minor"/>
    </font>
    <font>
      <sz val="1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color rgb="FF0070C0"/>
      <name val="游ゴシック"/>
      <family val="3"/>
      <charset val="128"/>
      <scheme val="minor"/>
    </font>
    <font>
      <sz val="12"/>
      <name val="ＭＳ ゴシック"/>
      <family val="3"/>
      <charset val="128"/>
    </font>
    <font>
      <b/>
      <sz val="10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trike/>
      <sz val="9"/>
      <color indexed="81"/>
      <name val="MS P ゴシック"/>
      <family val="3"/>
      <charset val="128"/>
    </font>
    <font>
      <b/>
      <sz val="8"/>
      <color indexed="81"/>
      <name val="MS P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0"/>
      <name val="NSimSun"/>
      <family val="3"/>
      <charset val="134"/>
    </font>
    <font>
      <sz val="10"/>
      <name val="Noto Sans JP"/>
      <family val="3"/>
      <charset val="128"/>
    </font>
    <font>
      <b/>
      <sz val="10"/>
      <name val="Noto Sans JP"/>
      <family val="3"/>
      <charset val="134"/>
    </font>
    <font>
      <b/>
      <sz val="10"/>
      <name val="Meiryo UI"/>
      <family val="3"/>
      <charset val="134"/>
    </font>
    <font>
      <b/>
      <sz val="10"/>
      <name val="Microsoft YaHei"/>
      <family val="2"/>
      <charset val="134"/>
    </font>
    <font>
      <b/>
      <sz val="10"/>
      <name val="Meiryo UI"/>
      <family val="2"/>
      <charset val="134"/>
    </font>
    <font>
      <sz val="10"/>
      <name val="Microsoft YaHei"/>
      <family val="2"/>
      <charset val="134"/>
    </font>
    <font>
      <sz val="10"/>
      <color rgb="FFC0C0C0"/>
      <name val="Noto Sans JP"/>
      <family val="3"/>
      <charset val="134"/>
    </font>
    <font>
      <sz val="10"/>
      <name val="Malgun Gothic Semilight"/>
      <family val="3"/>
      <charset val="129"/>
    </font>
    <font>
      <sz val="10"/>
      <color rgb="FFC0C0C0"/>
      <name val="NSimSun"/>
      <family val="3"/>
      <charset val="134"/>
    </font>
    <font>
      <sz val="10"/>
      <color theme="1"/>
      <name val="Noto Sans JP"/>
      <family val="3"/>
      <charset val="134"/>
    </font>
    <font>
      <sz val="10"/>
      <color theme="1"/>
      <name val="NSimSun"/>
      <family val="3"/>
      <charset val="134"/>
    </font>
    <font>
      <sz val="10"/>
      <color theme="1"/>
      <name val="Noto Sans JP"/>
      <family val="3"/>
      <charset val="128"/>
    </font>
    <font>
      <sz val="10"/>
      <color theme="1"/>
      <name val="Microsoft YaHei"/>
      <family val="2"/>
      <charset val="134"/>
    </font>
    <font>
      <sz val="10"/>
      <color theme="1"/>
      <name val="Microsoft YaHei"/>
      <family val="3"/>
      <charset val="134"/>
    </font>
    <font>
      <sz val="10"/>
      <color rgb="FF000000"/>
      <name val="Noto Sans JP"/>
      <family val="3"/>
      <charset val="134"/>
    </font>
    <font>
      <sz val="10"/>
      <name val="Microsoft YaHei UI"/>
      <family val="3"/>
      <charset val="134"/>
    </font>
    <font>
      <sz val="10"/>
      <color indexed="22"/>
      <name val="NSimSun"/>
      <family val="3"/>
      <charset val="134"/>
    </font>
    <font>
      <sz val="10"/>
      <name val="Noto Sans JP"/>
      <family val="2"/>
      <charset val="134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Up="1"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Up="1"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Up="1">
      <left/>
      <right/>
      <top style="thin">
        <color indexed="64"/>
      </top>
      <bottom style="thin">
        <color indexed="64"/>
      </bottom>
      <diagonal style="medium">
        <color indexed="64"/>
      </diagonal>
    </border>
    <border diagonalUp="1"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Up="1">
      <left/>
      <right style="dotted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Up="1">
      <left style="dotted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0" fontId="7" fillId="0" borderId="0">
      <alignment vertical="center"/>
    </xf>
    <xf numFmtId="0" fontId="3" fillId="0" borderId="0"/>
    <xf numFmtId="0" fontId="8" fillId="0" borderId="0"/>
    <xf numFmtId="0" fontId="8" fillId="0" borderId="0"/>
    <xf numFmtId="0" fontId="9" fillId="0" borderId="0">
      <alignment vertical="center"/>
    </xf>
    <xf numFmtId="0" fontId="17" fillId="0" borderId="0">
      <alignment vertical="center"/>
    </xf>
  </cellStyleXfs>
  <cellXfs count="378">
    <xf numFmtId="0" fontId="0" fillId="0" borderId="0" xfId="0">
      <alignment vertical="center"/>
    </xf>
    <xf numFmtId="0" fontId="6" fillId="0" borderId="0" xfId="3" applyFont="1">
      <alignment vertical="center"/>
    </xf>
    <xf numFmtId="0" fontId="6" fillId="0" borderId="2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 wrapText="1"/>
    </xf>
    <xf numFmtId="9" fontId="6" fillId="0" borderId="2" xfId="3" applyNumberFormat="1" applyFont="1" applyBorder="1" applyAlignment="1">
      <alignment horizontal="center" vertical="center"/>
    </xf>
    <xf numFmtId="177" fontId="6" fillId="0" borderId="0" xfId="3" applyNumberFormat="1" applyFont="1" applyAlignment="1">
      <alignment horizontal="center" vertical="center"/>
    </xf>
    <xf numFmtId="178" fontId="6" fillId="0" borderId="0" xfId="3" applyNumberFormat="1" applyFont="1">
      <alignment vertical="center"/>
    </xf>
    <xf numFmtId="9" fontId="6" fillId="0" borderId="0" xfId="3" applyNumberFormat="1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6" fillId="0" borderId="2" xfId="3" applyNumberFormat="1" applyFont="1" applyBorder="1" applyAlignment="1">
      <alignment horizontal="left" vertical="center" wrapText="1"/>
    </xf>
    <xf numFmtId="176" fontId="6" fillId="0" borderId="0" xfId="3" applyNumberFormat="1" applyFont="1" applyAlignment="1">
      <alignment horizontal="center" vertical="center" wrapText="1"/>
    </xf>
    <xf numFmtId="14" fontId="6" fillId="0" borderId="2" xfId="5" applyNumberFormat="1" applyFont="1" applyBorder="1" applyAlignment="1">
      <alignment horizontal="center" vertical="center"/>
    </xf>
    <xf numFmtId="0" fontId="10" fillId="0" borderId="2" xfId="3" applyFont="1" applyBorder="1" applyAlignment="1">
      <alignment horizontal="center" vertical="center"/>
    </xf>
    <xf numFmtId="0" fontId="10" fillId="0" borderId="2" xfId="3" applyFont="1" applyBorder="1" applyAlignment="1">
      <alignment horizontal="left" vertical="center" wrapText="1"/>
    </xf>
    <xf numFmtId="0" fontId="11" fillId="0" borderId="2" xfId="3" applyFont="1" applyBorder="1" applyAlignment="1">
      <alignment horizontal="center" vertical="center"/>
    </xf>
    <xf numFmtId="0" fontId="11" fillId="0" borderId="2" xfId="3" applyFont="1" applyBorder="1" applyAlignment="1">
      <alignment horizontal="left" vertical="center" wrapText="1"/>
    </xf>
    <xf numFmtId="0" fontId="11" fillId="0" borderId="2" xfId="3" applyFont="1" applyBorder="1" applyAlignment="1">
      <alignment horizontal="left" vertical="center"/>
    </xf>
    <xf numFmtId="0" fontId="11" fillId="0" borderId="4" xfId="3" applyFont="1" applyBorder="1" applyAlignment="1">
      <alignment horizontal="left" vertical="center"/>
    </xf>
    <xf numFmtId="0" fontId="6" fillId="0" borderId="3" xfId="3" applyFont="1" applyBorder="1" applyAlignment="1">
      <alignment horizontal="left" vertical="center"/>
    </xf>
    <xf numFmtId="0" fontId="6" fillId="0" borderId="19" xfId="3" applyFont="1" applyBorder="1" applyAlignment="1">
      <alignment horizontal="left" vertical="center"/>
    </xf>
    <xf numFmtId="0" fontId="10" fillId="0" borderId="19" xfId="3" applyFont="1" applyBorder="1" applyAlignment="1">
      <alignment horizontal="left" vertical="center"/>
    </xf>
    <xf numFmtId="0" fontId="11" fillId="0" borderId="19" xfId="3" applyFont="1" applyBorder="1" applyAlignment="1">
      <alignment horizontal="left" vertical="center"/>
    </xf>
    <xf numFmtId="0" fontId="12" fillId="0" borderId="19" xfId="3" applyFont="1" applyBorder="1" applyAlignment="1">
      <alignment horizontal="left" vertical="center"/>
    </xf>
    <xf numFmtId="0" fontId="6" fillId="0" borderId="2" xfId="3" applyFont="1" applyBorder="1" applyAlignment="1">
      <alignment horizontal="center" vertical="center" wrapText="1"/>
    </xf>
    <xf numFmtId="177" fontId="6" fillId="0" borderId="2" xfId="3" applyNumberFormat="1" applyFont="1" applyBorder="1" applyAlignment="1">
      <alignment horizontal="center" vertical="center"/>
    </xf>
    <xf numFmtId="14" fontId="6" fillId="0" borderId="2" xfId="3" applyNumberFormat="1" applyFont="1" applyBorder="1" applyAlignment="1">
      <alignment horizontal="left" vertical="center" wrapText="1"/>
    </xf>
    <xf numFmtId="176" fontId="15" fillId="0" borderId="2" xfId="3" applyNumberFormat="1" applyFont="1" applyBorder="1" applyAlignment="1">
      <alignment horizontal="left" vertical="center" wrapText="1"/>
    </xf>
    <xf numFmtId="0" fontId="6" fillId="0" borderId="2" xfId="3" applyFont="1" applyBorder="1">
      <alignment vertical="center"/>
    </xf>
    <xf numFmtId="0" fontId="0" fillId="0" borderId="2" xfId="0" applyBorder="1">
      <alignment vertical="center"/>
    </xf>
    <xf numFmtId="0" fontId="5" fillId="2" borderId="0" xfId="3" applyFont="1" applyFill="1" applyAlignment="1">
      <alignment horizontal="center" vertical="center" wrapText="1"/>
    </xf>
    <xf numFmtId="0" fontId="5" fillId="3" borderId="18" xfId="3" applyFont="1" applyFill="1" applyBorder="1" applyAlignment="1">
      <alignment horizontal="center" vertical="center"/>
    </xf>
    <xf numFmtId="0" fontId="5" fillId="3" borderId="8" xfId="3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0" xfId="0" applyFill="1" applyAlignment="1">
      <alignment horizontal="centerContinuous" vertical="center"/>
    </xf>
    <xf numFmtId="0" fontId="0" fillId="3" borderId="11" xfId="0" applyFill="1" applyBorder="1" applyAlignment="1">
      <alignment horizontal="centerContinuous" vertical="center"/>
    </xf>
    <xf numFmtId="17" fontId="6" fillId="0" borderId="2" xfId="3" applyNumberFormat="1" applyFont="1" applyBorder="1">
      <alignment vertical="center"/>
    </xf>
    <xf numFmtId="177" fontId="15" fillId="0" borderId="2" xfId="3" applyNumberFormat="1" applyFont="1" applyBorder="1" applyAlignment="1">
      <alignment horizontal="center" vertical="center"/>
    </xf>
    <xf numFmtId="182" fontId="0" fillId="0" borderId="0" xfId="0" applyNumberFormat="1" applyAlignment="1">
      <alignment vertical="center" textRotation="180" wrapText="1"/>
    </xf>
    <xf numFmtId="182" fontId="0" fillId="7" borderId="0" xfId="0" applyNumberFormat="1" applyFill="1" applyAlignment="1">
      <alignment vertical="center" textRotation="180" wrapText="1"/>
    </xf>
    <xf numFmtId="0" fontId="0" fillId="7" borderId="0" xfId="0" applyFill="1">
      <alignment vertical="center"/>
    </xf>
    <xf numFmtId="0" fontId="0" fillId="6" borderId="0" xfId="0" applyFill="1">
      <alignment vertical="center"/>
    </xf>
    <xf numFmtId="0" fontId="20" fillId="0" borderId="0" xfId="0" applyFont="1">
      <alignment vertical="center"/>
    </xf>
    <xf numFmtId="9" fontId="15" fillId="0" borderId="2" xfId="3" applyNumberFormat="1" applyFont="1" applyBorder="1" applyAlignment="1">
      <alignment horizontal="center" vertical="center"/>
    </xf>
    <xf numFmtId="0" fontId="15" fillId="0" borderId="2" xfId="3" applyFont="1" applyBorder="1" applyAlignment="1">
      <alignment horizontal="center" vertical="center"/>
    </xf>
    <xf numFmtId="14" fontId="15" fillId="0" borderId="2" xfId="5" applyNumberFormat="1" applyFont="1" applyBorder="1" applyAlignment="1">
      <alignment horizontal="center" vertical="center"/>
    </xf>
    <xf numFmtId="14" fontId="15" fillId="0" borderId="2" xfId="3" applyNumberFormat="1" applyFont="1" applyBorder="1" applyAlignment="1">
      <alignment horizontal="left" vertical="center" wrapText="1"/>
    </xf>
    <xf numFmtId="0" fontId="21" fillId="0" borderId="2" xfId="3" applyFont="1" applyBorder="1">
      <alignment vertical="center"/>
    </xf>
    <xf numFmtId="0" fontId="22" fillId="0" borderId="0" xfId="1" applyFont="1" applyAlignment="1" applyProtection="1">
      <alignment vertical="top"/>
      <protection hidden="1"/>
    </xf>
    <xf numFmtId="0" fontId="22" fillId="0" borderId="0" xfId="1" applyFont="1" applyAlignment="1" applyProtection="1">
      <alignment horizontal="center" vertical="top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0" fontId="22" fillId="9" borderId="1" xfId="1" applyFont="1" applyFill="1" applyBorder="1" applyAlignment="1" applyProtection="1">
      <alignment vertical="top"/>
      <protection hidden="1"/>
    </xf>
    <xf numFmtId="49" fontId="24" fillId="11" borderId="1" xfId="1" applyNumberFormat="1" applyFont="1" applyFill="1" applyBorder="1" applyAlignment="1">
      <alignment horizontal="center" vertical="top"/>
    </xf>
    <xf numFmtId="49" fontId="24" fillId="0" borderId="20" xfId="1" applyNumberFormat="1" applyFont="1" applyBorder="1" applyAlignment="1">
      <alignment horizontal="center" vertical="top"/>
    </xf>
    <xf numFmtId="49" fontId="24" fillId="0" borderId="21" xfId="1" applyNumberFormat="1" applyFont="1" applyBorder="1" applyAlignment="1">
      <alignment horizontal="center" vertical="top"/>
    </xf>
    <xf numFmtId="49" fontId="24" fillId="11" borderId="20" xfId="1" applyNumberFormat="1" applyFont="1" applyFill="1" applyBorder="1" applyAlignment="1">
      <alignment horizontal="center" vertical="top"/>
    </xf>
    <xf numFmtId="49" fontId="24" fillId="11" borderId="17" xfId="1" applyNumberFormat="1" applyFont="1" applyFill="1" applyBorder="1" applyAlignment="1">
      <alignment horizontal="center" vertical="top"/>
    </xf>
    <xf numFmtId="49" fontId="24" fillId="11" borderId="21" xfId="1" applyNumberFormat="1" applyFont="1" applyFill="1" applyBorder="1" applyAlignment="1">
      <alignment horizontal="center" vertical="top"/>
    </xf>
    <xf numFmtId="49" fontId="24" fillId="11" borderId="22" xfId="1" applyNumberFormat="1" applyFont="1" applyFill="1" applyBorder="1" applyAlignment="1">
      <alignment horizontal="center" vertical="top"/>
    </xf>
    <xf numFmtId="49" fontId="24" fillId="0" borderId="22" xfId="1" applyNumberFormat="1" applyFont="1" applyBorder="1" applyAlignment="1">
      <alignment horizontal="center" vertical="top"/>
    </xf>
    <xf numFmtId="49" fontId="24" fillId="0" borderId="23" xfId="1" applyNumberFormat="1" applyFont="1" applyBorder="1" applyAlignment="1">
      <alignment horizontal="center" vertical="top"/>
    </xf>
    <xf numFmtId="49" fontId="24" fillId="11" borderId="23" xfId="1" applyNumberFormat="1" applyFont="1" applyFill="1" applyBorder="1" applyAlignment="1">
      <alignment horizontal="center" vertical="top"/>
    </xf>
    <xf numFmtId="49" fontId="24" fillId="11" borderId="24" xfId="1" applyNumberFormat="1" applyFont="1" applyFill="1" applyBorder="1" applyAlignment="1">
      <alignment horizontal="center" vertical="top"/>
    </xf>
    <xf numFmtId="49" fontId="24" fillId="0" borderId="17" xfId="1" applyNumberFormat="1" applyFont="1" applyBorder="1" applyAlignment="1">
      <alignment horizontal="center" vertical="top"/>
    </xf>
    <xf numFmtId="49" fontId="24" fillId="4" borderId="22" xfId="1" applyNumberFormat="1" applyFont="1" applyFill="1" applyBorder="1" applyAlignment="1">
      <alignment horizontal="center" vertical="top"/>
    </xf>
    <xf numFmtId="49" fontId="24" fillId="4" borderId="21" xfId="1" applyNumberFormat="1" applyFont="1" applyFill="1" applyBorder="1" applyAlignment="1">
      <alignment horizontal="center" vertical="top"/>
    </xf>
    <xf numFmtId="49" fontId="24" fillId="0" borderId="1" xfId="1" applyNumberFormat="1" applyFont="1" applyBorder="1" applyAlignment="1">
      <alignment horizontal="center" vertical="top"/>
    </xf>
    <xf numFmtId="49" fontId="24" fillId="4" borderId="20" xfId="1" applyNumberFormat="1" applyFont="1" applyFill="1" applyBorder="1" applyAlignment="1">
      <alignment horizontal="center" vertical="top"/>
    </xf>
    <xf numFmtId="49" fontId="25" fillId="11" borderId="1" xfId="1" applyNumberFormat="1" applyFont="1" applyFill="1" applyBorder="1" applyAlignment="1">
      <alignment horizontal="center" vertical="top"/>
    </xf>
    <xf numFmtId="49" fontId="24" fillId="12" borderId="1" xfId="1" applyNumberFormat="1" applyFont="1" applyFill="1" applyBorder="1" applyAlignment="1">
      <alignment horizontal="center" vertical="top"/>
    </xf>
    <xf numFmtId="0" fontId="22" fillId="9" borderId="18" xfId="1" applyFont="1" applyFill="1" applyBorder="1" applyAlignment="1" applyProtection="1">
      <alignment horizontal="center" vertical="top"/>
      <protection hidden="1"/>
    </xf>
    <xf numFmtId="0" fontId="22" fillId="9" borderId="17" xfId="1" applyFont="1" applyFill="1" applyBorder="1" applyAlignment="1" applyProtection="1">
      <alignment horizontal="center" vertical="top"/>
      <protection hidden="1"/>
    </xf>
    <xf numFmtId="181" fontId="22" fillId="0" borderId="0" xfId="1" applyNumberFormat="1" applyFont="1" applyAlignment="1" applyProtection="1">
      <alignment vertical="top"/>
      <protection hidden="1"/>
    </xf>
    <xf numFmtId="0" fontId="22" fillId="13" borderId="0" xfId="1" applyFont="1" applyFill="1" applyAlignment="1" applyProtection="1">
      <alignment vertical="top"/>
      <protection hidden="1"/>
    </xf>
    <xf numFmtId="0" fontId="22" fillId="14" borderId="0" xfId="1" applyFont="1" applyFill="1" applyAlignment="1" applyProtection="1">
      <alignment horizontal="center" vertical="center"/>
      <protection hidden="1"/>
    </xf>
    <xf numFmtId="0" fontId="26" fillId="4" borderId="0" xfId="1" applyFont="1" applyFill="1" applyProtection="1">
      <alignment vertical="center"/>
      <protection hidden="1"/>
    </xf>
    <xf numFmtId="0" fontId="27" fillId="4" borderId="0" xfId="1" applyFont="1" applyFill="1" applyAlignment="1" applyProtection="1">
      <alignment horizontal="center" vertical="center"/>
      <protection hidden="1"/>
    </xf>
    <xf numFmtId="0" fontId="27" fillId="4" borderId="0" xfId="1" applyFont="1" applyFill="1" applyAlignment="1" applyProtection="1">
      <alignment horizontal="left" vertical="center"/>
      <protection hidden="1"/>
    </xf>
    <xf numFmtId="0" fontId="26" fillId="4" borderId="0" xfId="1" applyFont="1" applyFill="1" applyAlignment="1" applyProtection="1">
      <alignment horizontal="center" vertical="center"/>
      <protection hidden="1"/>
    </xf>
    <xf numFmtId="0" fontId="22" fillId="9" borderId="5" xfId="1" applyFont="1" applyFill="1" applyBorder="1" applyAlignment="1" applyProtection="1">
      <alignment vertical="top"/>
      <protection hidden="1"/>
    </xf>
    <xf numFmtId="49" fontId="24" fillId="11" borderId="5" xfId="1" applyNumberFormat="1" applyFont="1" applyFill="1" applyBorder="1" applyAlignment="1">
      <alignment horizontal="center" vertical="top"/>
    </xf>
    <xf numFmtId="49" fontId="24" fillId="0" borderId="31" xfId="1" applyNumberFormat="1" applyFont="1" applyBorder="1" applyAlignment="1">
      <alignment horizontal="center" vertical="top"/>
    </xf>
    <xf numFmtId="49" fontId="24" fillId="0" borderId="32" xfId="1" applyNumberFormat="1" applyFont="1" applyBorder="1" applyAlignment="1">
      <alignment horizontal="center" vertical="top"/>
    </xf>
    <xf numFmtId="49" fontId="24" fillId="11" borderId="31" xfId="1" applyNumberFormat="1" applyFont="1" applyFill="1" applyBorder="1" applyAlignment="1">
      <alignment horizontal="center" vertical="top"/>
    </xf>
    <xf numFmtId="49" fontId="24" fillId="11" borderId="0" xfId="1" applyNumberFormat="1" applyFont="1" applyFill="1" applyAlignment="1">
      <alignment horizontal="center" vertical="top"/>
    </xf>
    <xf numFmtId="49" fontId="24" fillId="11" borderId="32" xfId="1" applyNumberFormat="1" applyFont="1" applyFill="1" applyBorder="1" applyAlignment="1">
      <alignment horizontal="center" vertical="top"/>
    </xf>
    <xf numFmtId="49" fontId="24" fillId="11" borderId="33" xfId="1" applyNumberFormat="1" applyFont="1" applyFill="1" applyBorder="1" applyAlignment="1">
      <alignment horizontal="center" vertical="top"/>
    </xf>
    <xf numFmtId="49" fontId="24" fillId="11" borderId="33" xfId="1" applyNumberFormat="1" applyFont="1" applyFill="1" applyBorder="1" applyAlignment="1">
      <alignment horizontal="center" vertical="top" wrapText="1"/>
    </xf>
    <xf numFmtId="49" fontId="24" fillId="11" borderId="32" xfId="1" applyNumberFormat="1" applyFont="1" applyFill="1" applyBorder="1" applyAlignment="1">
      <alignment horizontal="center" vertical="top" wrapText="1"/>
    </xf>
    <xf numFmtId="49" fontId="24" fillId="0" borderId="33" xfId="1" applyNumberFormat="1" applyFont="1" applyBorder="1" applyAlignment="1">
      <alignment horizontal="center" vertical="top"/>
    </xf>
    <xf numFmtId="49" fontId="24" fillId="0" borderId="34" xfId="1" applyNumberFormat="1" applyFont="1" applyBorder="1" applyAlignment="1">
      <alignment horizontal="center" vertical="top"/>
    </xf>
    <xf numFmtId="49" fontId="24" fillId="11" borderId="34" xfId="1" applyNumberFormat="1" applyFont="1" applyFill="1" applyBorder="1" applyAlignment="1">
      <alignment horizontal="center" vertical="top"/>
    </xf>
    <xf numFmtId="49" fontId="24" fillId="11" borderId="35" xfId="1" applyNumberFormat="1" applyFont="1" applyFill="1" applyBorder="1" applyAlignment="1">
      <alignment horizontal="center" vertical="top"/>
    </xf>
    <xf numFmtId="49" fontId="24" fillId="0" borderId="0" xfId="1" applyNumberFormat="1" applyFont="1" applyAlignment="1">
      <alignment horizontal="center" vertical="top"/>
    </xf>
    <xf numFmtId="49" fontId="24" fillId="4" borderId="33" xfId="1" applyNumberFormat="1" applyFont="1" applyFill="1" applyBorder="1" applyAlignment="1">
      <alignment horizontal="center" vertical="top"/>
    </xf>
    <xf numFmtId="49" fontId="24" fillId="4" borderId="32" xfId="1" applyNumberFormat="1" applyFont="1" applyFill="1" applyBorder="1" applyAlignment="1">
      <alignment horizontal="center" vertical="top"/>
    </xf>
    <xf numFmtId="49" fontId="24" fillId="0" borderId="5" xfId="1" applyNumberFormat="1" applyFont="1" applyBorder="1" applyAlignment="1">
      <alignment horizontal="center" vertical="top"/>
    </xf>
    <xf numFmtId="49" fontId="24" fillId="4" borderId="31" xfId="1" applyNumberFormat="1" applyFont="1" applyFill="1" applyBorder="1" applyAlignment="1">
      <alignment horizontal="center" vertical="top"/>
    </xf>
    <xf numFmtId="49" fontId="24" fillId="12" borderId="5" xfId="1" applyNumberFormat="1" applyFont="1" applyFill="1" applyBorder="1" applyAlignment="1">
      <alignment horizontal="center" vertical="top"/>
    </xf>
    <xf numFmtId="0" fontId="22" fillId="15" borderId="0" xfId="1" applyFont="1" applyFill="1" applyAlignment="1" applyProtection="1">
      <alignment vertical="top"/>
      <protection hidden="1"/>
    </xf>
    <xf numFmtId="0" fontId="22" fillId="15" borderId="0" xfId="1" applyFont="1" applyFill="1" applyAlignment="1" applyProtection="1">
      <alignment vertical="top" wrapText="1"/>
      <protection hidden="1"/>
    </xf>
    <xf numFmtId="181" fontId="22" fillId="16" borderId="0" xfId="1" applyNumberFormat="1" applyFont="1" applyFill="1" applyAlignment="1" applyProtection="1">
      <alignment vertical="top"/>
      <protection hidden="1"/>
    </xf>
    <xf numFmtId="181" fontId="22" fillId="16" borderId="0" xfId="1" applyNumberFormat="1" applyFont="1" applyFill="1" applyAlignment="1" applyProtection="1">
      <alignment vertical="top" wrapText="1"/>
      <protection hidden="1"/>
    </xf>
    <xf numFmtId="0" fontId="22" fillId="0" borderId="0" xfId="1" applyFont="1" applyAlignment="1" applyProtection="1">
      <alignment vertical="top" wrapText="1"/>
      <protection hidden="1"/>
    </xf>
    <xf numFmtId="0" fontId="22" fillId="14" borderId="2" xfId="1" applyFont="1" applyFill="1" applyBorder="1" applyAlignment="1" applyProtection="1">
      <alignment vertical="top"/>
      <protection hidden="1"/>
    </xf>
    <xf numFmtId="0" fontId="22" fillId="14" borderId="2" xfId="1" applyFont="1" applyFill="1" applyBorder="1" applyAlignment="1" applyProtection="1">
      <alignment vertical="top" wrapText="1"/>
      <protection hidden="1"/>
    </xf>
    <xf numFmtId="0" fontId="22" fillId="14" borderId="0" xfId="1" applyFont="1" applyFill="1" applyAlignment="1" applyProtection="1">
      <alignment vertical="top"/>
      <protection hidden="1"/>
    </xf>
    <xf numFmtId="0" fontId="22" fillId="9" borderId="6" xfId="1" applyFont="1" applyFill="1" applyBorder="1" applyProtection="1">
      <alignment vertical="center"/>
      <protection hidden="1"/>
    </xf>
    <xf numFmtId="0" fontId="22" fillId="9" borderId="6" xfId="1" applyFont="1" applyFill="1" applyBorder="1" applyAlignment="1" applyProtection="1">
      <alignment vertical="center" wrapText="1"/>
      <protection hidden="1"/>
    </xf>
    <xf numFmtId="0" fontId="22" fillId="10" borderId="6" xfId="1" applyFont="1" applyFill="1" applyBorder="1" applyProtection="1">
      <alignment vertical="center"/>
      <protection hidden="1"/>
    </xf>
    <xf numFmtId="49" fontId="24" fillId="11" borderId="6" xfId="1" applyNumberFormat="1" applyFont="1" applyFill="1" applyBorder="1" applyAlignment="1">
      <alignment horizontal="center" vertical="top"/>
    </xf>
    <xf numFmtId="49" fontId="24" fillId="0" borderId="42" xfId="1" applyNumberFormat="1" applyFont="1" applyBorder="1" applyAlignment="1">
      <alignment horizontal="center" vertical="top"/>
    </xf>
    <xf numFmtId="49" fontId="24" fillId="0" borderId="43" xfId="1" applyNumberFormat="1" applyFont="1" applyBorder="1" applyAlignment="1">
      <alignment horizontal="center" vertical="top"/>
    </xf>
    <xf numFmtId="49" fontId="24" fillId="11" borderId="42" xfId="1" applyNumberFormat="1" applyFont="1" applyFill="1" applyBorder="1" applyAlignment="1">
      <alignment horizontal="center" vertical="top"/>
    </xf>
    <xf numFmtId="49" fontId="24" fillId="11" borderId="16" xfId="1" applyNumberFormat="1" applyFont="1" applyFill="1" applyBorder="1" applyAlignment="1">
      <alignment horizontal="center" vertical="top"/>
    </xf>
    <xf numFmtId="49" fontId="24" fillId="11" borderId="43" xfId="1" applyNumberFormat="1" applyFont="1" applyFill="1" applyBorder="1" applyAlignment="1">
      <alignment horizontal="center" vertical="top"/>
    </xf>
    <xf numFmtId="49" fontId="24" fillId="11" borderId="44" xfId="1" applyNumberFormat="1" applyFont="1" applyFill="1" applyBorder="1" applyAlignment="1">
      <alignment horizontal="center" vertical="top"/>
    </xf>
    <xf numFmtId="49" fontId="24" fillId="0" borderId="44" xfId="1" applyNumberFormat="1" applyFont="1" applyBorder="1" applyAlignment="1">
      <alignment horizontal="center" vertical="top"/>
    </xf>
    <xf numFmtId="49" fontId="24" fillId="0" borderId="45" xfId="1" applyNumberFormat="1" applyFont="1" applyBorder="1" applyAlignment="1">
      <alignment horizontal="center" vertical="top"/>
    </xf>
    <xf numFmtId="49" fontId="24" fillId="11" borderId="45" xfId="1" applyNumberFormat="1" applyFont="1" applyFill="1" applyBorder="1" applyAlignment="1">
      <alignment horizontal="center" vertical="top"/>
    </xf>
    <xf numFmtId="49" fontId="24" fillId="11" borderId="46" xfId="1" applyNumberFormat="1" applyFont="1" applyFill="1" applyBorder="1" applyAlignment="1">
      <alignment horizontal="center" vertical="top"/>
    </xf>
    <xf numFmtId="49" fontId="24" fillId="0" borderId="16" xfId="1" applyNumberFormat="1" applyFont="1" applyBorder="1" applyAlignment="1">
      <alignment horizontal="center" vertical="top"/>
    </xf>
    <xf numFmtId="49" fontId="24" fillId="4" borderId="44" xfId="1" applyNumberFormat="1" applyFont="1" applyFill="1" applyBorder="1" applyAlignment="1">
      <alignment horizontal="center" vertical="top"/>
    </xf>
    <xf numFmtId="49" fontId="24" fillId="4" borderId="43" xfId="1" applyNumberFormat="1" applyFont="1" applyFill="1" applyBorder="1" applyAlignment="1">
      <alignment horizontal="center" vertical="top"/>
    </xf>
    <xf numFmtId="49" fontId="24" fillId="0" borderId="6" xfId="1" applyNumberFormat="1" applyFont="1" applyBorder="1" applyAlignment="1">
      <alignment horizontal="center" vertical="top"/>
    </xf>
    <xf numFmtId="49" fontId="24" fillId="4" borderId="42" xfId="1" applyNumberFormat="1" applyFont="1" applyFill="1" applyBorder="1" applyAlignment="1">
      <alignment horizontal="center" vertical="top"/>
    </xf>
    <xf numFmtId="49" fontId="24" fillId="12" borderId="6" xfId="1" applyNumberFormat="1" applyFont="1" applyFill="1" applyBorder="1" applyAlignment="1">
      <alignment horizontal="center" vertical="top"/>
    </xf>
    <xf numFmtId="0" fontId="22" fillId="0" borderId="0" xfId="1" applyFont="1" applyProtection="1">
      <alignment vertical="center"/>
      <protection hidden="1"/>
    </xf>
    <xf numFmtId="181" fontId="22" fillId="0" borderId="0" xfId="1" applyNumberFormat="1" applyFont="1" applyProtection="1">
      <alignment vertical="center"/>
      <protection hidden="1"/>
    </xf>
    <xf numFmtId="0" fontId="22" fillId="13" borderId="0" xfId="1" applyFont="1" applyFill="1" applyProtection="1">
      <alignment vertical="center"/>
      <protection hidden="1"/>
    </xf>
    <xf numFmtId="0" fontId="22" fillId="0" borderId="2" xfId="1" applyFont="1" applyBorder="1" applyAlignment="1" applyProtection="1">
      <alignment vertical="top"/>
      <protection hidden="1"/>
    </xf>
    <xf numFmtId="0" fontId="22" fillId="0" borderId="2" xfId="1" applyFont="1" applyBorder="1" applyProtection="1">
      <alignment vertical="center"/>
      <protection hidden="1"/>
    </xf>
    <xf numFmtId="0" fontId="22" fillId="17" borderId="52" xfId="1" applyFont="1" applyFill="1" applyBorder="1" applyAlignment="1" applyProtection="1">
      <alignment vertical="top" shrinkToFit="1"/>
      <protection hidden="1"/>
    </xf>
    <xf numFmtId="0" fontId="22" fillId="17" borderId="53" xfId="1" applyFont="1" applyFill="1" applyBorder="1" applyAlignment="1" applyProtection="1">
      <alignment vertical="top" shrinkToFit="1"/>
      <protection hidden="1"/>
    </xf>
    <xf numFmtId="0" fontId="22" fillId="17" borderId="54" xfId="1" applyFont="1" applyFill="1" applyBorder="1" applyAlignment="1" applyProtection="1">
      <alignment vertical="top" shrinkToFit="1"/>
      <protection hidden="1"/>
    </xf>
    <xf numFmtId="0" fontId="22" fillId="17" borderId="2" xfId="1" applyFont="1" applyFill="1" applyBorder="1" applyAlignment="1" applyProtection="1">
      <alignment horizontal="left" vertical="top" wrapText="1"/>
      <protection hidden="1"/>
    </xf>
    <xf numFmtId="0" fontId="31" fillId="17" borderId="2" xfId="1" applyFont="1" applyFill="1" applyBorder="1" applyAlignment="1" applyProtection="1">
      <alignment horizontal="left" vertical="top" wrapText="1"/>
      <protection hidden="1"/>
    </xf>
    <xf numFmtId="49" fontId="32" fillId="11" borderId="55" xfId="8" applyNumberFormat="1" applyFont="1" applyFill="1" applyBorder="1" applyAlignment="1">
      <alignment horizontal="center" vertical="center"/>
    </xf>
    <xf numFmtId="49" fontId="32" fillId="0" borderId="56" xfId="8" applyNumberFormat="1" applyFont="1" applyBorder="1" applyAlignment="1">
      <alignment horizontal="center" vertical="center"/>
    </xf>
    <xf numFmtId="49" fontId="32" fillId="0" borderId="57" xfId="8" applyNumberFormat="1" applyFont="1" applyBorder="1" applyAlignment="1">
      <alignment horizontal="center" vertical="center"/>
    </xf>
    <xf numFmtId="49" fontId="32" fillId="11" borderId="56" xfId="8" applyNumberFormat="1" applyFont="1" applyFill="1" applyBorder="1" applyAlignment="1">
      <alignment horizontal="center" vertical="center"/>
    </xf>
    <xf numFmtId="49" fontId="32" fillId="11" borderId="58" xfId="8" applyNumberFormat="1" applyFont="1" applyFill="1" applyBorder="1" applyAlignment="1">
      <alignment horizontal="center" vertical="center"/>
    </xf>
    <xf numFmtId="49" fontId="32" fillId="11" borderId="57" xfId="8" applyNumberFormat="1" applyFont="1" applyFill="1" applyBorder="1" applyAlignment="1">
      <alignment horizontal="center" vertical="center"/>
    </xf>
    <xf numFmtId="49" fontId="32" fillId="11" borderId="59" xfId="8" applyNumberFormat="1" applyFont="1" applyFill="1" applyBorder="1" applyAlignment="1">
      <alignment horizontal="center" vertical="center"/>
    </xf>
    <xf numFmtId="49" fontId="32" fillId="0" borderId="59" xfId="8" applyNumberFormat="1" applyFont="1" applyBorder="1" applyAlignment="1">
      <alignment horizontal="center" vertical="center"/>
    </xf>
    <xf numFmtId="49" fontId="32" fillId="0" borderId="60" xfId="8" applyNumberFormat="1" applyFont="1" applyBorder="1" applyAlignment="1">
      <alignment horizontal="center" vertical="center"/>
    </xf>
    <xf numFmtId="49" fontId="32" fillId="11" borderId="60" xfId="8" applyNumberFormat="1" applyFont="1" applyFill="1" applyBorder="1" applyAlignment="1">
      <alignment horizontal="center" vertical="center"/>
    </xf>
    <xf numFmtId="49" fontId="32" fillId="11" borderId="61" xfId="8" applyNumberFormat="1" applyFont="1" applyFill="1" applyBorder="1" applyAlignment="1">
      <alignment horizontal="center" vertical="center"/>
    </xf>
    <xf numFmtId="49" fontId="32" fillId="0" borderId="58" xfId="8" applyNumberFormat="1" applyFont="1" applyBorder="1" applyAlignment="1">
      <alignment horizontal="center" vertical="center"/>
    </xf>
    <xf numFmtId="49" fontId="32" fillId="4" borderId="59" xfId="8" applyNumberFormat="1" applyFont="1" applyFill="1" applyBorder="1" applyAlignment="1">
      <alignment horizontal="center" vertical="center"/>
    </xf>
    <xf numFmtId="49" fontId="32" fillId="4" borderId="57" xfId="8" applyNumberFormat="1" applyFont="1" applyFill="1" applyBorder="1" applyAlignment="1">
      <alignment horizontal="center" vertical="center"/>
    </xf>
    <xf numFmtId="49" fontId="32" fillId="0" borderId="55" xfId="8" applyNumberFormat="1" applyFont="1" applyBorder="1" applyAlignment="1">
      <alignment horizontal="center" vertical="center"/>
    </xf>
    <xf numFmtId="49" fontId="32" fillId="4" borderId="56" xfId="8" applyNumberFormat="1" applyFont="1" applyFill="1" applyBorder="1" applyAlignment="1">
      <alignment horizontal="center" vertical="center"/>
    </xf>
    <xf numFmtId="49" fontId="32" fillId="12" borderId="55" xfId="8" applyNumberFormat="1" applyFont="1" applyFill="1" applyBorder="1" applyAlignment="1">
      <alignment horizontal="center" vertical="center"/>
    </xf>
    <xf numFmtId="0" fontId="22" fillId="17" borderId="2" xfId="1" quotePrefix="1" applyFont="1" applyFill="1" applyBorder="1" applyAlignment="1" applyProtection="1">
      <alignment horizontal="left" vertical="top"/>
      <protection hidden="1"/>
    </xf>
    <xf numFmtId="184" fontId="22" fillId="17" borderId="2" xfId="1" quotePrefix="1" applyNumberFormat="1" applyFont="1" applyFill="1" applyBorder="1" applyAlignment="1" applyProtection="1">
      <alignment horizontal="center" vertical="top"/>
      <protection hidden="1"/>
    </xf>
    <xf numFmtId="185" fontId="22" fillId="17" borderId="2" xfId="1" applyNumberFormat="1" applyFont="1" applyFill="1" applyBorder="1" applyAlignment="1" applyProtection="1">
      <alignment vertical="top"/>
      <protection hidden="1"/>
    </xf>
    <xf numFmtId="9" fontId="22" fillId="17" borderId="2" xfId="1" applyNumberFormat="1" applyFont="1" applyFill="1" applyBorder="1" applyAlignment="1" applyProtection="1">
      <alignment horizontal="center" vertical="top"/>
      <protection hidden="1"/>
    </xf>
    <xf numFmtId="9" fontId="22" fillId="17" borderId="2" xfId="1" applyNumberFormat="1" applyFont="1" applyFill="1" applyBorder="1" applyAlignment="1" applyProtection="1">
      <alignment vertical="top"/>
      <protection hidden="1"/>
    </xf>
    <xf numFmtId="186" fontId="22" fillId="17" borderId="2" xfId="1" applyNumberFormat="1" applyFont="1" applyFill="1" applyBorder="1" applyAlignment="1" applyProtection="1">
      <alignment vertical="top"/>
      <protection hidden="1"/>
    </xf>
    <xf numFmtId="0" fontId="33" fillId="17" borderId="2" xfId="1" applyFont="1" applyFill="1" applyBorder="1" applyAlignment="1" applyProtection="1">
      <alignment vertical="top" wrapText="1"/>
      <protection hidden="1"/>
    </xf>
    <xf numFmtId="0" fontId="22" fillId="7" borderId="2" xfId="1" applyFont="1" applyFill="1" applyBorder="1" applyAlignment="1" applyProtection="1">
      <alignment vertical="top"/>
      <protection hidden="1"/>
    </xf>
    <xf numFmtId="0" fontId="22" fillId="7" borderId="0" xfId="1" applyFont="1" applyFill="1" applyAlignment="1" applyProtection="1">
      <alignment vertical="top"/>
      <protection hidden="1"/>
    </xf>
    <xf numFmtId="0" fontId="22" fillId="0" borderId="52" xfId="1" applyFont="1" applyBorder="1" applyAlignment="1" applyProtection="1">
      <alignment vertical="top" shrinkToFit="1"/>
      <protection hidden="1"/>
    </xf>
    <xf numFmtId="0" fontId="22" fillId="0" borderId="53" xfId="1" applyFont="1" applyBorder="1" applyAlignment="1" applyProtection="1">
      <alignment vertical="top" shrinkToFit="1"/>
      <protection hidden="1"/>
    </xf>
    <xf numFmtId="0" fontId="22" fillId="0" borderId="54" xfId="1" applyFont="1" applyBorder="1" applyAlignment="1" applyProtection="1">
      <alignment vertical="top" shrinkToFit="1"/>
      <protection hidden="1"/>
    </xf>
    <xf numFmtId="0" fontId="31" fillId="0" borderId="4" xfId="1" applyFont="1" applyBorder="1" applyAlignment="1" applyProtection="1">
      <alignment vertical="top"/>
      <protection hidden="1"/>
    </xf>
    <xf numFmtId="0" fontId="31" fillId="0" borderId="7" xfId="1" applyFont="1" applyBorder="1" applyAlignment="1" applyProtection="1">
      <alignment vertical="top"/>
      <protection hidden="1"/>
    </xf>
    <xf numFmtId="0" fontId="31" fillId="0" borderId="3" xfId="1" applyFont="1" applyBorder="1" applyAlignment="1" applyProtection="1">
      <alignment vertical="top"/>
      <protection hidden="1"/>
    </xf>
    <xf numFmtId="0" fontId="22" fillId="0" borderId="2" xfId="1" applyFont="1" applyBorder="1" applyAlignment="1" applyProtection="1">
      <alignment horizontal="left" vertical="top" wrapText="1"/>
      <protection hidden="1"/>
    </xf>
    <xf numFmtId="0" fontId="31" fillId="0" borderId="2" xfId="1" applyFont="1" applyBorder="1" applyAlignment="1" applyProtection="1">
      <alignment horizontal="left" vertical="top" wrapText="1"/>
      <protection hidden="1"/>
    </xf>
    <xf numFmtId="56" fontId="31" fillId="0" borderId="2" xfId="1" quotePrefix="1" applyNumberFormat="1" applyFont="1" applyBorder="1" applyAlignment="1" applyProtection="1">
      <alignment horizontal="left" vertical="top" wrapText="1"/>
      <protection hidden="1"/>
    </xf>
    <xf numFmtId="49" fontId="32" fillId="11" borderId="2" xfId="8" applyNumberFormat="1" applyFont="1" applyFill="1" applyBorder="1" applyAlignment="1">
      <alignment horizontal="center" vertical="center"/>
    </xf>
    <xf numFmtId="49" fontId="32" fillId="0" borderId="52" xfId="8" applyNumberFormat="1" applyFont="1" applyBorder="1" applyAlignment="1">
      <alignment horizontal="center" vertical="center"/>
    </xf>
    <xf numFmtId="49" fontId="32" fillId="0" borderId="54" xfId="8" applyNumberFormat="1" applyFont="1" applyBorder="1" applyAlignment="1">
      <alignment horizontal="center" vertical="center"/>
    </xf>
    <xf numFmtId="49" fontId="32" fillId="11" borderId="52" xfId="8" applyNumberFormat="1" applyFont="1" applyFill="1" applyBorder="1" applyAlignment="1">
      <alignment horizontal="center" vertical="center"/>
    </xf>
    <xf numFmtId="49" fontId="32" fillId="11" borderId="7" xfId="8" applyNumberFormat="1" applyFont="1" applyFill="1" applyBorder="1" applyAlignment="1">
      <alignment horizontal="center" vertical="center"/>
    </xf>
    <xf numFmtId="49" fontId="32" fillId="11" borderId="54" xfId="8" applyNumberFormat="1" applyFont="1" applyFill="1" applyBorder="1" applyAlignment="1">
      <alignment horizontal="center" vertical="center"/>
    </xf>
    <xf numFmtId="49" fontId="32" fillId="11" borderId="53" xfId="8" applyNumberFormat="1" applyFont="1" applyFill="1" applyBorder="1" applyAlignment="1">
      <alignment horizontal="center" vertical="center"/>
    </xf>
    <xf numFmtId="49" fontId="32" fillId="0" borderId="53" xfId="8" applyNumberFormat="1" applyFont="1" applyBorder="1" applyAlignment="1">
      <alignment horizontal="center" vertical="center"/>
    </xf>
    <xf numFmtId="49" fontId="32" fillId="0" borderId="62" xfId="8" applyNumberFormat="1" applyFont="1" applyBorder="1" applyAlignment="1">
      <alignment horizontal="center" vertical="center"/>
    </xf>
    <xf numFmtId="49" fontId="32" fillId="11" borderId="62" xfId="8" applyNumberFormat="1" applyFont="1" applyFill="1" applyBorder="1" applyAlignment="1">
      <alignment horizontal="center" vertical="center"/>
    </xf>
    <xf numFmtId="49" fontId="32" fillId="11" borderId="63" xfId="8" applyNumberFormat="1" applyFont="1" applyFill="1" applyBorder="1" applyAlignment="1">
      <alignment horizontal="center" vertical="center"/>
    </xf>
    <xf numFmtId="49" fontId="32" fillId="0" borderId="7" xfId="8" applyNumberFormat="1" applyFont="1" applyBorder="1" applyAlignment="1">
      <alignment horizontal="center" vertical="center"/>
    </xf>
    <xf numFmtId="49" fontId="32" fillId="4" borderId="53" xfId="8" applyNumberFormat="1" applyFont="1" applyFill="1" applyBorder="1" applyAlignment="1">
      <alignment horizontal="center" vertical="center"/>
    </xf>
    <xf numFmtId="49" fontId="32" fillId="4" borderId="54" xfId="8" applyNumberFormat="1" applyFont="1" applyFill="1" applyBorder="1" applyAlignment="1">
      <alignment horizontal="center" vertical="center"/>
    </xf>
    <xf numFmtId="49" fontId="32" fillId="0" borderId="2" xfId="8" applyNumberFormat="1" applyFont="1" applyBorder="1" applyAlignment="1">
      <alignment horizontal="center" vertical="center"/>
    </xf>
    <xf numFmtId="49" fontId="32" fillId="4" borderId="52" xfId="8" applyNumberFormat="1" applyFont="1" applyFill="1" applyBorder="1" applyAlignment="1">
      <alignment horizontal="center" vertical="center"/>
    </xf>
    <xf numFmtId="49" fontId="32" fillId="12" borderId="2" xfId="8" applyNumberFormat="1" applyFont="1" applyFill="1" applyBorder="1" applyAlignment="1">
      <alignment horizontal="center" vertical="center"/>
    </xf>
    <xf numFmtId="0" fontId="22" fillId="18" borderId="2" xfId="1" quotePrefix="1" applyFont="1" applyFill="1" applyBorder="1" applyAlignment="1" applyProtection="1">
      <alignment horizontal="left" vertical="top"/>
      <protection hidden="1"/>
    </xf>
    <xf numFmtId="184" fontId="22" fillId="0" borderId="2" xfId="1" quotePrefix="1" applyNumberFormat="1" applyFont="1" applyBorder="1" applyAlignment="1" applyProtection="1">
      <alignment horizontal="center" vertical="top"/>
      <protection hidden="1"/>
    </xf>
    <xf numFmtId="185" fontId="22" fillId="18" borderId="2" xfId="1" applyNumberFormat="1" applyFont="1" applyFill="1" applyBorder="1" applyAlignment="1" applyProtection="1">
      <alignment vertical="top"/>
      <protection hidden="1"/>
    </xf>
    <xf numFmtId="9" fontId="22" fillId="0" borderId="2" xfId="1" applyNumberFormat="1" applyFont="1" applyBorder="1" applyAlignment="1" applyProtection="1">
      <alignment horizontal="center" vertical="top"/>
      <protection hidden="1"/>
    </xf>
    <xf numFmtId="9" fontId="22" fillId="0" borderId="2" xfId="1" applyNumberFormat="1" applyFont="1" applyBorder="1" applyAlignment="1" applyProtection="1">
      <alignment vertical="top"/>
      <protection hidden="1"/>
    </xf>
    <xf numFmtId="186" fontId="22" fillId="0" borderId="2" xfId="1" applyNumberFormat="1" applyFont="1" applyBorder="1" applyAlignment="1" applyProtection="1">
      <alignment vertical="top"/>
      <protection hidden="1"/>
    </xf>
    <xf numFmtId="0" fontId="34" fillId="0" borderId="2" xfId="1" applyFont="1" applyBorder="1" applyAlignment="1" applyProtection="1">
      <alignment vertical="top" wrapText="1"/>
      <protection hidden="1"/>
    </xf>
    <xf numFmtId="186" fontId="22" fillId="0" borderId="0" xfId="1" applyNumberFormat="1" applyFont="1" applyAlignment="1" applyProtection="1">
      <alignment vertical="top"/>
      <protection hidden="1"/>
    </xf>
    <xf numFmtId="0" fontId="22" fillId="19" borderId="2" xfId="1" quotePrefix="1" applyFont="1" applyFill="1" applyBorder="1" applyAlignment="1" applyProtection="1">
      <alignment horizontal="left" vertical="top"/>
      <protection hidden="1"/>
    </xf>
    <xf numFmtId="185" fontId="22" fillId="19" borderId="2" xfId="1" applyNumberFormat="1" applyFont="1" applyFill="1" applyBorder="1" applyAlignment="1" applyProtection="1">
      <alignment vertical="top"/>
      <protection hidden="1"/>
    </xf>
    <xf numFmtId="0" fontId="33" fillId="0" borderId="2" xfId="1" applyFont="1" applyBorder="1" applyAlignment="1" applyProtection="1">
      <alignment vertical="top" wrapText="1"/>
      <protection hidden="1"/>
    </xf>
    <xf numFmtId="0" fontId="36" fillId="0" borderId="4" xfId="1" applyFont="1" applyBorder="1" applyAlignment="1" applyProtection="1">
      <alignment vertical="top"/>
      <protection hidden="1"/>
    </xf>
    <xf numFmtId="0" fontId="22" fillId="5" borderId="2" xfId="1" quotePrefix="1" applyFont="1" applyFill="1" applyBorder="1" applyAlignment="1" applyProtection="1">
      <alignment horizontal="left" vertical="top"/>
      <protection hidden="1"/>
    </xf>
    <xf numFmtId="185" fontId="22" fillId="5" borderId="2" xfId="1" applyNumberFormat="1" applyFont="1" applyFill="1" applyBorder="1" applyAlignment="1" applyProtection="1">
      <alignment vertical="top"/>
      <protection hidden="1"/>
    </xf>
    <xf numFmtId="0" fontId="38" fillId="0" borderId="2" xfId="1" applyFont="1" applyBorder="1" applyAlignment="1" applyProtection="1">
      <alignment horizontal="left" vertical="top" wrapText="1"/>
      <protection hidden="1"/>
    </xf>
    <xf numFmtId="0" fontId="22" fillId="20" borderId="2" xfId="1" quotePrefix="1" applyFont="1" applyFill="1" applyBorder="1" applyAlignment="1" applyProtection="1">
      <alignment horizontal="left" vertical="top"/>
      <protection hidden="1"/>
    </xf>
    <xf numFmtId="185" fontId="22" fillId="20" borderId="2" xfId="1" applyNumberFormat="1" applyFont="1" applyFill="1" applyBorder="1" applyAlignment="1" applyProtection="1">
      <alignment vertical="top"/>
      <protection hidden="1"/>
    </xf>
    <xf numFmtId="0" fontId="36" fillId="0" borderId="7" xfId="1" applyFont="1" applyBorder="1" applyAlignment="1" applyProtection="1">
      <alignment vertical="top"/>
      <protection hidden="1"/>
    </xf>
    <xf numFmtId="0" fontId="36" fillId="0" borderId="3" xfId="1" applyFont="1" applyBorder="1" applyAlignment="1" applyProtection="1">
      <alignment vertical="top"/>
      <protection hidden="1"/>
    </xf>
    <xf numFmtId="0" fontId="36" fillId="0" borderId="2" xfId="1" applyFont="1" applyBorder="1" applyAlignment="1" applyProtection="1">
      <alignment horizontal="left" vertical="top" wrapText="1"/>
      <protection hidden="1"/>
    </xf>
    <xf numFmtId="49" fontId="40" fillId="11" borderId="2" xfId="8" applyNumberFormat="1" applyFont="1" applyFill="1" applyBorder="1" applyAlignment="1">
      <alignment horizontal="center" vertical="center"/>
    </xf>
    <xf numFmtId="49" fontId="40" fillId="0" borderId="52" xfId="8" applyNumberFormat="1" applyFont="1" applyBorder="1" applyAlignment="1">
      <alignment horizontal="center" vertical="center"/>
    </xf>
    <xf numFmtId="49" fontId="40" fillId="0" borderId="54" xfId="8" applyNumberFormat="1" applyFont="1" applyBorder="1" applyAlignment="1">
      <alignment horizontal="center" vertical="center"/>
    </xf>
    <xf numFmtId="49" fontId="40" fillId="11" borderId="52" xfId="8" applyNumberFormat="1" applyFont="1" applyFill="1" applyBorder="1" applyAlignment="1">
      <alignment horizontal="center" vertical="center"/>
    </xf>
    <xf numFmtId="49" fontId="40" fillId="11" borderId="7" xfId="8" applyNumberFormat="1" applyFont="1" applyFill="1" applyBorder="1" applyAlignment="1">
      <alignment horizontal="center" vertical="center"/>
    </xf>
    <xf numFmtId="49" fontId="40" fillId="11" borderId="54" xfId="8" applyNumberFormat="1" applyFont="1" applyFill="1" applyBorder="1" applyAlignment="1">
      <alignment horizontal="center" vertical="center"/>
    </xf>
    <xf numFmtId="49" fontId="40" fillId="11" borderId="53" xfId="8" applyNumberFormat="1" applyFont="1" applyFill="1" applyBorder="1" applyAlignment="1">
      <alignment horizontal="center" vertical="center"/>
    </xf>
    <xf numFmtId="49" fontId="40" fillId="0" borderId="53" xfId="8" applyNumberFormat="1" applyFont="1" applyBorder="1" applyAlignment="1">
      <alignment horizontal="center" vertical="center"/>
    </xf>
    <xf numFmtId="49" fontId="40" fillId="0" borderId="62" xfId="8" applyNumberFormat="1" applyFont="1" applyBorder="1" applyAlignment="1">
      <alignment horizontal="center" vertical="center"/>
    </xf>
    <xf numFmtId="49" fontId="40" fillId="11" borderId="62" xfId="8" applyNumberFormat="1" applyFont="1" applyFill="1" applyBorder="1" applyAlignment="1">
      <alignment horizontal="center" vertical="center"/>
    </xf>
    <xf numFmtId="49" fontId="40" fillId="11" borderId="63" xfId="8" applyNumberFormat="1" applyFont="1" applyFill="1" applyBorder="1" applyAlignment="1">
      <alignment horizontal="center" vertical="center"/>
    </xf>
    <xf numFmtId="49" fontId="40" fillId="0" borderId="7" xfId="8" applyNumberFormat="1" applyFont="1" applyBorder="1" applyAlignment="1">
      <alignment horizontal="center" vertical="center"/>
    </xf>
    <xf numFmtId="49" fontId="40" fillId="4" borderId="53" xfId="8" applyNumberFormat="1" applyFont="1" applyFill="1" applyBorder="1" applyAlignment="1">
      <alignment horizontal="center" vertical="center"/>
    </xf>
    <xf numFmtId="49" fontId="40" fillId="4" borderId="54" xfId="8" applyNumberFormat="1" applyFont="1" applyFill="1" applyBorder="1" applyAlignment="1">
      <alignment horizontal="center" vertical="center"/>
    </xf>
    <xf numFmtId="49" fontId="40" fillId="0" borderId="2" xfId="8" applyNumberFormat="1" applyFont="1" applyBorder="1" applyAlignment="1">
      <alignment horizontal="center" vertical="center"/>
    </xf>
    <xf numFmtId="49" fontId="40" fillId="4" borderId="52" xfId="8" applyNumberFormat="1" applyFont="1" applyFill="1" applyBorder="1" applyAlignment="1">
      <alignment horizontal="center" vertical="center"/>
    </xf>
    <xf numFmtId="49" fontId="40" fillId="12" borderId="2" xfId="8" applyNumberFormat="1" applyFont="1" applyFill="1" applyBorder="1" applyAlignment="1">
      <alignment horizontal="center" vertical="center"/>
    </xf>
    <xf numFmtId="0" fontId="22" fillId="4" borderId="52" xfId="1" applyFont="1" applyFill="1" applyBorder="1" applyAlignment="1" applyProtection="1">
      <alignment vertical="top" shrinkToFit="1"/>
      <protection hidden="1"/>
    </xf>
    <xf numFmtId="0" fontId="22" fillId="4" borderId="53" xfId="1" applyFont="1" applyFill="1" applyBorder="1" applyAlignment="1" applyProtection="1">
      <alignment vertical="top" shrinkToFit="1"/>
      <protection hidden="1"/>
    </xf>
    <xf numFmtId="0" fontId="22" fillId="4" borderId="54" xfId="1" applyFont="1" applyFill="1" applyBorder="1" applyAlignment="1" applyProtection="1">
      <alignment vertical="top" shrinkToFit="1"/>
      <protection hidden="1"/>
    </xf>
    <xf numFmtId="0" fontId="31" fillId="4" borderId="4" xfId="1" applyFont="1" applyFill="1" applyBorder="1" applyAlignment="1" applyProtection="1">
      <alignment vertical="top"/>
      <protection hidden="1"/>
    </xf>
    <xf numFmtId="0" fontId="31" fillId="4" borderId="7" xfId="1" applyFont="1" applyFill="1" applyBorder="1" applyAlignment="1" applyProtection="1">
      <alignment vertical="top"/>
      <protection hidden="1"/>
    </xf>
    <xf numFmtId="0" fontId="31" fillId="4" borderId="3" xfId="1" applyFont="1" applyFill="1" applyBorder="1" applyAlignment="1" applyProtection="1">
      <alignment vertical="top"/>
      <protection hidden="1"/>
    </xf>
    <xf numFmtId="0" fontId="22" fillId="4" borderId="2" xfId="1" applyFont="1" applyFill="1" applyBorder="1" applyAlignment="1" applyProtection="1">
      <alignment horizontal="left" vertical="top" wrapText="1"/>
      <protection hidden="1"/>
    </xf>
    <xf numFmtId="0" fontId="22" fillId="0" borderId="2" xfId="1" quotePrefix="1" applyFont="1" applyBorder="1" applyAlignment="1" applyProtection="1">
      <alignment horizontal="left" vertical="top"/>
      <protection hidden="1"/>
    </xf>
    <xf numFmtId="0" fontId="22" fillId="21" borderId="2" xfId="1" quotePrefix="1" applyFont="1" applyFill="1" applyBorder="1" applyAlignment="1" applyProtection="1">
      <alignment horizontal="left" vertical="top"/>
      <protection hidden="1"/>
    </xf>
    <xf numFmtId="185" fontId="22" fillId="21" borderId="2" xfId="1" applyNumberFormat="1" applyFont="1" applyFill="1" applyBorder="1" applyAlignment="1" applyProtection="1">
      <alignment vertical="top"/>
      <protection hidden="1"/>
    </xf>
    <xf numFmtId="186" fontId="41" fillId="22" borderId="2" xfId="1" applyNumberFormat="1" applyFont="1" applyFill="1" applyBorder="1" applyAlignment="1" applyProtection="1">
      <alignment vertical="top"/>
      <protection hidden="1"/>
    </xf>
    <xf numFmtId="186" fontId="22" fillId="23" borderId="2" xfId="1" applyNumberFormat="1" applyFont="1" applyFill="1" applyBorder="1" applyAlignment="1" applyProtection="1">
      <alignment vertical="top"/>
      <protection hidden="1"/>
    </xf>
    <xf numFmtId="186" fontId="22" fillId="0" borderId="6" xfId="1" applyNumberFormat="1" applyFont="1" applyBorder="1" applyAlignment="1" applyProtection="1">
      <alignment vertical="top"/>
      <protection hidden="1"/>
    </xf>
    <xf numFmtId="0" fontId="22" fillId="0" borderId="6" xfId="1" applyFont="1" applyBorder="1" applyAlignment="1" applyProtection="1">
      <alignment vertical="top"/>
      <protection hidden="1"/>
    </xf>
    <xf numFmtId="0" fontId="22" fillId="0" borderId="1" xfId="1" applyFont="1" applyBorder="1" applyAlignment="1" applyProtection="1">
      <alignment vertical="top"/>
      <protection hidden="1"/>
    </xf>
    <xf numFmtId="0" fontId="43" fillId="17" borderId="2" xfId="1" applyFont="1" applyFill="1" applyBorder="1" applyAlignment="1" applyProtection="1">
      <alignment horizontal="left" vertical="top" wrapText="1"/>
      <protection hidden="1"/>
    </xf>
    <xf numFmtId="0" fontId="44" fillId="0" borderId="4" xfId="1" applyFont="1" applyBorder="1" applyAlignment="1" applyProtection="1">
      <alignment vertical="top"/>
      <protection hidden="1"/>
    </xf>
    <xf numFmtId="0" fontId="44" fillId="0" borderId="7" xfId="1" applyFont="1" applyBorder="1" applyAlignment="1" applyProtection="1">
      <alignment vertical="top"/>
      <protection hidden="1"/>
    </xf>
    <xf numFmtId="0" fontId="44" fillId="0" borderId="3" xfId="1" applyFont="1" applyBorder="1" applyAlignment="1" applyProtection="1">
      <alignment vertical="top"/>
      <protection hidden="1"/>
    </xf>
    <xf numFmtId="0" fontId="22" fillId="0" borderId="2" xfId="1" quotePrefix="1" applyFont="1" applyBorder="1" applyAlignment="1" applyProtection="1">
      <alignment horizontal="left" vertical="top" wrapText="1"/>
      <protection hidden="1"/>
    </xf>
    <xf numFmtId="185" fontId="22" fillId="0" borderId="2" xfId="1" applyNumberFormat="1" applyFont="1" applyBorder="1" applyAlignment="1" applyProtection="1">
      <alignment vertical="top"/>
      <protection hidden="1"/>
    </xf>
    <xf numFmtId="0" fontId="22" fillId="0" borderId="0" xfId="1" applyFont="1" applyAlignment="1" applyProtection="1">
      <alignment vertical="top" shrinkToFit="1"/>
      <protection hidden="1"/>
    </xf>
    <xf numFmtId="49" fontId="45" fillId="0" borderId="0" xfId="1" applyNumberFormat="1" applyFont="1">
      <alignment vertical="center"/>
    </xf>
    <xf numFmtId="0" fontId="22" fillId="4" borderId="0" xfId="1" applyFont="1" applyFill="1" applyAlignment="1" applyProtection="1">
      <alignment vertical="top"/>
      <protection hidden="1"/>
    </xf>
    <xf numFmtId="0" fontId="22" fillId="4" borderId="2" xfId="1" applyFont="1" applyFill="1" applyBorder="1" applyAlignment="1" applyProtection="1">
      <alignment vertical="top"/>
      <protection hidden="1"/>
    </xf>
    <xf numFmtId="0" fontId="22" fillId="0" borderId="0" xfId="1" applyFont="1" applyAlignment="1" applyProtection="1">
      <alignment horizontal="right" vertical="top"/>
      <protection hidden="1"/>
    </xf>
    <xf numFmtId="180" fontId="22" fillId="0" borderId="1" xfId="1" applyNumberFormat="1" applyFont="1" applyBorder="1" applyAlignment="1" applyProtection="1">
      <alignment vertical="top"/>
      <protection hidden="1"/>
    </xf>
    <xf numFmtId="180" fontId="22" fillId="0" borderId="0" xfId="1" applyNumberFormat="1" applyFont="1" applyAlignment="1" applyProtection="1">
      <alignment vertical="top"/>
      <protection hidden="1"/>
    </xf>
    <xf numFmtId="180" fontId="22" fillId="4" borderId="1" xfId="1" applyNumberFormat="1" applyFont="1" applyFill="1" applyBorder="1" applyAlignment="1" applyProtection="1">
      <alignment vertical="top"/>
      <protection hidden="1"/>
    </xf>
    <xf numFmtId="0" fontId="22" fillId="8" borderId="2" xfId="1" applyFont="1" applyFill="1" applyBorder="1" applyAlignment="1" applyProtection="1">
      <alignment vertical="top"/>
      <protection hidden="1"/>
    </xf>
    <xf numFmtId="0" fontId="22" fillId="0" borderId="64" xfId="1" applyFont="1" applyBorder="1" applyAlignment="1" applyProtection="1">
      <alignment vertical="top"/>
      <protection hidden="1"/>
    </xf>
    <xf numFmtId="180" fontId="22" fillId="0" borderId="65" xfId="1" applyNumberFormat="1" applyFont="1" applyBorder="1" applyAlignment="1" applyProtection="1">
      <alignment vertical="top"/>
      <protection hidden="1"/>
    </xf>
    <xf numFmtId="180" fontId="22" fillId="0" borderId="66" xfId="1" applyNumberFormat="1" applyFont="1" applyBorder="1" applyAlignment="1" applyProtection="1">
      <alignment vertical="top"/>
      <protection hidden="1"/>
    </xf>
    <xf numFmtId="180" fontId="22" fillId="0" borderId="64" xfId="1" applyNumberFormat="1" applyFont="1" applyBorder="1" applyAlignment="1" applyProtection="1">
      <alignment vertical="top"/>
      <protection hidden="1"/>
    </xf>
    <xf numFmtId="180" fontId="22" fillId="4" borderId="66" xfId="1" applyNumberFormat="1" applyFont="1" applyFill="1" applyBorder="1" applyAlignment="1" applyProtection="1">
      <alignment vertical="top"/>
      <protection hidden="1"/>
    </xf>
    <xf numFmtId="180" fontId="22" fillId="4" borderId="64" xfId="1" applyNumberFormat="1" applyFont="1" applyFill="1" applyBorder="1" applyAlignment="1" applyProtection="1">
      <alignment vertical="top"/>
      <protection hidden="1"/>
    </xf>
    <xf numFmtId="180" fontId="22" fillId="4" borderId="65" xfId="1" applyNumberFormat="1" applyFont="1" applyFill="1" applyBorder="1" applyAlignment="1" applyProtection="1">
      <alignment vertical="top"/>
      <protection hidden="1"/>
    </xf>
    <xf numFmtId="180" fontId="22" fillId="4" borderId="0" xfId="1" applyNumberFormat="1" applyFont="1" applyFill="1" applyAlignment="1" applyProtection="1">
      <alignment vertical="top"/>
      <protection hidden="1"/>
    </xf>
    <xf numFmtId="0" fontId="22" fillId="4" borderId="4" xfId="1" applyFont="1" applyFill="1" applyBorder="1" applyAlignment="1" applyProtection="1">
      <alignment vertical="top"/>
      <protection hidden="1"/>
    </xf>
    <xf numFmtId="0" fontId="22" fillId="4" borderId="3" xfId="1" applyFont="1" applyFill="1" applyBorder="1" applyAlignment="1" applyProtection="1">
      <alignment horizontal="right" vertical="top"/>
      <protection hidden="1"/>
    </xf>
    <xf numFmtId="180" fontId="22" fillId="4" borderId="2" xfId="1" applyNumberFormat="1" applyFont="1" applyFill="1" applyBorder="1" applyAlignment="1" applyProtection="1">
      <alignment vertical="top"/>
      <protection hidden="1"/>
    </xf>
    <xf numFmtId="0" fontId="22" fillId="4" borderId="0" xfId="1" applyFont="1" applyFill="1" applyAlignment="1" applyProtection="1">
      <alignment horizontal="right" vertical="top"/>
      <protection hidden="1"/>
    </xf>
    <xf numFmtId="180" fontId="22" fillId="4" borderId="4" xfId="1" applyNumberFormat="1" applyFont="1" applyFill="1" applyBorder="1" applyAlignment="1" applyProtection="1">
      <alignment vertical="top"/>
      <protection hidden="1"/>
    </xf>
    <xf numFmtId="180" fontId="22" fillId="4" borderId="67" xfId="1" applyNumberFormat="1" applyFont="1" applyFill="1" applyBorder="1" applyAlignment="1" applyProtection="1">
      <alignment vertical="top"/>
      <protection hidden="1"/>
    </xf>
    <xf numFmtId="0" fontId="22" fillId="8" borderId="2" xfId="1" applyFont="1" applyFill="1" applyBorder="1" applyAlignment="1" applyProtection="1">
      <alignment horizontal="center" vertical="center"/>
      <protection hidden="1"/>
    </xf>
    <xf numFmtId="182" fontId="0" fillId="24" borderId="0" xfId="0" applyNumberFormat="1" applyFill="1" applyAlignment="1">
      <alignment vertical="center" textRotation="180" wrapText="1"/>
    </xf>
    <xf numFmtId="0" fontId="0" fillId="24" borderId="0" xfId="0" applyFill="1">
      <alignment vertical="center"/>
    </xf>
    <xf numFmtId="182" fontId="49" fillId="7" borderId="0" xfId="0" applyNumberFormat="1" applyFont="1" applyFill="1" applyAlignment="1">
      <alignment vertical="center" textRotation="180" wrapText="1"/>
    </xf>
    <xf numFmtId="0" fontId="49" fillId="7" borderId="0" xfId="0" applyFont="1" applyFill="1">
      <alignment vertical="center"/>
    </xf>
    <xf numFmtId="176" fontId="6" fillId="0" borderId="0" xfId="3" applyNumberFormat="1" applyFont="1">
      <alignment vertical="center"/>
    </xf>
    <xf numFmtId="177" fontId="6" fillId="0" borderId="0" xfId="3" applyNumberFormat="1" applyFont="1">
      <alignment vertical="center"/>
    </xf>
    <xf numFmtId="176" fontId="6" fillId="0" borderId="2" xfId="3" applyNumberFormat="1" applyFont="1" applyBorder="1">
      <alignment vertical="center"/>
    </xf>
    <xf numFmtId="56" fontId="6" fillId="0" borderId="0" xfId="3" applyNumberFormat="1" applyFont="1">
      <alignment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5" xfId="3" applyFont="1" applyFill="1" applyBorder="1" applyAlignment="1">
      <alignment horizontal="center" vertical="center"/>
    </xf>
    <xf numFmtId="0" fontId="5" fillId="3" borderId="14" xfId="3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3" borderId="5" xfId="3" applyFont="1" applyFill="1" applyBorder="1" applyAlignment="1">
      <alignment horizontal="center" vertical="center"/>
    </xf>
    <xf numFmtId="0" fontId="5" fillId="3" borderId="6" xfId="3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center" vertical="center" wrapText="1"/>
    </xf>
    <xf numFmtId="0" fontId="5" fillId="2" borderId="3" xfId="3" applyFont="1" applyFill="1" applyBorder="1" applyAlignment="1">
      <alignment horizontal="center" vertical="center" wrapText="1"/>
    </xf>
    <xf numFmtId="177" fontId="5" fillId="2" borderId="2" xfId="3" applyNumberFormat="1" applyFont="1" applyFill="1" applyBorder="1" applyAlignment="1">
      <alignment horizontal="center" vertical="center" wrapText="1"/>
    </xf>
    <xf numFmtId="0" fontId="5" fillId="2" borderId="6" xfId="3" applyFont="1" applyFill="1" applyBorder="1" applyAlignment="1">
      <alignment horizontal="center" vertical="center"/>
    </xf>
    <xf numFmtId="178" fontId="5" fillId="2" borderId="2" xfId="3" applyNumberFormat="1" applyFont="1" applyFill="1" applyBorder="1" applyAlignment="1">
      <alignment horizontal="center" vertical="center"/>
    </xf>
    <xf numFmtId="0" fontId="5" fillId="2" borderId="2" xfId="3" applyFont="1" applyFill="1" applyBorder="1" applyAlignment="1">
      <alignment horizontal="center" vertical="center"/>
    </xf>
    <xf numFmtId="177" fontId="5" fillId="2" borderId="2" xfId="3" applyNumberFormat="1" applyFont="1" applyFill="1" applyBorder="1" applyAlignment="1">
      <alignment horizontal="center" vertical="center"/>
    </xf>
    <xf numFmtId="0" fontId="5" fillId="5" borderId="2" xfId="3" applyFont="1" applyFill="1" applyBorder="1" applyAlignment="1">
      <alignment horizontal="center" vertical="center" wrapText="1"/>
    </xf>
    <xf numFmtId="0" fontId="5" fillId="25" borderId="2" xfId="3" applyFont="1" applyFill="1" applyBorder="1" applyAlignment="1">
      <alignment horizontal="center" vertical="center" wrapText="1"/>
    </xf>
    <xf numFmtId="0" fontId="5" fillId="2" borderId="2" xfId="3" applyFont="1" applyFill="1" applyBorder="1" applyAlignment="1">
      <alignment horizontal="center" vertical="center" wrapText="1"/>
    </xf>
    <xf numFmtId="0" fontId="5" fillId="2" borderId="5" xfId="3" applyFont="1" applyFill="1" applyBorder="1" applyAlignment="1">
      <alignment horizontal="center" vertical="center" wrapText="1"/>
    </xf>
    <xf numFmtId="0" fontId="5" fillId="2" borderId="6" xfId="3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37" fillId="17" borderId="4" xfId="1" applyFont="1" applyFill="1" applyBorder="1" applyAlignment="1" applyProtection="1">
      <alignment vertical="top" wrapText="1"/>
      <protection hidden="1"/>
    </xf>
    <xf numFmtId="0" fontId="37" fillId="17" borderId="7" xfId="1" applyFont="1" applyFill="1" applyBorder="1" applyAlignment="1" applyProtection="1">
      <alignment vertical="top" wrapText="1"/>
      <protection hidden="1"/>
    </xf>
    <xf numFmtId="0" fontId="37" fillId="17" borderId="3" xfId="1" applyFont="1" applyFill="1" applyBorder="1" applyAlignment="1" applyProtection="1">
      <alignment vertical="top" wrapText="1"/>
      <protection hidden="1"/>
    </xf>
    <xf numFmtId="0" fontId="30" fillId="17" borderId="4" xfId="1" applyFont="1" applyFill="1" applyBorder="1" applyAlignment="1" applyProtection="1">
      <alignment vertical="top" wrapText="1"/>
      <protection hidden="1"/>
    </xf>
    <xf numFmtId="0" fontId="30" fillId="17" borderId="7" xfId="1" applyFont="1" applyFill="1" applyBorder="1" applyAlignment="1" applyProtection="1">
      <alignment vertical="top" wrapText="1"/>
      <protection hidden="1"/>
    </xf>
    <xf numFmtId="0" fontId="30" fillId="17" borderId="3" xfId="1" applyFont="1" applyFill="1" applyBorder="1" applyAlignment="1" applyProtection="1">
      <alignment vertical="top" wrapText="1"/>
      <protection hidden="1"/>
    </xf>
    <xf numFmtId="0" fontId="29" fillId="9" borderId="39" xfId="1" applyFont="1" applyFill="1" applyBorder="1" applyAlignment="1" applyProtection="1">
      <alignment horizontal="center" vertical="center" wrapText="1"/>
      <protection locked="0"/>
    </xf>
    <xf numFmtId="0" fontId="29" fillId="9" borderId="49" xfId="1" applyFont="1" applyFill="1" applyBorder="1" applyAlignment="1" applyProtection="1">
      <alignment horizontal="center" vertical="center" wrapText="1"/>
      <protection locked="0"/>
    </xf>
    <xf numFmtId="0" fontId="29" fillId="6" borderId="39" xfId="1" applyFont="1" applyFill="1" applyBorder="1" applyAlignment="1" applyProtection="1">
      <alignment horizontal="center" vertical="center" wrapText="1"/>
      <protection locked="0"/>
    </xf>
    <xf numFmtId="0" fontId="29" fillId="6" borderId="49" xfId="1" applyFont="1" applyFill="1" applyBorder="1" applyAlignment="1" applyProtection="1">
      <alignment horizontal="center" vertical="center" wrapText="1"/>
      <protection locked="0"/>
    </xf>
    <xf numFmtId="0" fontId="29" fillId="5" borderId="39" xfId="1" applyFont="1" applyFill="1" applyBorder="1" applyAlignment="1" applyProtection="1">
      <alignment horizontal="center" vertical="center" wrapText="1"/>
      <protection locked="0"/>
    </xf>
    <xf numFmtId="0" fontId="29" fillId="5" borderId="49" xfId="1" applyFont="1" applyFill="1" applyBorder="1" applyAlignment="1" applyProtection="1">
      <alignment horizontal="center" vertical="center" wrapText="1"/>
      <protection locked="0"/>
    </xf>
    <xf numFmtId="0" fontId="22" fillId="9" borderId="41" xfId="1" applyFont="1" applyFill="1" applyBorder="1" applyAlignment="1" applyProtection="1">
      <alignment horizontal="center" vertical="center"/>
      <protection hidden="1"/>
    </xf>
    <xf numFmtId="0" fontId="22" fillId="9" borderId="51" xfId="1" applyFont="1" applyFill="1" applyBorder="1" applyAlignment="1" applyProtection="1">
      <alignment horizontal="center" vertical="center"/>
      <protection hidden="1"/>
    </xf>
    <xf numFmtId="0" fontId="29" fillId="9" borderId="36" xfId="1" applyFont="1" applyFill="1" applyBorder="1" applyAlignment="1" applyProtection="1">
      <alignment horizontal="center" vertical="center" wrapText="1"/>
      <protection locked="0"/>
    </xf>
    <xf numFmtId="0" fontId="29" fillId="9" borderId="47" xfId="1" applyFont="1" applyFill="1" applyBorder="1" applyAlignment="1" applyProtection="1">
      <alignment horizontal="center" vertical="center" wrapText="1"/>
      <protection locked="0"/>
    </xf>
    <xf numFmtId="0" fontId="22" fillId="14" borderId="4" xfId="1" applyFont="1" applyFill="1" applyBorder="1" applyAlignment="1" applyProtection="1">
      <alignment horizontal="center" vertical="center"/>
      <protection hidden="1"/>
    </xf>
    <xf numFmtId="0" fontId="22" fillId="14" borderId="7" xfId="1" applyFont="1" applyFill="1" applyBorder="1" applyAlignment="1" applyProtection="1">
      <alignment horizontal="center" vertical="center"/>
      <protection hidden="1"/>
    </xf>
    <xf numFmtId="0" fontId="22" fillId="14" borderId="3" xfId="1" applyFont="1" applyFill="1" applyBorder="1" applyAlignment="1" applyProtection="1">
      <alignment horizontal="center" vertical="center"/>
      <protection hidden="1"/>
    </xf>
    <xf numFmtId="0" fontId="29" fillId="9" borderId="37" xfId="1" applyFont="1" applyFill="1" applyBorder="1" applyAlignment="1" applyProtection="1">
      <alignment horizontal="center" vertical="center" wrapText="1"/>
      <protection locked="0"/>
    </xf>
    <xf numFmtId="0" fontId="29" fillId="9" borderId="6" xfId="1" applyFont="1" applyFill="1" applyBorder="1" applyAlignment="1" applyProtection="1">
      <alignment horizontal="center" vertical="center" wrapText="1"/>
      <protection locked="0"/>
    </xf>
    <xf numFmtId="0" fontId="29" fillId="9" borderId="38" xfId="1" applyFont="1" applyFill="1" applyBorder="1" applyAlignment="1" applyProtection="1">
      <alignment horizontal="center" vertical="center" wrapText="1"/>
      <protection locked="0"/>
    </xf>
    <xf numFmtId="0" fontId="29" fillId="9" borderId="48" xfId="1" applyFont="1" applyFill="1" applyBorder="1" applyAlignment="1" applyProtection="1">
      <alignment horizontal="center" vertical="center" wrapText="1"/>
      <protection locked="0"/>
    </xf>
    <xf numFmtId="0" fontId="29" fillId="9" borderId="40" xfId="1" applyFont="1" applyFill="1" applyBorder="1" applyAlignment="1" applyProtection="1">
      <alignment horizontal="center" vertical="center" wrapText="1"/>
      <protection locked="0"/>
    </xf>
    <xf numFmtId="0" fontId="29" fillId="9" borderId="50" xfId="1" applyFont="1" applyFill="1" applyBorder="1" applyAlignment="1" applyProtection="1">
      <alignment horizontal="center" vertical="center" wrapText="1"/>
      <protection locked="0"/>
    </xf>
    <xf numFmtId="0" fontId="22" fillId="9" borderId="18" xfId="1" applyFont="1" applyFill="1" applyBorder="1" applyAlignment="1" applyProtection="1">
      <alignment horizontal="center" vertical="top"/>
      <protection hidden="1"/>
    </xf>
    <xf numFmtId="0" fontId="22" fillId="9" borderId="17" xfId="1" applyFont="1" applyFill="1" applyBorder="1" applyAlignment="1" applyProtection="1">
      <alignment horizontal="center" vertical="top"/>
      <protection hidden="1"/>
    </xf>
    <xf numFmtId="0" fontId="22" fillId="9" borderId="12" xfId="1" applyFont="1" applyFill="1" applyBorder="1" applyAlignment="1" applyProtection="1">
      <alignment horizontal="center" vertical="top"/>
      <protection hidden="1"/>
    </xf>
    <xf numFmtId="0" fontId="22" fillId="9" borderId="25" xfId="1" applyFont="1" applyFill="1" applyBorder="1" applyAlignment="1" applyProtection="1">
      <alignment horizontal="center" vertical="top" wrapText="1"/>
      <protection hidden="1"/>
    </xf>
    <xf numFmtId="0" fontId="22" fillId="9" borderId="26" xfId="1" applyFont="1" applyFill="1" applyBorder="1" applyAlignment="1" applyProtection="1">
      <alignment horizontal="center" vertical="top"/>
      <protection hidden="1"/>
    </xf>
    <xf numFmtId="0" fontId="22" fillId="9" borderId="27" xfId="1" applyFont="1" applyFill="1" applyBorder="1" applyAlignment="1" applyProtection="1">
      <alignment horizontal="center" vertical="top"/>
      <protection hidden="1"/>
    </xf>
    <xf numFmtId="0" fontId="22" fillId="9" borderId="28" xfId="1" applyFont="1" applyFill="1" applyBorder="1" applyAlignment="1" applyProtection="1">
      <alignment horizontal="center" vertical="top"/>
      <protection hidden="1"/>
    </xf>
    <xf numFmtId="0" fontId="22" fillId="9" borderId="29" xfId="1" applyFont="1" applyFill="1" applyBorder="1" applyAlignment="1" applyProtection="1">
      <alignment horizontal="center" vertical="top" wrapText="1"/>
      <protection hidden="1"/>
    </xf>
    <xf numFmtId="0" fontId="22" fillId="9" borderId="30" xfId="1" applyFont="1" applyFill="1" applyBorder="1" applyAlignment="1" applyProtection="1">
      <alignment horizontal="center" vertical="top"/>
      <protection hidden="1"/>
    </xf>
    <xf numFmtId="0" fontId="22" fillId="9" borderId="12" xfId="1" applyFont="1" applyFill="1" applyBorder="1" applyAlignment="1" applyProtection="1">
      <alignment horizontal="center" vertical="center"/>
      <protection hidden="1"/>
    </xf>
    <xf numFmtId="0" fontId="22" fillId="9" borderId="11" xfId="1" applyFont="1" applyFill="1" applyBorder="1" applyAlignment="1" applyProtection="1">
      <alignment horizontal="center" vertical="center"/>
      <protection hidden="1"/>
    </xf>
    <xf numFmtId="0" fontId="22" fillId="9" borderId="9" xfId="1" applyFont="1" applyFill="1" applyBorder="1" applyAlignment="1" applyProtection="1">
      <alignment horizontal="center" vertical="center"/>
      <protection hidden="1"/>
    </xf>
    <xf numFmtId="0" fontId="22" fillId="9" borderId="1" xfId="1" applyFont="1" applyFill="1" applyBorder="1" applyAlignment="1" applyProtection="1">
      <alignment horizontal="center" vertical="center"/>
      <protection hidden="1"/>
    </xf>
    <xf numFmtId="0" fontId="22" fillId="9" borderId="5" xfId="1" applyFont="1" applyFill="1" applyBorder="1" applyAlignment="1" applyProtection="1">
      <alignment horizontal="center" vertical="center"/>
      <protection hidden="1"/>
    </xf>
    <xf numFmtId="0" fontId="22" fillId="9" borderId="6" xfId="1" applyFont="1" applyFill="1" applyBorder="1" applyAlignment="1" applyProtection="1">
      <alignment horizontal="center" vertical="center"/>
      <protection hidden="1"/>
    </xf>
    <xf numFmtId="0" fontId="22" fillId="10" borderId="1" xfId="1" applyFont="1" applyFill="1" applyBorder="1" applyAlignment="1" applyProtection="1">
      <alignment horizontal="center" vertical="top"/>
      <protection hidden="1"/>
    </xf>
    <xf numFmtId="0" fontId="3" fillId="10" borderId="5" xfId="1" applyFill="1" applyBorder="1" applyAlignment="1">
      <alignment horizontal="center" vertical="top"/>
    </xf>
    <xf numFmtId="0" fontId="23" fillId="9" borderId="1" xfId="1" applyFont="1" applyFill="1" applyBorder="1" applyAlignment="1" applyProtection="1">
      <alignment horizontal="right" vertical="top"/>
      <protection hidden="1"/>
    </xf>
    <xf numFmtId="0" fontId="28" fillId="0" borderId="5" xfId="1" applyFont="1" applyBorder="1" applyAlignment="1">
      <alignment horizontal="right" vertical="top"/>
    </xf>
    <xf numFmtId="0" fontId="22" fillId="9" borderId="1" xfId="1" applyFont="1" applyFill="1" applyBorder="1" applyAlignment="1" applyProtection="1">
      <alignment horizontal="center" vertical="center" wrapText="1"/>
      <protection hidden="1"/>
    </xf>
    <xf numFmtId="0" fontId="22" fillId="9" borderId="1" xfId="1" applyFont="1" applyFill="1" applyBorder="1" applyAlignment="1" applyProtection="1">
      <alignment horizontal="center" vertical="top"/>
      <protection hidden="1"/>
    </xf>
    <xf numFmtId="0" fontId="3" fillId="0" borderId="1" xfId="1" applyBorder="1" applyAlignment="1">
      <alignment horizontal="center" vertical="top"/>
    </xf>
    <xf numFmtId="0" fontId="3" fillId="0" borderId="5" xfId="1" applyBorder="1" applyAlignment="1">
      <alignment horizontal="center" vertical="top"/>
    </xf>
    <xf numFmtId="0" fontId="22" fillId="9" borderId="1" xfId="1" applyFont="1" applyFill="1" applyBorder="1" applyAlignment="1" applyProtection="1">
      <alignment horizontal="center" vertical="top" wrapText="1"/>
      <protection hidden="1"/>
    </xf>
    <xf numFmtId="0" fontId="3" fillId="0" borderId="5" xfId="1" applyBorder="1" applyAlignment="1">
      <alignment horizontal="center" vertical="top" wrapText="1"/>
    </xf>
    <xf numFmtId="0" fontId="22" fillId="10" borderId="1" xfId="1" applyFont="1" applyFill="1" applyBorder="1" applyAlignment="1" applyProtection="1">
      <alignment horizontal="center" vertical="top" wrapText="1"/>
      <protection hidden="1"/>
    </xf>
    <xf numFmtId="0" fontId="52" fillId="3" borderId="1" xfId="3" applyFont="1" applyFill="1" applyBorder="1" applyAlignment="1">
      <alignment horizontal="center" vertical="center" wrapText="1"/>
    </xf>
    <xf numFmtId="0" fontId="52" fillId="3" borderId="10" xfId="3" applyFont="1" applyFill="1" applyBorder="1" applyAlignment="1">
      <alignment horizontal="centerContinuous" vertical="center"/>
    </xf>
    <xf numFmtId="0" fontId="52" fillId="2" borderId="1" xfId="3" applyFont="1" applyFill="1" applyBorder="1" applyAlignment="1">
      <alignment horizontal="center" vertical="center" wrapText="1"/>
    </xf>
    <xf numFmtId="177" fontId="53" fillId="2" borderId="2" xfId="3" applyNumberFormat="1" applyFont="1" applyFill="1" applyBorder="1" applyAlignment="1">
      <alignment horizontal="center" vertical="center" wrapText="1"/>
    </xf>
    <xf numFmtId="0" fontId="52" fillId="2" borderId="1" xfId="3" applyFont="1" applyFill="1" applyBorder="1" applyAlignment="1">
      <alignment horizontal="center" vertical="center"/>
    </xf>
    <xf numFmtId="178" fontId="52" fillId="2" borderId="2" xfId="3" applyNumberFormat="1" applyFont="1" applyFill="1" applyBorder="1" applyAlignment="1">
      <alignment horizontal="center" vertical="center"/>
    </xf>
    <xf numFmtId="178" fontId="52" fillId="2" borderId="2" xfId="3" applyNumberFormat="1" applyFont="1" applyFill="1" applyBorder="1" applyAlignment="1">
      <alignment horizontal="center" vertical="center"/>
    </xf>
    <xf numFmtId="0" fontId="52" fillId="2" borderId="2" xfId="3" applyFont="1" applyFill="1" applyBorder="1" applyAlignment="1">
      <alignment horizontal="center" vertical="center"/>
    </xf>
    <xf numFmtId="177" fontId="55" fillId="2" borderId="2" xfId="3" applyNumberFormat="1" applyFont="1" applyFill="1" applyBorder="1" applyAlignment="1">
      <alignment horizontal="center" vertical="center" wrapText="1"/>
    </xf>
    <xf numFmtId="0" fontId="52" fillId="2" borderId="2" xfId="3" applyFont="1" applyFill="1" applyBorder="1" applyAlignment="1">
      <alignment horizontal="center" vertical="center" wrapText="1"/>
    </xf>
    <xf numFmtId="0" fontId="52" fillId="25" borderId="2" xfId="3" applyFont="1" applyFill="1" applyBorder="1" applyAlignment="1">
      <alignment horizontal="center" vertical="center" wrapText="1"/>
    </xf>
    <xf numFmtId="0" fontId="52" fillId="5" borderId="2" xfId="3" applyFont="1" applyFill="1" applyBorder="1" applyAlignment="1">
      <alignment horizontal="center" vertical="center" wrapText="1"/>
    </xf>
    <xf numFmtId="0" fontId="19" fillId="0" borderId="2" xfId="3" applyFont="1" applyBorder="1" applyAlignment="1">
      <alignment horizontal="center" vertical="center"/>
    </xf>
    <xf numFmtId="0" fontId="19" fillId="0" borderId="4" xfId="3" applyFont="1" applyBorder="1" applyAlignment="1">
      <alignment horizontal="left" vertical="center"/>
    </xf>
    <xf numFmtId="0" fontId="57" fillId="0" borderId="4" xfId="3" applyFont="1" applyBorder="1" applyAlignment="1">
      <alignment horizontal="left" vertical="center"/>
    </xf>
    <xf numFmtId="0" fontId="19" fillId="0" borderId="19" xfId="3" applyFont="1" applyBorder="1" applyAlignment="1">
      <alignment horizontal="left" vertical="center"/>
    </xf>
    <xf numFmtId="0" fontId="57" fillId="0" borderId="19" xfId="3" applyFont="1" applyBorder="1" applyAlignment="1">
      <alignment horizontal="left" vertical="center"/>
    </xf>
    <xf numFmtId="0" fontId="60" fillId="0" borderId="19" xfId="3" applyFont="1" applyBorder="1" applyAlignment="1">
      <alignment horizontal="left" vertical="center"/>
    </xf>
    <xf numFmtId="0" fontId="64" fillId="0" borderId="19" xfId="3" applyFont="1" applyBorder="1" applyAlignment="1">
      <alignment horizontal="left" vertical="center"/>
    </xf>
    <xf numFmtId="0" fontId="19" fillId="0" borderId="3" xfId="3" applyFont="1" applyBorder="1" applyAlignment="1">
      <alignment horizontal="left" vertical="center"/>
    </xf>
    <xf numFmtId="0" fontId="57" fillId="0" borderId="2" xfId="3" applyFont="1" applyBorder="1" applyAlignment="1">
      <alignment horizontal="center" vertical="center"/>
    </xf>
    <xf numFmtId="0" fontId="19" fillId="0" borderId="2" xfId="3" applyFont="1" applyBorder="1" applyAlignment="1">
      <alignment horizontal="center" vertical="center" wrapText="1"/>
    </xf>
    <xf numFmtId="0" fontId="68" fillId="0" borderId="4" xfId="3" applyFont="1" applyBorder="1" applyAlignment="1">
      <alignment horizontal="left" vertical="center"/>
    </xf>
    <xf numFmtId="0" fontId="65" fillId="0" borderId="19" xfId="3" applyFont="1" applyBorder="1" applyAlignment="1">
      <alignment horizontal="left" vertical="center"/>
    </xf>
    <xf numFmtId="0" fontId="56" fillId="0" borderId="4" xfId="3" applyFont="1" applyBorder="1" applyAlignment="1">
      <alignment horizontal="left" vertical="center"/>
    </xf>
    <xf numFmtId="0" fontId="16" fillId="0" borderId="2" xfId="3" applyFont="1" applyBorder="1" applyAlignment="1">
      <alignment horizontal="center" vertical="center"/>
    </xf>
  </cellXfs>
  <cellStyles count="9">
    <cellStyle name="標準" xfId="0" builtinId="0"/>
    <cellStyle name="標準 11" xfId="3" xr:uid="{00000000-0005-0000-0000-000002000000}"/>
    <cellStyle name="標準 12 2" xfId="2" xr:uid="{00000000-0005-0000-0000-000003000000}"/>
    <cellStyle name="標準 17" xfId="7" xr:uid="{00000000-0005-0000-0000-000004000000}"/>
    <cellStyle name="標準 18 2" xfId="8" xr:uid="{00000000-0005-0000-0000-000005000000}"/>
    <cellStyle name="標準 2" xfId="1" xr:uid="{00000000-0005-0000-0000-000006000000}"/>
    <cellStyle name="標準 2 2" xfId="4" xr:uid="{00000000-0005-0000-0000-000007000000}"/>
    <cellStyle name="標準 2 2 3" xfId="6" xr:uid="{00000000-0005-0000-0000-000008000000}"/>
    <cellStyle name="標準 3" xfId="5" xr:uid="{00000000-0005-0000-0000-000009000000}"/>
  </cellStyles>
  <dxfs count="0"/>
  <tableStyles count="0" defaultTableStyle="TableStyleMedium2" defaultPivotStyle="PivotStyleLight16"/>
  <colors>
    <mruColors>
      <color rgb="FFC0C0C0"/>
      <color rgb="FF0000FF"/>
      <color rgb="FFFFFF99"/>
      <color rgb="FFFFFFFF"/>
      <color rgb="FFCCC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  <pageSetUpPr fitToPage="1"/>
  </sheetPr>
  <dimension ref="A1:BA94"/>
  <sheetViews>
    <sheetView showGridLines="0" tabSelected="1" zoomScale="85" zoomScaleNormal="85" zoomScaleSheetLayoutView="85" workbookViewId="0">
      <pane xSplit="7" ySplit="4" topLeftCell="H5" activePane="bottomRight" state="frozen"/>
      <selection pane="topRight" activeCell="H1" sqref="H1"/>
      <selection pane="bottomLeft" activeCell="A5" sqref="A5"/>
      <selection pane="bottomRight"/>
    </sheetView>
  </sheetViews>
  <sheetFormatPr defaultColWidth="9" defaultRowHeight="14.25" outlineLevelCol="1"/>
  <cols>
    <col min="1" max="1" width="2.125" style="1" customWidth="1"/>
    <col min="2" max="2" width="6.125" style="1" customWidth="1"/>
    <col min="3" max="3" width="9" style="1" customWidth="1"/>
    <col min="4" max="4" width="5.125" style="1" customWidth="1"/>
    <col min="5" max="5" width="11.25" style="1" customWidth="1"/>
    <col min="6" max="6" width="3.75" style="1" customWidth="1"/>
    <col min="7" max="7" width="33.25" style="1" customWidth="1"/>
    <col min="8" max="8" width="10.125" style="8" customWidth="1"/>
    <col min="9" max="9" width="12.125" style="5" customWidth="1"/>
    <col min="10" max="10" width="10.125" style="8" customWidth="1"/>
    <col min="11" max="12" width="11.625" style="6" customWidth="1"/>
    <col min="13" max="13" width="11.25" style="6" customWidth="1"/>
    <col min="14" max="14" width="11.75" style="6" customWidth="1"/>
    <col min="15" max="15" width="9.125" style="7" customWidth="1"/>
    <col min="16" max="16" width="10.75" style="5" customWidth="1"/>
    <col min="17" max="17" width="23.375" style="10" customWidth="1"/>
    <col min="18" max="18" width="10.875" style="10" customWidth="1"/>
    <col min="19" max="19" width="12.75" style="10" bestFit="1" customWidth="1"/>
    <col min="20" max="20" width="9.25" style="1" customWidth="1"/>
    <col min="21" max="21" width="12.25" style="1" customWidth="1"/>
    <col min="22" max="22" width="30.75" style="1" customWidth="1"/>
    <col min="23" max="23" width="7.75" style="1" customWidth="1"/>
    <col min="24" max="24" width="10.25" style="1" customWidth="1" collapsed="1"/>
    <col min="25" max="27" width="9.25" style="1" hidden="1" customWidth="1" outlineLevel="1"/>
    <col min="28" max="28" width="10.625" style="1" hidden="1" customWidth="1" outlineLevel="1"/>
    <col min="29" max="29" width="12.125" style="1" hidden="1" customWidth="1" outlineLevel="1"/>
    <col min="30" max="30" width="8" style="1" hidden="1" customWidth="1" outlineLevel="1"/>
    <col min="31" max="33" width="9" style="1" hidden="1" customWidth="1" outlineLevel="1"/>
    <col min="34" max="34" width="16" style="1" hidden="1" customWidth="1" outlineLevel="1"/>
    <col min="35" max="36" width="12.5" style="1" hidden="1" customWidth="1" outlineLevel="1"/>
    <col min="37" max="37" width="14" style="1" hidden="1" customWidth="1" outlineLevel="1"/>
    <col min="38" max="38" width="15.625" style="1" hidden="1" customWidth="1" outlineLevel="1"/>
    <col min="39" max="39" width="10.625" style="1" hidden="1" customWidth="1" outlineLevel="1"/>
    <col min="40" max="40" width="12" style="1" hidden="1" customWidth="1" outlineLevel="1"/>
    <col min="41" max="41" width="13.625" style="1" hidden="1" customWidth="1" outlineLevel="1"/>
    <col min="42" max="42" width="15.5" style="1" hidden="1" customWidth="1" outlineLevel="1"/>
    <col min="43" max="43" width="8.5" style="1" hidden="1" customWidth="1" outlineLevel="1"/>
    <col min="44" max="44" width="13.625" style="1" hidden="1" customWidth="1" outlineLevel="1"/>
    <col min="45" max="47" width="9" style="1" hidden="1" customWidth="1" outlineLevel="1"/>
    <col min="48" max="49" width="9" style="1"/>
    <col min="50" max="50" width="9" style="1" collapsed="1"/>
    <col min="51" max="53" width="0" style="1" hidden="1" customWidth="1" outlineLevel="1"/>
    <col min="54" max="16384" width="9" style="1"/>
  </cols>
  <sheetData>
    <row r="1" spans="1:53">
      <c r="A1" s="1" t="s">
        <v>335</v>
      </c>
    </row>
    <row r="2" spans="1:53" ht="18.75">
      <c r="B2" s="281" t="s">
        <v>0</v>
      </c>
      <c r="C2" s="352" t="s">
        <v>336</v>
      </c>
      <c r="D2" s="352" t="s">
        <v>337</v>
      </c>
      <c r="E2" s="30"/>
      <c r="F2" s="32"/>
      <c r="G2" s="33"/>
      <c r="H2" s="354" t="s">
        <v>339</v>
      </c>
      <c r="I2" s="288" t="s">
        <v>1</v>
      </c>
      <c r="J2" s="288"/>
      <c r="K2" s="288"/>
      <c r="L2" s="288"/>
      <c r="M2" s="288"/>
      <c r="N2" s="288"/>
      <c r="O2" s="288"/>
      <c r="P2" s="289"/>
      <c r="Q2" s="361" t="s">
        <v>349</v>
      </c>
      <c r="R2" s="354" t="s">
        <v>350</v>
      </c>
      <c r="S2" s="361" t="s">
        <v>351</v>
      </c>
      <c r="T2" s="297" t="s">
        <v>12</v>
      </c>
      <c r="U2" s="361" t="s">
        <v>352</v>
      </c>
      <c r="V2" s="361" t="s">
        <v>353</v>
      </c>
      <c r="W2" s="362" t="s">
        <v>354</v>
      </c>
      <c r="X2" s="363" t="s">
        <v>355</v>
      </c>
      <c r="Y2" s="29"/>
      <c r="Z2" s="29"/>
      <c r="AA2" s="29"/>
    </row>
    <row r="3" spans="1:53" ht="18" customHeight="1">
      <c r="B3" s="282"/>
      <c r="C3" s="284"/>
      <c r="D3" s="286"/>
      <c r="E3" s="353" t="s">
        <v>338</v>
      </c>
      <c r="F3" s="36"/>
      <c r="G3" s="37"/>
      <c r="H3" s="284"/>
      <c r="I3" s="360" t="s">
        <v>347</v>
      </c>
      <c r="J3" s="356" t="s">
        <v>340</v>
      </c>
      <c r="K3" s="357" t="s">
        <v>341</v>
      </c>
      <c r="L3" s="292"/>
      <c r="M3" s="357" t="s">
        <v>345</v>
      </c>
      <c r="N3" s="292"/>
      <c r="O3" s="359" t="s">
        <v>346</v>
      </c>
      <c r="P3" s="355" t="s">
        <v>348</v>
      </c>
      <c r="Q3" s="297"/>
      <c r="R3" s="298"/>
      <c r="S3" s="297"/>
      <c r="T3" s="297"/>
      <c r="U3" s="297"/>
      <c r="V3" s="297"/>
      <c r="W3" s="296"/>
      <c r="X3" s="295"/>
      <c r="Y3" s="29" t="s">
        <v>329</v>
      </c>
      <c r="Z3" s="29" t="s">
        <v>330</v>
      </c>
      <c r="AA3" s="29" t="s">
        <v>331</v>
      </c>
      <c r="AY3" s="280">
        <v>45953</v>
      </c>
    </row>
    <row r="4" spans="1:53" ht="18" customHeight="1">
      <c r="B4" s="283"/>
      <c r="C4" s="285"/>
      <c r="D4" s="287"/>
      <c r="E4" s="31"/>
      <c r="F4" s="34"/>
      <c r="G4" s="35"/>
      <c r="H4" s="285"/>
      <c r="I4" s="290"/>
      <c r="J4" s="291"/>
      <c r="K4" s="358" t="s">
        <v>342</v>
      </c>
      <c r="L4" s="358" t="s">
        <v>343</v>
      </c>
      <c r="M4" s="358" t="s">
        <v>344</v>
      </c>
      <c r="N4" s="358" t="s">
        <v>343</v>
      </c>
      <c r="O4" s="293"/>
      <c r="P4" s="294"/>
      <c r="Q4" s="297"/>
      <c r="R4" s="299"/>
      <c r="S4" s="297"/>
      <c r="T4" s="297"/>
      <c r="U4" s="297"/>
      <c r="V4" s="297"/>
      <c r="W4" s="296"/>
      <c r="X4" s="295"/>
      <c r="Y4" s="29"/>
      <c r="Z4" s="29"/>
      <c r="AA4" s="29"/>
      <c r="AB4" s="1" t="s">
        <v>54</v>
      </c>
      <c r="AC4" s="1" t="s">
        <v>56</v>
      </c>
      <c r="AD4" s="1" t="s">
        <v>55</v>
      </c>
      <c r="AE4" s="1" t="s">
        <v>57</v>
      </c>
      <c r="AF4" s="1" t="s">
        <v>68</v>
      </c>
      <c r="AG4" s="1" t="s">
        <v>74</v>
      </c>
      <c r="AH4" s="1" t="s">
        <v>63</v>
      </c>
      <c r="AI4" s="1" t="s">
        <v>62</v>
      </c>
      <c r="AJ4" s="1" t="s">
        <v>75</v>
      </c>
      <c r="AK4" s="1" t="s">
        <v>64</v>
      </c>
      <c r="AL4" s="1" t="s">
        <v>65</v>
      </c>
      <c r="AM4" s="1" t="s">
        <v>66</v>
      </c>
      <c r="AN4" s="1" t="s">
        <v>67</v>
      </c>
      <c r="AO4" s="1" t="s">
        <v>70</v>
      </c>
      <c r="AP4" s="1" t="s">
        <v>71</v>
      </c>
      <c r="AQ4" s="1" t="s">
        <v>72</v>
      </c>
      <c r="AR4" s="1" t="s">
        <v>73</v>
      </c>
      <c r="AS4" s="1" t="s">
        <v>328</v>
      </c>
      <c r="AT4" s="1" t="s">
        <v>69</v>
      </c>
      <c r="AY4" s="1" t="s">
        <v>332</v>
      </c>
      <c r="AZ4" s="1" t="s">
        <v>333</v>
      </c>
      <c r="BA4" s="1" t="s">
        <v>334</v>
      </c>
    </row>
    <row r="5" spans="1:53" ht="16.5">
      <c r="B5" s="2">
        <f>ROW()-4</f>
        <v>1</v>
      </c>
      <c r="C5" s="364" t="s">
        <v>356</v>
      </c>
      <c r="D5" s="3" t="s">
        <v>2</v>
      </c>
      <c r="E5" s="365" t="s">
        <v>357</v>
      </c>
      <c r="F5" s="19"/>
      <c r="G5" s="18"/>
      <c r="H5" s="23" t="s">
        <v>10</v>
      </c>
      <c r="I5" s="24" t="s">
        <v>10</v>
      </c>
      <c r="J5" s="2"/>
      <c r="K5" s="11"/>
      <c r="L5" s="11"/>
      <c r="M5" s="11"/>
      <c r="N5" s="11"/>
      <c r="O5" s="4"/>
      <c r="P5" s="24"/>
      <c r="Q5" s="9"/>
      <c r="R5" s="9"/>
      <c r="S5" s="25"/>
      <c r="T5" s="27"/>
      <c r="U5" s="27"/>
      <c r="V5" s="27"/>
      <c r="W5" s="279"/>
      <c r="X5" s="279"/>
      <c r="Y5" s="277" t="str">
        <f>I5</f>
        <v/>
      </c>
      <c r="Z5" s="277" t="e">
        <f>I5*O5</f>
        <v>#VALUE!</v>
      </c>
      <c r="AA5" s="278">
        <f>P5</f>
        <v>0</v>
      </c>
      <c r="AU5" s="1">
        <f>NETWORKDAYS(K5,L5,1)</f>
        <v>0</v>
      </c>
      <c r="AZ5" s="1">
        <f>IF(X5="",J5,X5)</f>
        <v>0</v>
      </c>
    </row>
    <row r="6" spans="1:53" ht="16.5">
      <c r="B6" s="2">
        <f t="shared" ref="B6:B64" si="0">ROW()-4</f>
        <v>2</v>
      </c>
      <c r="C6" s="364" t="s">
        <v>356</v>
      </c>
      <c r="D6" s="3" t="s">
        <v>2</v>
      </c>
      <c r="E6" s="366" t="s">
        <v>358</v>
      </c>
      <c r="F6" s="367" t="s">
        <v>359</v>
      </c>
      <c r="G6" s="18"/>
      <c r="H6" s="23"/>
      <c r="I6" s="24" t="s">
        <v>10</v>
      </c>
      <c r="J6" s="2"/>
      <c r="K6" s="11"/>
      <c r="L6" s="11"/>
      <c r="M6" s="11"/>
      <c r="N6" s="11"/>
      <c r="O6" s="4"/>
      <c r="P6" s="24"/>
      <c r="Q6" s="9"/>
      <c r="R6" s="9"/>
      <c r="S6" s="25"/>
      <c r="T6" s="27"/>
      <c r="U6" s="27"/>
      <c r="V6" s="27"/>
      <c r="W6" s="279"/>
      <c r="X6" s="27"/>
      <c r="Y6" s="277" t="str">
        <f>I6</f>
        <v/>
      </c>
      <c r="Z6" s="277" t="e">
        <f>I6*O6</f>
        <v>#VALUE!</v>
      </c>
      <c r="AA6" s="278">
        <f>P6</f>
        <v>0</v>
      </c>
      <c r="AU6" s="1">
        <f>NETWORKDAYS(K6,L6,1)</f>
        <v>0</v>
      </c>
      <c r="AZ6" s="1">
        <f>IF(X6="",J6,X6)</f>
        <v>0</v>
      </c>
    </row>
    <row r="7" spans="1:53" ht="16.5">
      <c r="B7" s="2">
        <f t="shared" si="0"/>
        <v>3</v>
      </c>
      <c r="C7" s="364" t="s">
        <v>356</v>
      </c>
      <c r="D7" s="3" t="s">
        <v>2</v>
      </c>
      <c r="E7" s="366" t="s">
        <v>358</v>
      </c>
      <c r="F7" s="368" t="s">
        <v>360</v>
      </c>
      <c r="G7" s="18" t="s">
        <v>364</v>
      </c>
      <c r="H7" s="373" t="s">
        <v>393</v>
      </c>
      <c r="I7" s="24">
        <v>24</v>
      </c>
      <c r="J7" s="364" t="s">
        <v>394</v>
      </c>
      <c r="K7" s="11">
        <v>45979</v>
      </c>
      <c r="L7" s="11">
        <v>45982</v>
      </c>
      <c r="M7" s="11">
        <v>45979</v>
      </c>
      <c r="N7" s="11"/>
      <c r="O7" s="4">
        <v>0.5</v>
      </c>
      <c r="P7" s="24">
        <v>16</v>
      </c>
      <c r="Q7" s="9"/>
      <c r="R7" s="9"/>
      <c r="S7" s="25"/>
      <c r="T7" s="27"/>
      <c r="U7" s="27"/>
      <c r="V7" s="27"/>
      <c r="W7" s="279"/>
      <c r="X7" s="279"/>
      <c r="Y7" s="277">
        <f>I7</f>
        <v>24</v>
      </c>
      <c r="Z7" s="277">
        <f>I7*O7</f>
        <v>12</v>
      </c>
      <c r="AA7" s="278">
        <f>P7</f>
        <v>16</v>
      </c>
      <c r="AU7" s="1">
        <f>NETWORKDAYS(K7,L7,1)</f>
        <v>4</v>
      </c>
      <c r="AY7" s="1">
        <v>30</v>
      </c>
      <c r="AZ7" s="1" t="str">
        <f>IF(X7="",J7,X7)</f>
        <v>特纳</v>
      </c>
    </row>
    <row r="8" spans="1:53" ht="16.5">
      <c r="B8" s="2">
        <f t="shared" si="0"/>
        <v>4</v>
      </c>
      <c r="C8" s="364" t="s">
        <v>356</v>
      </c>
      <c r="D8" s="3" t="s">
        <v>2</v>
      </c>
      <c r="E8" s="366" t="s">
        <v>358</v>
      </c>
      <c r="F8" s="368" t="s">
        <v>360</v>
      </c>
      <c r="G8" s="18" t="s">
        <v>397</v>
      </c>
      <c r="H8" s="373" t="s">
        <v>393</v>
      </c>
      <c r="I8" s="24">
        <v>4</v>
      </c>
      <c r="J8" s="364" t="s">
        <v>394</v>
      </c>
      <c r="K8" s="11">
        <v>45983</v>
      </c>
      <c r="L8" s="11">
        <v>45983</v>
      </c>
      <c r="M8" s="11"/>
      <c r="N8" s="11"/>
      <c r="O8" s="4"/>
      <c r="P8" s="24"/>
      <c r="Q8" s="9"/>
      <c r="R8" s="9"/>
      <c r="S8" s="25"/>
      <c r="T8" s="27"/>
      <c r="U8" s="27"/>
      <c r="V8" s="27"/>
      <c r="W8" s="279"/>
      <c r="X8" s="279"/>
      <c r="Y8" s="277">
        <f>I8</f>
        <v>4</v>
      </c>
      <c r="Z8" s="277">
        <f>I8*O8</f>
        <v>0</v>
      </c>
      <c r="AA8" s="278">
        <f>P8</f>
        <v>0</v>
      </c>
      <c r="AU8" s="1">
        <f>NETWORKDAYS(K8,L8,1)</f>
        <v>0</v>
      </c>
      <c r="AY8" s="1">
        <v>30</v>
      </c>
      <c r="AZ8" s="1" t="str">
        <f>IF(X8="",J8,X8)</f>
        <v>特纳</v>
      </c>
    </row>
    <row r="9" spans="1:53" ht="16.5">
      <c r="B9" s="2">
        <f t="shared" si="0"/>
        <v>5</v>
      </c>
      <c r="C9" s="364" t="s">
        <v>356</v>
      </c>
      <c r="D9" s="3" t="s">
        <v>2</v>
      </c>
      <c r="E9" s="366" t="s">
        <v>358</v>
      </c>
      <c r="F9" s="368" t="s">
        <v>361</v>
      </c>
      <c r="G9" s="18" t="s">
        <v>365</v>
      </c>
      <c r="H9" s="373" t="s">
        <v>393</v>
      </c>
      <c r="I9" s="24">
        <v>16</v>
      </c>
      <c r="J9" s="364" t="s">
        <v>394</v>
      </c>
      <c r="K9" s="11">
        <v>45983</v>
      </c>
      <c r="L9" s="11">
        <v>45985</v>
      </c>
      <c r="M9" s="11"/>
      <c r="N9" s="11"/>
      <c r="O9" s="4"/>
      <c r="P9" s="24"/>
      <c r="Q9" s="9"/>
      <c r="R9" s="9"/>
      <c r="S9" s="25"/>
      <c r="T9" s="27"/>
      <c r="U9" s="27"/>
      <c r="V9" s="27"/>
      <c r="W9" s="279"/>
      <c r="X9" s="27"/>
      <c r="Y9" s="277">
        <f>I9</f>
        <v>16</v>
      </c>
      <c r="Z9" s="277">
        <f>I9*O9</f>
        <v>0</v>
      </c>
      <c r="AA9" s="278">
        <f>P9</f>
        <v>0</v>
      </c>
      <c r="AU9" s="1">
        <f>NETWORKDAYS(K9,L9,1)</f>
        <v>1</v>
      </c>
      <c r="AY9" s="1">
        <v>30</v>
      </c>
      <c r="AZ9" s="1" t="str">
        <f>IF(X9="",J9,X9)</f>
        <v>特纳</v>
      </c>
    </row>
    <row r="10" spans="1:53" ht="16.5">
      <c r="B10" s="2">
        <f t="shared" si="0"/>
        <v>6</v>
      </c>
      <c r="C10" s="364" t="s">
        <v>356</v>
      </c>
      <c r="D10" s="3" t="s">
        <v>2</v>
      </c>
      <c r="E10" s="366" t="s">
        <v>358</v>
      </c>
      <c r="F10" s="368" t="s">
        <v>361</v>
      </c>
      <c r="G10" s="18" t="s">
        <v>398</v>
      </c>
      <c r="H10" s="373" t="s">
        <v>393</v>
      </c>
      <c r="I10" s="24">
        <v>4</v>
      </c>
      <c r="J10" s="364" t="s">
        <v>394</v>
      </c>
      <c r="K10" s="11">
        <v>45986</v>
      </c>
      <c r="L10" s="11">
        <v>45986</v>
      </c>
      <c r="M10" s="11"/>
      <c r="N10" s="11"/>
      <c r="O10" s="4"/>
      <c r="P10" s="24"/>
      <c r="Q10" s="9"/>
      <c r="R10" s="9"/>
      <c r="S10" s="25"/>
      <c r="T10" s="27"/>
      <c r="U10" s="27"/>
      <c r="V10" s="27"/>
      <c r="W10" s="279"/>
      <c r="X10" s="27"/>
      <c r="Y10" s="277">
        <f>I10</f>
        <v>4</v>
      </c>
      <c r="Z10" s="277">
        <f>I10*O10</f>
        <v>0</v>
      </c>
      <c r="AA10" s="278">
        <f>P10</f>
        <v>0</v>
      </c>
      <c r="AU10" s="1">
        <f>NETWORKDAYS(K10,L10,1)</f>
        <v>1</v>
      </c>
      <c r="AY10" s="1">
        <v>30</v>
      </c>
      <c r="AZ10" s="1" t="str">
        <f>IF(X10="",J10,X10)</f>
        <v>特纳</v>
      </c>
    </row>
    <row r="11" spans="1:53" ht="16.5">
      <c r="B11" s="2">
        <f t="shared" si="0"/>
        <v>7</v>
      </c>
      <c r="C11" s="364" t="s">
        <v>356</v>
      </c>
      <c r="D11" s="3" t="s">
        <v>2</v>
      </c>
      <c r="E11" s="366" t="s">
        <v>358</v>
      </c>
      <c r="F11" s="368" t="s">
        <v>362</v>
      </c>
      <c r="G11" s="18" t="s">
        <v>399</v>
      </c>
      <c r="H11" s="373" t="s">
        <v>393</v>
      </c>
      <c r="I11" s="24">
        <v>32</v>
      </c>
      <c r="J11" s="364" t="s">
        <v>396</v>
      </c>
      <c r="K11" s="11">
        <v>45985</v>
      </c>
      <c r="L11" s="11">
        <v>45989</v>
      </c>
      <c r="M11" s="11"/>
      <c r="N11" s="11"/>
      <c r="O11" s="4"/>
      <c r="P11" s="24"/>
      <c r="Q11" s="9"/>
      <c r="R11" s="9"/>
      <c r="S11" s="25"/>
      <c r="T11" s="27"/>
      <c r="U11" s="27"/>
      <c r="V11" s="27"/>
      <c r="W11" s="279"/>
      <c r="X11" s="27"/>
      <c r="Y11" s="277">
        <f>I11</f>
        <v>32</v>
      </c>
      <c r="Z11" s="277">
        <f>I11*O11</f>
        <v>0</v>
      </c>
      <c r="AA11" s="278">
        <f>P11</f>
        <v>0</v>
      </c>
      <c r="AU11" s="1">
        <f>NETWORKDAYS(K11,L11,1)</f>
        <v>5</v>
      </c>
      <c r="AY11" s="1">
        <v>24</v>
      </c>
      <c r="AZ11" s="1" t="str">
        <f>IF(X11="",J11,X11)</f>
        <v>W2</v>
      </c>
    </row>
    <row r="12" spans="1:53" ht="16.5">
      <c r="B12" s="2">
        <f t="shared" si="0"/>
        <v>8</v>
      </c>
      <c r="C12" s="364" t="s">
        <v>356</v>
      </c>
      <c r="D12" s="3" t="s">
        <v>2</v>
      </c>
      <c r="E12" s="366" t="s">
        <v>358</v>
      </c>
      <c r="F12" s="368" t="s">
        <v>362</v>
      </c>
      <c r="G12" s="18" t="s">
        <v>400</v>
      </c>
      <c r="H12" s="373" t="s">
        <v>393</v>
      </c>
      <c r="I12" s="24">
        <v>4</v>
      </c>
      <c r="J12" s="364" t="s">
        <v>394</v>
      </c>
      <c r="K12" s="11">
        <v>45990</v>
      </c>
      <c r="L12" s="11">
        <v>45991</v>
      </c>
      <c r="M12" s="11"/>
      <c r="N12" s="11"/>
      <c r="O12" s="4"/>
      <c r="P12" s="24"/>
      <c r="Q12" s="9"/>
      <c r="R12" s="9"/>
      <c r="S12" s="25"/>
      <c r="T12" s="27"/>
      <c r="U12" s="27"/>
      <c r="V12" s="27"/>
      <c r="W12" s="279"/>
      <c r="X12" s="27"/>
      <c r="Y12" s="277">
        <f>I12</f>
        <v>4</v>
      </c>
      <c r="Z12" s="277">
        <f>I12*O12</f>
        <v>0</v>
      </c>
      <c r="AA12" s="278">
        <f>P12</f>
        <v>0</v>
      </c>
      <c r="AU12" s="1">
        <f>NETWORKDAYS(K12,L12,1)</f>
        <v>0</v>
      </c>
      <c r="AY12" s="1">
        <v>24</v>
      </c>
      <c r="AZ12" s="1" t="str">
        <f>IF(X12="",J12,X12)</f>
        <v>特纳</v>
      </c>
    </row>
    <row r="13" spans="1:53" ht="16.5">
      <c r="B13" s="2">
        <f t="shared" si="0"/>
        <v>9</v>
      </c>
      <c r="C13" s="364" t="s">
        <v>356</v>
      </c>
      <c r="D13" s="3" t="s">
        <v>2</v>
      </c>
      <c r="E13" s="366" t="s">
        <v>358</v>
      </c>
      <c r="F13" s="368" t="s">
        <v>363</v>
      </c>
      <c r="G13" s="18" t="s">
        <v>366</v>
      </c>
      <c r="H13" s="373" t="s">
        <v>393</v>
      </c>
      <c r="I13" s="24">
        <v>16</v>
      </c>
      <c r="J13" s="364" t="s">
        <v>394</v>
      </c>
      <c r="K13" s="11">
        <v>45987</v>
      </c>
      <c r="L13" s="11">
        <v>45989</v>
      </c>
      <c r="M13" s="11"/>
      <c r="N13" s="11"/>
      <c r="O13" s="4"/>
      <c r="P13" s="24"/>
      <c r="Q13" s="9"/>
      <c r="R13" s="9"/>
      <c r="S13" s="25"/>
      <c r="T13" s="27"/>
      <c r="U13" s="27"/>
      <c r="V13" s="27"/>
      <c r="W13" s="279"/>
      <c r="X13" s="27"/>
      <c r="Y13" s="277">
        <f>I13</f>
        <v>16</v>
      </c>
      <c r="Z13" s="277">
        <f>I13*O13</f>
        <v>0</v>
      </c>
      <c r="AA13" s="278">
        <f>P13</f>
        <v>0</v>
      </c>
      <c r="AU13" s="1">
        <f>NETWORKDAYS(K13,L13,1)</f>
        <v>3</v>
      </c>
      <c r="AY13" s="1">
        <v>24</v>
      </c>
      <c r="AZ13" s="1" t="str">
        <f>IF(X13="",J13,X13)</f>
        <v>特纳</v>
      </c>
    </row>
    <row r="14" spans="1:53" ht="16.5">
      <c r="B14" s="2">
        <f t="shared" si="0"/>
        <v>10</v>
      </c>
      <c r="C14" s="364" t="s">
        <v>356</v>
      </c>
      <c r="D14" s="3" t="s">
        <v>2</v>
      </c>
      <c r="E14" s="366" t="s">
        <v>358</v>
      </c>
      <c r="F14" s="368" t="s">
        <v>363</v>
      </c>
      <c r="G14" s="18" t="s">
        <v>401</v>
      </c>
      <c r="H14" s="373" t="s">
        <v>393</v>
      </c>
      <c r="I14" s="24">
        <v>4</v>
      </c>
      <c r="J14" s="364" t="s">
        <v>394</v>
      </c>
      <c r="K14" s="11">
        <v>45990</v>
      </c>
      <c r="L14" s="11">
        <v>45991</v>
      </c>
      <c r="M14" s="11"/>
      <c r="N14" s="11"/>
      <c r="O14" s="4"/>
      <c r="P14" s="24"/>
      <c r="Q14" s="9"/>
      <c r="R14" s="9"/>
      <c r="S14" s="25"/>
      <c r="T14" s="27"/>
      <c r="U14" s="27"/>
      <c r="V14" s="27"/>
      <c r="W14" s="279"/>
      <c r="X14" s="27"/>
      <c r="Y14" s="277">
        <f>I14</f>
        <v>4</v>
      </c>
      <c r="Z14" s="277">
        <f>I14*O14</f>
        <v>0</v>
      </c>
      <c r="AA14" s="278">
        <f>P14</f>
        <v>0</v>
      </c>
      <c r="AU14" s="1">
        <f>NETWORKDAYS(K14,L14,1)</f>
        <v>0</v>
      </c>
      <c r="AY14" s="1">
        <v>24</v>
      </c>
      <c r="AZ14" s="1" t="str">
        <f>IF(X14="",J14,X14)</f>
        <v>特纳</v>
      </c>
    </row>
    <row r="15" spans="1:53" ht="16.5">
      <c r="B15" s="2">
        <f t="shared" si="0"/>
        <v>11</v>
      </c>
      <c r="C15" s="364" t="s">
        <v>356</v>
      </c>
      <c r="D15" s="3" t="s">
        <v>2</v>
      </c>
      <c r="E15" s="366" t="s">
        <v>358</v>
      </c>
      <c r="F15" s="369" t="s">
        <v>372</v>
      </c>
      <c r="G15" s="18"/>
      <c r="H15" s="23"/>
      <c r="I15" s="24"/>
      <c r="J15" s="2"/>
      <c r="K15" s="11"/>
      <c r="L15" s="11"/>
      <c r="M15" s="11"/>
      <c r="N15" s="11"/>
      <c r="O15" s="4"/>
      <c r="P15" s="24"/>
      <c r="Q15" s="9"/>
      <c r="R15" s="9"/>
      <c r="S15" s="25"/>
      <c r="T15" s="27"/>
      <c r="U15" s="27"/>
      <c r="V15" s="27"/>
      <c r="W15" s="279"/>
      <c r="X15" s="27"/>
      <c r="Y15" s="277">
        <f>I15</f>
        <v>0</v>
      </c>
      <c r="Z15" s="277">
        <f>I15*O15</f>
        <v>0</v>
      </c>
      <c r="AA15" s="278">
        <f>P15</f>
        <v>0</v>
      </c>
      <c r="AU15" s="1">
        <f>NETWORKDAYS(K15,L15,1)</f>
        <v>0</v>
      </c>
      <c r="AY15" s="1">
        <v>12</v>
      </c>
      <c r="AZ15" s="1">
        <f>IF(X15="",J15,X15)</f>
        <v>0</v>
      </c>
    </row>
    <row r="16" spans="1:53" ht="15" customHeight="1">
      <c r="B16" s="2">
        <f t="shared" si="0"/>
        <v>12</v>
      </c>
      <c r="C16" s="364" t="s">
        <v>356</v>
      </c>
      <c r="D16" s="3" t="s">
        <v>2</v>
      </c>
      <c r="E16" s="366" t="s">
        <v>358</v>
      </c>
      <c r="F16" s="22" t="s">
        <v>367</v>
      </c>
      <c r="G16" s="18" t="s">
        <v>373</v>
      </c>
      <c r="H16" s="373" t="s">
        <v>393</v>
      </c>
      <c r="I16" s="24">
        <v>40</v>
      </c>
      <c r="J16" s="364" t="s">
        <v>395</v>
      </c>
      <c r="K16" s="11">
        <v>45992</v>
      </c>
      <c r="L16" s="11">
        <v>46001</v>
      </c>
      <c r="M16" s="11"/>
      <c r="N16" s="11"/>
      <c r="O16" s="4"/>
      <c r="P16" s="24"/>
      <c r="Q16" s="9"/>
      <c r="R16" s="9"/>
      <c r="S16" s="25"/>
      <c r="T16" s="27"/>
      <c r="U16" s="27"/>
      <c r="V16" s="27"/>
      <c r="W16" s="279"/>
      <c r="X16" s="27"/>
      <c r="Y16" s="277">
        <f>I16</f>
        <v>40</v>
      </c>
      <c r="Z16" s="277">
        <f>I16*O16</f>
        <v>0</v>
      </c>
      <c r="AA16" s="278">
        <f>P16</f>
        <v>0</v>
      </c>
      <c r="AU16" s="1">
        <f>NETWORKDAYS(K16,L16,1)</f>
        <v>8</v>
      </c>
      <c r="AY16" s="1">
        <v>18</v>
      </c>
      <c r="AZ16" s="1" t="str">
        <f>IF(X16="",J16,X16)</f>
        <v>W1</v>
      </c>
    </row>
    <row r="17" spans="2:52" ht="15" customHeight="1">
      <c r="B17" s="2">
        <f t="shared" si="0"/>
        <v>13</v>
      </c>
      <c r="C17" s="364" t="s">
        <v>356</v>
      </c>
      <c r="D17" s="3" t="s">
        <v>2</v>
      </c>
      <c r="E17" s="366" t="s">
        <v>358</v>
      </c>
      <c r="F17" s="22" t="s">
        <v>367</v>
      </c>
      <c r="G17" s="18" t="s">
        <v>402</v>
      </c>
      <c r="H17" s="373" t="s">
        <v>393</v>
      </c>
      <c r="I17" s="24">
        <v>8</v>
      </c>
      <c r="J17" s="364" t="s">
        <v>394</v>
      </c>
      <c r="K17" s="11">
        <v>46002</v>
      </c>
      <c r="L17" s="11">
        <v>46003</v>
      </c>
      <c r="M17" s="11"/>
      <c r="N17" s="11"/>
      <c r="O17" s="4"/>
      <c r="P17" s="24"/>
      <c r="Q17" s="9"/>
      <c r="R17" s="9"/>
      <c r="S17" s="25"/>
      <c r="T17" s="27"/>
      <c r="U17" s="27"/>
      <c r="V17" s="27"/>
      <c r="W17" s="279"/>
      <c r="X17" s="27"/>
      <c r="Y17" s="277">
        <f>I17</f>
        <v>8</v>
      </c>
      <c r="Z17" s="277">
        <f>I17*O17</f>
        <v>0</v>
      </c>
      <c r="AA17" s="278">
        <f>P17</f>
        <v>0</v>
      </c>
      <c r="AU17" s="1">
        <f>NETWORKDAYS(K17,L17,1)</f>
        <v>2</v>
      </c>
      <c r="AY17" s="1">
        <v>18</v>
      </c>
      <c r="AZ17" s="1" t="str">
        <f>IF(X17="",J17,X17)</f>
        <v>特纳</v>
      </c>
    </row>
    <row r="18" spans="2:52" ht="15" customHeight="1">
      <c r="B18" s="2">
        <f t="shared" si="0"/>
        <v>14</v>
      </c>
      <c r="C18" s="364" t="s">
        <v>356</v>
      </c>
      <c r="D18" s="3" t="s">
        <v>2</v>
      </c>
      <c r="E18" s="366" t="s">
        <v>358</v>
      </c>
      <c r="F18" s="22" t="s">
        <v>368</v>
      </c>
      <c r="G18" s="18" t="s">
        <v>374</v>
      </c>
      <c r="H18" s="373" t="s">
        <v>393</v>
      </c>
      <c r="I18" s="24">
        <v>16</v>
      </c>
      <c r="J18" s="364" t="s">
        <v>395</v>
      </c>
      <c r="K18" s="11">
        <v>46004</v>
      </c>
      <c r="L18" s="11">
        <v>46005</v>
      </c>
      <c r="M18" s="11"/>
      <c r="N18" s="11"/>
      <c r="O18" s="4"/>
      <c r="P18" s="24"/>
      <c r="Q18" s="9"/>
      <c r="R18" s="9"/>
      <c r="S18" s="25"/>
      <c r="T18" s="27"/>
      <c r="U18" s="27"/>
      <c r="V18" s="27"/>
      <c r="W18" s="279"/>
      <c r="X18" s="27"/>
      <c r="Y18" s="277">
        <f>I18</f>
        <v>16</v>
      </c>
      <c r="Z18" s="277">
        <f>I18*O18</f>
        <v>0</v>
      </c>
      <c r="AA18" s="278">
        <f>P18</f>
        <v>0</v>
      </c>
      <c r="AU18" s="1">
        <f>NETWORKDAYS(K18,L18,1)</f>
        <v>0</v>
      </c>
      <c r="AY18" s="1">
        <v>36.5</v>
      </c>
      <c r="AZ18" s="1" t="str">
        <f>IF(X18="",J18,X18)</f>
        <v>W1</v>
      </c>
    </row>
    <row r="19" spans="2:52" ht="15" customHeight="1">
      <c r="B19" s="2">
        <f t="shared" si="0"/>
        <v>15</v>
      </c>
      <c r="C19" s="364" t="s">
        <v>356</v>
      </c>
      <c r="D19" s="3" t="s">
        <v>2</v>
      </c>
      <c r="E19" s="366" t="s">
        <v>358</v>
      </c>
      <c r="F19" s="22" t="s">
        <v>368</v>
      </c>
      <c r="G19" s="18" t="s">
        <v>403</v>
      </c>
      <c r="H19" s="373" t="s">
        <v>393</v>
      </c>
      <c r="I19" s="24">
        <v>4</v>
      </c>
      <c r="J19" s="364" t="s">
        <v>394</v>
      </c>
      <c r="K19" s="11">
        <v>46005</v>
      </c>
      <c r="L19" s="11">
        <v>46005</v>
      </c>
      <c r="M19" s="11"/>
      <c r="N19" s="11"/>
      <c r="O19" s="4"/>
      <c r="P19" s="24"/>
      <c r="Q19" s="9"/>
      <c r="R19" s="9"/>
      <c r="S19" s="25"/>
      <c r="T19" s="27"/>
      <c r="U19" s="27"/>
      <c r="V19" s="27"/>
      <c r="W19" s="279"/>
      <c r="X19" s="27"/>
      <c r="Y19" s="277">
        <f>I19</f>
        <v>4</v>
      </c>
      <c r="Z19" s="277">
        <f>I19*O19</f>
        <v>0</v>
      </c>
      <c r="AA19" s="278">
        <f>P19</f>
        <v>0</v>
      </c>
      <c r="AU19" s="1">
        <f>NETWORKDAYS(K19,L19,1)</f>
        <v>0</v>
      </c>
      <c r="AY19" s="1">
        <v>36.5</v>
      </c>
      <c r="AZ19" s="1" t="str">
        <f>IF(X19="",J19,X19)</f>
        <v>特纳</v>
      </c>
    </row>
    <row r="20" spans="2:52" ht="15" customHeight="1">
      <c r="B20" s="2">
        <f t="shared" si="0"/>
        <v>16</v>
      </c>
      <c r="C20" s="364" t="s">
        <v>356</v>
      </c>
      <c r="D20" s="3" t="s">
        <v>2</v>
      </c>
      <c r="E20" s="366" t="s">
        <v>358</v>
      </c>
      <c r="F20" s="22" t="s">
        <v>369</v>
      </c>
      <c r="G20" s="18" t="s">
        <v>375</v>
      </c>
      <c r="H20" s="373" t="s">
        <v>393</v>
      </c>
      <c r="I20" s="24">
        <v>32</v>
      </c>
      <c r="J20" s="364" t="s">
        <v>394</v>
      </c>
      <c r="K20" s="11">
        <v>45992</v>
      </c>
      <c r="L20" s="11">
        <v>45999</v>
      </c>
      <c r="M20" s="11"/>
      <c r="N20" s="11"/>
      <c r="O20" s="4"/>
      <c r="P20" s="24"/>
      <c r="Q20" s="9"/>
      <c r="R20" s="9"/>
      <c r="S20" s="25"/>
      <c r="T20" s="27"/>
      <c r="U20" s="27"/>
      <c r="V20" s="27"/>
      <c r="W20" s="279"/>
      <c r="X20" s="27"/>
      <c r="Y20" s="277">
        <f>I20</f>
        <v>32</v>
      </c>
      <c r="Z20" s="277">
        <f>I20*O20</f>
        <v>0</v>
      </c>
      <c r="AA20" s="278">
        <f>P20</f>
        <v>0</v>
      </c>
      <c r="AU20" s="1">
        <f>NETWORKDAYS(K20,L20,1)</f>
        <v>6</v>
      </c>
      <c r="AY20" s="1">
        <v>33</v>
      </c>
      <c r="AZ20" s="1" t="str">
        <f>IF(X20="",J20,X20)</f>
        <v>特纳</v>
      </c>
    </row>
    <row r="21" spans="2:52" ht="15" customHeight="1">
      <c r="B21" s="2">
        <f t="shared" si="0"/>
        <v>17</v>
      </c>
      <c r="C21" s="364" t="s">
        <v>356</v>
      </c>
      <c r="D21" s="3" t="s">
        <v>2</v>
      </c>
      <c r="E21" s="366" t="s">
        <v>358</v>
      </c>
      <c r="F21" s="22" t="s">
        <v>369</v>
      </c>
      <c r="G21" s="18" t="s">
        <v>404</v>
      </c>
      <c r="H21" s="373" t="s">
        <v>393</v>
      </c>
      <c r="I21" s="24">
        <v>4</v>
      </c>
      <c r="J21" s="364" t="s">
        <v>394</v>
      </c>
      <c r="K21" s="11">
        <v>46000</v>
      </c>
      <c r="L21" s="11">
        <v>46000</v>
      </c>
      <c r="M21" s="11"/>
      <c r="N21" s="11"/>
      <c r="O21" s="4"/>
      <c r="P21" s="24"/>
      <c r="Q21" s="9"/>
      <c r="R21" s="9"/>
      <c r="S21" s="25"/>
      <c r="T21" s="27"/>
      <c r="U21" s="27"/>
      <c r="V21" s="27"/>
      <c r="W21" s="279"/>
      <c r="X21" s="27"/>
      <c r="Y21" s="277">
        <f>I21</f>
        <v>4</v>
      </c>
      <c r="Z21" s="277">
        <f>I21*O21</f>
        <v>0</v>
      </c>
      <c r="AA21" s="278">
        <f>P21</f>
        <v>0</v>
      </c>
      <c r="AU21" s="1">
        <f>NETWORKDAYS(K21,L21,1)</f>
        <v>1</v>
      </c>
      <c r="AY21" s="1">
        <v>33</v>
      </c>
      <c r="AZ21" s="1" t="str">
        <f>IF(X21="",J21,X21)</f>
        <v>特纳</v>
      </c>
    </row>
    <row r="22" spans="2:52" ht="15" customHeight="1">
      <c r="B22" s="2">
        <f t="shared" si="0"/>
        <v>18</v>
      </c>
      <c r="C22" s="364" t="s">
        <v>356</v>
      </c>
      <c r="D22" s="3" t="s">
        <v>2</v>
      </c>
      <c r="E22" s="366" t="s">
        <v>358</v>
      </c>
      <c r="F22" s="22" t="s">
        <v>370</v>
      </c>
      <c r="G22" s="18" t="s">
        <v>376</v>
      </c>
      <c r="H22" s="373" t="s">
        <v>393</v>
      </c>
      <c r="I22" s="24">
        <v>8</v>
      </c>
      <c r="J22" s="364" t="s">
        <v>394</v>
      </c>
      <c r="K22" s="11">
        <v>46000</v>
      </c>
      <c r="L22" s="11">
        <v>46001</v>
      </c>
      <c r="M22" s="11"/>
      <c r="N22" s="11"/>
      <c r="O22" s="4"/>
      <c r="P22" s="24"/>
      <c r="Q22" s="9"/>
      <c r="R22" s="9"/>
      <c r="S22" s="25"/>
      <c r="T22" s="27"/>
      <c r="U22" s="27"/>
      <c r="V22" s="27"/>
      <c r="W22" s="279"/>
      <c r="X22" s="27"/>
      <c r="Y22" s="277">
        <f>I22</f>
        <v>8</v>
      </c>
      <c r="Z22" s="277">
        <f>I22*O22</f>
        <v>0</v>
      </c>
      <c r="AA22" s="278">
        <f>P22</f>
        <v>0</v>
      </c>
      <c r="AU22" s="1">
        <f>NETWORKDAYS(K22,L22,1)</f>
        <v>2</v>
      </c>
      <c r="AZ22" s="1" t="str">
        <f>IF(X22="",J22,X22)</f>
        <v>特纳</v>
      </c>
    </row>
    <row r="23" spans="2:52" ht="15" customHeight="1">
      <c r="B23" s="2">
        <f t="shared" si="0"/>
        <v>19</v>
      </c>
      <c r="C23" s="364" t="s">
        <v>356</v>
      </c>
      <c r="D23" s="3" t="s">
        <v>2</v>
      </c>
      <c r="E23" s="366" t="s">
        <v>358</v>
      </c>
      <c r="F23" s="22" t="s">
        <v>370</v>
      </c>
      <c r="G23" s="18" t="s">
        <v>405</v>
      </c>
      <c r="H23" s="373" t="s">
        <v>393</v>
      </c>
      <c r="I23" s="24">
        <v>2</v>
      </c>
      <c r="J23" s="364" t="s">
        <v>394</v>
      </c>
      <c r="K23" s="11">
        <v>46001</v>
      </c>
      <c r="L23" s="11">
        <v>46001</v>
      </c>
      <c r="M23" s="11"/>
      <c r="N23" s="11"/>
      <c r="O23" s="4"/>
      <c r="P23" s="24"/>
      <c r="Q23" s="9"/>
      <c r="R23" s="9"/>
      <c r="S23" s="25"/>
      <c r="T23" s="27"/>
      <c r="U23" s="27"/>
      <c r="V23" s="27"/>
      <c r="W23" s="279"/>
      <c r="X23" s="27"/>
      <c r="Y23" s="277">
        <f>I23</f>
        <v>2</v>
      </c>
      <c r="Z23" s="277">
        <f>I23*O23</f>
        <v>0</v>
      </c>
      <c r="AA23" s="278">
        <f>P23</f>
        <v>0</v>
      </c>
      <c r="AU23" s="1">
        <f>NETWORKDAYS(K23,L23,1)</f>
        <v>1</v>
      </c>
      <c r="AZ23" s="1" t="str">
        <f>IF(X23="",J23,X23)</f>
        <v>特纳</v>
      </c>
    </row>
    <row r="24" spans="2:52" ht="15" customHeight="1">
      <c r="B24" s="2">
        <f t="shared" si="0"/>
        <v>20</v>
      </c>
      <c r="C24" s="364" t="s">
        <v>356</v>
      </c>
      <c r="D24" s="3" t="s">
        <v>2</v>
      </c>
      <c r="E24" s="366" t="s">
        <v>358</v>
      </c>
      <c r="F24" s="22" t="s">
        <v>371</v>
      </c>
      <c r="G24" s="18" t="s">
        <v>377</v>
      </c>
      <c r="H24" s="373" t="s">
        <v>393</v>
      </c>
      <c r="I24" s="24">
        <v>16</v>
      </c>
      <c r="J24" s="364" t="s">
        <v>394</v>
      </c>
      <c r="K24" s="11">
        <v>46003</v>
      </c>
      <c r="L24" s="11">
        <v>46006</v>
      </c>
      <c r="M24" s="11"/>
      <c r="N24" s="11"/>
      <c r="O24" s="4"/>
      <c r="P24" s="24"/>
      <c r="Q24" s="9"/>
      <c r="R24" s="9"/>
      <c r="S24" s="25"/>
      <c r="T24" s="27"/>
      <c r="U24" s="27"/>
      <c r="V24" s="27"/>
      <c r="W24" s="279"/>
      <c r="X24" s="27"/>
      <c r="Y24" s="277">
        <f>I24</f>
        <v>16</v>
      </c>
      <c r="Z24" s="277">
        <f>I24*O24</f>
        <v>0</v>
      </c>
      <c r="AA24" s="278">
        <f>P24</f>
        <v>0</v>
      </c>
      <c r="AU24" s="1">
        <f>NETWORKDAYS(K24,L24,1)</f>
        <v>2</v>
      </c>
      <c r="AZ24" s="1" t="str">
        <f>IF(X24="",J24,X24)</f>
        <v>特纳</v>
      </c>
    </row>
    <row r="25" spans="2:52" ht="15" customHeight="1">
      <c r="B25" s="2">
        <f t="shared" si="0"/>
        <v>21</v>
      </c>
      <c r="C25" s="364" t="s">
        <v>356</v>
      </c>
      <c r="D25" s="3" t="s">
        <v>2</v>
      </c>
      <c r="E25" s="366" t="s">
        <v>358</v>
      </c>
      <c r="F25" s="22" t="s">
        <v>371</v>
      </c>
      <c r="G25" s="18" t="s">
        <v>406</v>
      </c>
      <c r="H25" s="373" t="s">
        <v>393</v>
      </c>
      <c r="I25" s="24">
        <v>4</v>
      </c>
      <c r="J25" s="364" t="s">
        <v>394</v>
      </c>
      <c r="K25" s="11">
        <v>46006</v>
      </c>
      <c r="L25" s="11">
        <v>46007</v>
      </c>
      <c r="M25" s="11"/>
      <c r="N25" s="11"/>
      <c r="O25" s="4"/>
      <c r="P25" s="24"/>
      <c r="Q25" s="9"/>
      <c r="R25" s="9"/>
      <c r="S25" s="25"/>
      <c r="T25" s="27"/>
      <c r="U25" s="27"/>
      <c r="V25" s="27"/>
      <c r="W25" s="279"/>
      <c r="X25" s="27"/>
      <c r="Y25" s="277">
        <f>I25</f>
        <v>4</v>
      </c>
      <c r="Z25" s="277">
        <f>I25*O25</f>
        <v>0</v>
      </c>
      <c r="AA25" s="278">
        <f>P25</f>
        <v>0</v>
      </c>
      <c r="AU25" s="1">
        <f>NETWORKDAYS(K25,L25,1)</f>
        <v>2</v>
      </c>
      <c r="AZ25" s="1" t="str">
        <f>IF(X25="",J25,X25)</f>
        <v>特纳</v>
      </c>
    </row>
    <row r="26" spans="2:52" ht="15" customHeight="1">
      <c r="B26" s="2">
        <f t="shared" si="0"/>
        <v>22</v>
      </c>
      <c r="C26" s="364" t="s">
        <v>356</v>
      </c>
      <c r="D26" s="3" t="s">
        <v>2</v>
      </c>
      <c r="E26" s="366" t="s">
        <v>358</v>
      </c>
      <c r="F26" s="369" t="s">
        <v>383</v>
      </c>
      <c r="G26" s="18"/>
      <c r="H26" s="23"/>
      <c r="I26" s="24"/>
      <c r="J26" s="2"/>
      <c r="K26" s="11"/>
      <c r="L26" s="11"/>
      <c r="M26" s="11"/>
      <c r="N26" s="11"/>
      <c r="O26" s="4"/>
      <c r="P26" s="24"/>
      <c r="Q26" s="9"/>
      <c r="R26" s="9"/>
      <c r="S26" s="25"/>
      <c r="T26" s="27"/>
      <c r="U26" s="27"/>
      <c r="V26" s="27"/>
      <c r="W26" s="279"/>
      <c r="X26" s="27"/>
      <c r="Y26" s="277">
        <f>I26</f>
        <v>0</v>
      </c>
      <c r="Z26" s="277">
        <f>I26*O26</f>
        <v>0</v>
      </c>
      <c r="AA26" s="278">
        <f>P26</f>
        <v>0</v>
      </c>
      <c r="AU26" s="1">
        <f>NETWORKDAYS(K26,L26,1)</f>
        <v>0</v>
      </c>
      <c r="AZ26" s="1">
        <f>IF(X26="",J26,X26)</f>
        <v>0</v>
      </c>
    </row>
    <row r="27" spans="2:52" ht="15" customHeight="1">
      <c r="B27" s="2">
        <f t="shared" si="0"/>
        <v>23</v>
      </c>
      <c r="C27" s="364" t="s">
        <v>356</v>
      </c>
      <c r="D27" s="3" t="s">
        <v>2</v>
      </c>
      <c r="E27" s="366" t="s">
        <v>358</v>
      </c>
      <c r="F27" s="22" t="s">
        <v>384</v>
      </c>
      <c r="G27" s="18" t="s">
        <v>378</v>
      </c>
      <c r="H27" s="373" t="s">
        <v>393</v>
      </c>
      <c r="I27" s="24">
        <v>32</v>
      </c>
      <c r="J27" s="377" t="s">
        <v>423</v>
      </c>
      <c r="K27" s="11">
        <v>46007</v>
      </c>
      <c r="L27" s="11">
        <v>46011</v>
      </c>
      <c r="M27" s="11"/>
      <c r="N27" s="11"/>
      <c r="O27" s="4"/>
      <c r="P27" s="24"/>
      <c r="Q27" s="9"/>
      <c r="R27" s="9"/>
      <c r="S27" s="25"/>
      <c r="T27" s="27"/>
      <c r="U27" s="27"/>
      <c r="V27" s="27"/>
      <c r="W27" s="279"/>
      <c r="X27" s="27"/>
      <c r="Y27" s="277">
        <f>I27</f>
        <v>32</v>
      </c>
      <c r="Z27" s="277">
        <f>I27*O27</f>
        <v>0</v>
      </c>
      <c r="AA27" s="278">
        <f>P27</f>
        <v>0</v>
      </c>
      <c r="AU27" s="1">
        <f>NETWORKDAYS(K27,L27,1)</f>
        <v>4</v>
      </c>
      <c r="AZ27" s="1" t="str">
        <f>IF(X27="",J27,X27)</f>
        <v>LM</v>
      </c>
    </row>
    <row r="28" spans="2:52" ht="15" customHeight="1">
      <c r="B28" s="2">
        <f t="shared" si="0"/>
        <v>24</v>
      </c>
      <c r="C28" s="364" t="s">
        <v>356</v>
      </c>
      <c r="D28" s="3" t="s">
        <v>2</v>
      </c>
      <c r="E28" s="366" t="s">
        <v>358</v>
      </c>
      <c r="F28" s="22" t="s">
        <v>384</v>
      </c>
      <c r="G28" s="18" t="s">
        <v>407</v>
      </c>
      <c r="H28" s="373" t="s">
        <v>393</v>
      </c>
      <c r="I28" s="24">
        <v>8</v>
      </c>
      <c r="J28" s="364" t="s">
        <v>394</v>
      </c>
      <c r="K28" s="11">
        <v>46011</v>
      </c>
      <c r="L28" s="11">
        <v>46012</v>
      </c>
      <c r="M28" s="11"/>
      <c r="N28" s="11"/>
      <c r="O28" s="4"/>
      <c r="P28" s="24"/>
      <c r="Q28" s="9"/>
      <c r="R28" s="9"/>
      <c r="S28" s="25"/>
      <c r="T28" s="27"/>
      <c r="U28" s="27"/>
      <c r="V28" s="27"/>
      <c r="W28" s="279"/>
      <c r="X28" s="27"/>
      <c r="Y28" s="277">
        <f>I28</f>
        <v>8</v>
      </c>
      <c r="Z28" s="277">
        <f>I28*O28</f>
        <v>0</v>
      </c>
      <c r="AA28" s="278">
        <f>P28</f>
        <v>0</v>
      </c>
      <c r="AU28" s="1">
        <f>NETWORKDAYS(K28,L28,1)</f>
        <v>0</v>
      </c>
      <c r="AZ28" s="1" t="str">
        <f>IF(X28="",J28,X28)</f>
        <v>特纳</v>
      </c>
    </row>
    <row r="29" spans="2:52" ht="15" customHeight="1">
      <c r="B29" s="2">
        <f t="shared" si="0"/>
        <v>25</v>
      </c>
      <c r="C29" s="364" t="s">
        <v>356</v>
      </c>
      <c r="D29" s="3" t="s">
        <v>2</v>
      </c>
      <c r="E29" s="366" t="s">
        <v>358</v>
      </c>
      <c r="F29" s="22" t="s">
        <v>385</v>
      </c>
      <c r="G29" s="18" t="s">
        <v>379</v>
      </c>
      <c r="H29" s="373" t="s">
        <v>393</v>
      </c>
      <c r="I29" s="24">
        <v>20</v>
      </c>
      <c r="J29" s="364" t="s">
        <v>394</v>
      </c>
      <c r="K29" s="11">
        <v>46007</v>
      </c>
      <c r="L29" s="11">
        <v>46010</v>
      </c>
      <c r="M29" s="11"/>
      <c r="N29" s="11"/>
      <c r="O29" s="4"/>
      <c r="P29" s="24"/>
      <c r="Q29" s="9"/>
      <c r="R29" s="9"/>
      <c r="S29" s="25"/>
      <c r="T29" s="27"/>
      <c r="U29" s="27"/>
      <c r="V29" s="27"/>
      <c r="W29" s="279"/>
      <c r="X29" s="27"/>
      <c r="Y29" s="277">
        <f>I29</f>
        <v>20</v>
      </c>
      <c r="Z29" s="277">
        <f>I29*O29</f>
        <v>0</v>
      </c>
      <c r="AA29" s="278">
        <f>P29</f>
        <v>0</v>
      </c>
      <c r="AU29" s="1">
        <f>NETWORKDAYS(K29,L29,1)</f>
        <v>4</v>
      </c>
      <c r="AZ29" s="1" t="str">
        <f>IF(X29="",J29,X29)</f>
        <v>特纳</v>
      </c>
    </row>
    <row r="30" spans="2:52" ht="15" customHeight="1">
      <c r="B30" s="2">
        <f t="shared" si="0"/>
        <v>26</v>
      </c>
      <c r="C30" s="364" t="s">
        <v>356</v>
      </c>
      <c r="D30" s="3" t="s">
        <v>2</v>
      </c>
      <c r="E30" s="366" t="s">
        <v>358</v>
      </c>
      <c r="F30" s="22" t="s">
        <v>385</v>
      </c>
      <c r="G30" s="18" t="s">
        <v>408</v>
      </c>
      <c r="H30" s="373" t="s">
        <v>393</v>
      </c>
      <c r="I30" s="24">
        <v>4</v>
      </c>
      <c r="J30" s="364" t="s">
        <v>394</v>
      </c>
      <c r="K30" s="11">
        <v>46011</v>
      </c>
      <c r="L30" s="11">
        <v>46012</v>
      </c>
      <c r="M30" s="11"/>
      <c r="N30" s="11"/>
      <c r="O30" s="4"/>
      <c r="P30" s="24"/>
      <c r="Q30" s="9"/>
      <c r="R30" s="9"/>
      <c r="S30" s="25"/>
      <c r="T30" s="27"/>
      <c r="U30" s="27"/>
      <c r="V30" s="27"/>
      <c r="W30" s="279"/>
      <c r="X30" s="27"/>
      <c r="Y30" s="277">
        <f>I30</f>
        <v>4</v>
      </c>
      <c r="Z30" s="277">
        <f>I30*O30</f>
        <v>0</v>
      </c>
      <c r="AA30" s="278">
        <f>P30</f>
        <v>0</v>
      </c>
      <c r="AU30" s="1">
        <f>NETWORKDAYS(K30,L30,1)</f>
        <v>0</v>
      </c>
      <c r="AZ30" s="1" t="str">
        <f>IF(X30="",J30,X30)</f>
        <v>特纳</v>
      </c>
    </row>
    <row r="31" spans="2:52" ht="15" customHeight="1">
      <c r="B31" s="2">
        <f t="shared" si="0"/>
        <v>27</v>
      </c>
      <c r="C31" s="364" t="s">
        <v>356</v>
      </c>
      <c r="D31" s="3" t="s">
        <v>2</v>
      </c>
      <c r="E31" s="366" t="s">
        <v>358</v>
      </c>
      <c r="F31" s="22" t="s">
        <v>386</v>
      </c>
      <c r="G31" s="18" t="s">
        <v>380</v>
      </c>
      <c r="H31" s="373" t="s">
        <v>393</v>
      </c>
      <c r="I31" s="24">
        <v>12</v>
      </c>
      <c r="J31" s="364" t="s">
        <v>394</v>
      </c>
      <c r="K31" s="11">
        <v>46013</v>
      </c>
      <c r="L31" s="11">
        <v>46014</v>
      </c>
      <c r="M31" s="11"/>
      <c r="N31" s="11"/>
      <c r="O31" s="4"/>
      <c r="P31" s="24"/>
      <c r="Q31" s="9"/>
      <c r="R31" s="9"/>
      <c r="S31" s="25"/>
      <c r="T31" s="27"/>
      <c r="U31" s="27"/>
      <c r="V31" s="27"/>
      <c r="W31" s="279"/>
      <c r="X31" s="27"/>
      <c r="Y31" s="277">
        <f>I31</f>
        <v>12</v>
      </c>
      <c r="Z31" s="277">
        <f>I31*O31</f>
        <v>0</v>
      </c>
      <c r="AA31" s="278">
        <f>P31</f>
        <v>0</v>
      </c>
      <c r="AU31" s="1">
        <f>NETWORKDAYS(K31,L31,1)</f>
        <v>2</v>
      </c>
      <c r="AZ31" s="1" t="str">
        <f>IF(X31="",J31,X31)</f>
        <v>特纳</v>
      </c>
    </row>
    <row r="32" spans="2:52" ht="15" customHeight="1">
      <c r="B32" s="2">
        <f t="shared" si="0"/>
        <v>28</v>
      </c>
      <c r="C32" s="364" t="s">
        <v>356</v>
      </c>
      <c r="D32" s="3" t="s">
        <v>2</v>
      </c>
      <c r="E32" s="366" t="s">
        <v>358</v>
      </c>
      <c r="F32" s="22" t="s">
        <v>386</v>
      </c>
      <c r="G32" s="18" t="s">
        <v>409</v>
      </c>
      <c r="H32" s="373" t="s">
        <v>393</v>
      </c>
      <c r="I32" s="24">
        <v>2</v>
      </c>
      <c r="J32" s="364" t="s">
        <v>394</v>
      </c>
      <c r="K32" s="11">
        <v>46014</v>
      </c>
      <c r="L32" s="11">
        <v>46014</v>
      </c>
      <c r="M32" s="11"/>
      <c r="N32" s="11"/>
      <c r="O32" s="4"/>
      <c r="P32" s="24"/>
      <c r="Q32" s="9"/>
      <c r="R32" s="9"/>
      <c r="S32" s="25"/>
      <c r="T32" s="27"/>
      <c r="U32" s="27"/>
      <c r="V32" s="27"/>
      <c r="W32" s="279"/>
      <c r="X32" s="27"/>
      <c r="Y32" s="277">
        <f>I32</f>
        <v>2</v>
      </c>
      <c r="Z32" s="277">
        <f>I32*O32</f>
        <v>0</v>
      </c>
      <c r="AA32" s="278">
        <f>P32</f>
        <v>0</v>
      </c>
      <c r="AU32" s="1">
        <f>NETWORKDAYS(K32,L32,1)</f>
        <v>1</v>
      </c>
      <c r="AZ32" s="1" t="str">
        <f>IF(X32="",J32,X32)</f>
        <v>特纳</v>
      </c>
    </row>
    <row r="33" spans="2:52" ht="15" customHeight="1">
      <c r="B33" s="2">
        <f t="shared" si="0"/>
        <v>29</v>
      </c>
      <c r="C33" s="364" t="s">
        <v>356</v>
      </c>
      <c r="D33" s="3" t="s">
        <v>2</v>
      </c>
      <c r="E33" s="366" t="s">
        <v>358</v>
      </c>
      <c r="F33" s="22" t="s">
        <v>387</v>
      </c>
      <c r="G33" s="18" t="s">
        <v>381</v>
      </c>
      <c r="H33" s="373" t="s">
        <v>393</v>
      </c>
      <c r="I33" s="24">
        <v>16</v>
      </c>
      <c r="J33" s="364" t="s">
        <v>394</v>
      </c>
      <c r="K33" s="11">
        <v>46015</v>
      </c>
      <c r="L33" s="11">
        <v>46017</v>
      </c>
      <c r="M33" s="11"/>
      <c r="N33" s="11"/>
      <c r="O33" s="4"/>
      <c r="P33" s="24"/>
      <c r="Q33" s="9"/>
      <c r="R33" s="9"/>
      <c r="S33" s="25"/>
      <c r="T33" s="27"/>
      <c r="U33" s="27"/>
      <c r="V33" s="27"/>
      <c r="W33" s="279"/>
      <c r="X33" s="27"/>
      <c r="Y33" s="277">
        <f>I33</f>
        <v>16</v>
      </c>
      <c r="Z33" s="277">
        <f>I33*O33</f>
        <v>0</v>
      </c>
      <c r="AA33" s="278">
        <f>P33</f>
        <v>0</v>
      </c>
      <c r="AU33" s="1">
        <f>NETWORKDAYS(K33,L33,1)</f>
        <v>3</v>
      </c>
      <c r="AZ33" s="1" t="str">
        <f>IF(X33="",J33,X33)</f>
        <v>特纳</v>
      </c>
    </row>
    <row r="34" spans="2:52" ht="15" customHeight="1">
      <c r="B34" s="2">
        <f t="shared" si="0"/>
        <v>30</v>
      </c>
      <c r="C34" s="364" t="s">
        <v>356</v>
      </c>
      <c r="D34" s="3" t="s">
        <v>2</v>
      </c>
      <c r="E34" s="366" t="s">
        <v>358</v>
      </c>
      <c r="F34" s="22" t="s">
        <v>387</v>
      </c>
      <c r="G34" s="18" t="s">
        <v>410</v>
      </c>
      <c r="H34" s="373" t="s">
        <v>393</v>
      </c>
      <c r="I34" s="24">
        <v>4</v>
      </c>
      <c r="J34" s="364" t="s">
        <v>394</v>
      </c>
      <c r="K34" s="11">
        <v>46017</v>
      </c>
      <c r="L34" s="11">
        <v>46018</v>
      </c>
      <c r="M34" s="11"/>
      <c r="N34" s="11"/>
      <c r="O34" s="4"/>
      <c r="P34" s="24"/>
      <c r="Q34" s="9"/>
      <c r="R34" s="9"/>
      <c r="S34" s="25"/>
      <c r="T34" s="27"/>
      <c r="U34" s="27"/>
      <c r="V34" s="27"/>
      <c r="W34" s="279"/>
      <c r="X34" s="27"/>
      <c r="Y34" s="277">
        <f>I34</f>
        <v>4</v>
      </c>
      <c r="Z34" s="277">
        <f>I34*O34</f>
        <v>0</v>
      </c>
      <c r="AA34" s="278">
        <f>P34</f>
        <v>0</v>
      </c>
      <c r="AU34" s="1">
        <f>NETWORKDAYS(K34,L34,1)</f>
        <v>1</v>
      </c>
      <c r="AZ34" s="1" t="str">
        <f>IF(X34="",J34,X34)</f>
        <v>特纳</v>
      </c>
    </row>
    <row r="35" spans="2:52" ht="15" customHeight="1">
      <c r="B35" s="2">
        <f t="shared" si="0"/>
        <v>31</v>
      </c>
      <c r="C35" s="364" t="s">
        <v>356</v>
      </c>
      <c r="D35" s="3" t="s">
        <v>2</v>
      </c>
      <c r="E35" s="366" t="s">
        <v>358</v>
      </c>
      <c r="F35" s="22" t="s">
        <v>388</v>
      </c>
      <c r="G35" s="18" t="s">
        <v>382</v>
      </c>
      <c r="H35" s="373" t="s">
        <v>393</v>
      </c>
      <c r="I35" s="24">
        <v>16</v>
      </c>
      <c r="J35" s="364" t="s">
        <v>394</v>
      </c>
      <c r="K35" s="11">
        <v>46018</v>
      </c>
      <c r="L35" s="11">
        <v>46020</v>
      </c>
      <c r="M35" s="11"/>
      <c r="N35" s="11"/>
      <c r="O35" s="4"/>
      <c r="P35" s="24"/>
      <c r="Q35" s="9"/>
      <c r="R35" s="9"/>
      <c r="S35" s="25"/>
      <c r="T35" s="27"/>
      <c r="U35" s="27"/>
      <c r="V35" s="27"/>
      <c r="W35" s="279"/>
      <c r="X35" s="27"/>
      <c r="Y35" s="277">
        <f>I35</f>
        <v>16</v>
      </c>
      <c r="Z35" s="277">
        <f>I35*O35</f>
        <v>0</v>
      </c>
      <c r="AA35" s="278">
        <f>P35</f>
        <v>0</v>
      </c>
      <c r="AU35" s="1">
        <f>NETWORKDAYS(K35,L35,1)</f>
        <v>1</v>
      </c>
      <c r="AZ35" s="1" t="str">
        <f>IF(X35="",J35,X35)</f>
        <v>特纳</v>
      </c>
    </row>
    <row r="36" spans="2:52" ht="15" customHeight="1">
      <c r="B36" s="2">
        <f t="shared" si="0"/>
        <v>32</v>
      </c>
      <c r="C36" s="364" t="s">
        <v>356</v>
      </c>
      <c r="D36" s="3" t="s">
        <v>2</v>
      </c>
      <c r="E36" s="366" t="s">
        <v>358</v>
      </c>
      <c r="F36" s="22" t="s">
        <v>388</v>
      </c>
      <c r="G36" s="18" t="s">
        <v>411</v>
      </c>
      <c r="H36" s="373" t="s">
        <v>393</v>
      </c>
      <c r="I36" s="24">
        <v>2</v>
      </c>
      <c r="J36" s="364" t="s">
        <v>394</v>
      </c>
      <c r="K36" s="11">
        <v>46020</v>
      </c>
      <c r="L36" s="11">
        <v>46020</v>
      </c>
      <c r="M36" s="11"/>
      <c r="N36" s="11"/>
      <c r="O36" s="4"/>
      <c r="P36" s="24"/>
      <c r="Q36" s="9"/>
      <c r="R36" s="9"/>
      <c r="S36" s="25"/>
      <c r="T36" s="27"/>
      <c r="U36" s="27"/>
      <c r="V36" s="27"/>
      <c r="W36" s="279"/>
      <c r="X36" s="27"/>
      <c r="Y36" s="277">
        <f>I36</f>
        <v>2</v>
      </c>
      <c r="Z36" s="277">
        <f>I36*O36</f>
        <v>0</v>
      </c>
      <c r="AA36" s="278">
        <f>P36</f>
        <v>0</v>
      </c>
      <c r="AU36" s="1">
        <f>NETWORKDAYS(K36,L36,1)</f>
        <v>1</v>
      </c>
      <c r="AZ36" s="1" t="str">
        <f>IF(X36="",J36,X36)</f>
        <v>特纳</v>
      </c>
    </row>
    <row r="37" spans="2:52" ht="15" customHeight="1">
      <c r="B37" s="2">
        <f t="shared" si="0"/>
        <v>33</v>
      </c>
      <c r="C37" s="364" t="s">
        <v>356</v>
      </c>
      <c r="D37" s="3" t="s">
        <v>2</v>
      </c>
      <c r="E37" s="366" t="s">
        <v>358</v>
      </c>
      <c r="F37" s="370" t="s">
        <v>389</v>
      </c>
      <c r="G37" s="18"/>
      <c r="H37" s="23"/>
      <c r="I37" s="24"/>
      <c r="J37" s="2"/>
      <c r="K37" s="11"/>
      <c r="L37" s="11"/>
      <c r="M37" s="11"/>
      <c r="N37" s="11"/>
      <c r="O37" s="4"/>
      <c r="P37" s="24"/>
      <c r="Q37" s="9"/>
      <c r="R37" s="9"/>
      <c r="S37" s="25"/>
      <c r="T37" s="27"/>
      <c r="U37" s="27"/>
      <c r="V37" s="27"/>
      <c r="W37" s="279"/>
      <c r="X37" s="27"/>
      <c r="Y37" s="277">
        <f>I37</f>
        <v>0</v>
      </c>
      <c r="Z37" s="277">
        <f>I37*O37</f>
        <v>0</v>
      </c>
      <c r="AA37" s="278">
        <f>P37</f>
        <v>0</v>
      </c>
      <c r="AU37" s="1">
        <f>NETWORKDAYS(K37,L37,1)</f>
        <v>0</v>
      </c>
      <c r="AZ37" s="1">
        <f>IF(X37="",J37,X37)</f>
        <v>0</v>
      </c>
    </row>
    <row r="38" spans="2:52" ht="15" customHeight="1">
      <c r="B38" s="2">
        <f t="shared" si="0"/>
        <v>34</v>
      </c>
      <c r="C38" s="364" t="s">
        <v>356</v>
      </c>
      <c r="D38" s="3" t="s">
        <v>2</v>
      </c>
      <c r="E38" s="366" t="s">
        <v>358</v>
      </c>
      <c r="F38" s="368" t="s">
        <v>389</v>
      </c>
      <c r="G38" s="371" t="s">
        <v>390</v>
      </c>
      <c r="H38" s="373" t="s">
        <v>393</v>
      </c>
      <c r="I38" s="24">
        <v>16</v>
      </c>
      <c r="J38" s="364" t="s">
        <v>394</v>
      </c>
      <c r="K38" s="11">
        <v>45982</v>
      </c>
      <c r="L38" s="11">
        <v>45989</v>
      </c>
      <c r="M38" s="11"/>
      <c r="N38" s="11"/>
      <c r="O38" s="4"/>
      <c r="P38" s="24"/>
      <c r="Q38" s="9"/>
      <c r="R38" s="9"/>
      <c r="S38" s="25"/>
      <c r="T38" s="27"/>
      <c r="U38" s="27"/>
      <c r="V38" s="27"/>
      <c r="W38" s="279"/>
      <c r="X38" s="27"/>
      <c r="Y38" s="277">
        <f>I38</f>
        <v>16</v>
      </c>
      <c r="Z38" s="277">
        <f>I38*O38</f>
        <v>0</v>
      </c>
      <c r="AA38" s="278">
        <f>P38</f>
        <v>0</v>
      </c>
      <c r="AU38" s="1">
        <f>NETWORKDAYS(K38,L38,1)</f>
        <v>6</v>
      </c>
      <c r="AZ38" s="1" t="str">
        <f>IF(X38="",J38,X38)</f>
        <v>特纳</v>
      </c>
    </row>
    <row r="39" spans="2:52" ht="16.5">
      <c r="B39" s="2">
        <f t="shared" si="0"/>
        <v>35</v>
      </c>
      <c r="C39" s="364" t="s">
        <v>356</v>
      </c>
      <c r="D39" s="3" t="s">
        <v>2</v>
      </c>
      <c r="E39" s="366" t="s">
        <v>358</v>
      </c>
      <c r="F39" s="368" t="s">
        <v>389</v>
      </c>
      <c r="G39" s="19"/>
      <c r="H39" s="23"/>
      <c r="I39" s="24"/>
      <c r="J39" s="2"/>
      <c r="K39" s="11"/>
      <c r="L39" s="11"/>
      <c r="M39" s="11"/>
      <c r="N39" s="11"/>
      <c r="O39" s="4"/>
      <c r="P39" s="24"/>
      <c r="Q39" s="9"/>
      <c r="R39" s="9"/>
      <c r="S39" s="25"/>
      <c r="T39" s="27"/>
      <c r="U39" s="27"/>
      <c r="V39" s="27"/>
      <c r="W39" s="279"/>
      <c r="X39" s="27"/>
      <c r="Y39" s="277">
        <f>I39</f>
        <v>0</v>
      </c>
      <c r="Z39" s="277">
        <f>I39*O39</f>
        <v>0</v>
      </c>
      <c r="AA39" s="278">
        <f>P39</f>
        <v>0</v>
      </c>
      <c r="AU39" s="1">
        <f>NETWORKDAYS(K39,L39,1)</f>
        <v>0</v>
      </c>
      <c r="AY39" s="1">
        <v>40</v>
      </c>
      <c r="AZ39" s="1">
        <f>IF(X39="",J39,X39)</f>
        <v>0</v>
      </c>
    </row>
    <row r="40" spans="2:52" ht="16.5">
      <c r="B40" s="2">
        <f t="shared" si="0"/>
        <v>36</v>
      </c>
      <c r="C40" s="364" t="s">
        <v>356</v>
      </c>
      <c r="D40" s="3" t="s">
        <v>2</v>
      </c>
      <c r="E40" s="366" t="s">
        <v>358</v>
      </c>
      <c r="F40" s="368" t="s">
        <v>389</v>
      </c>
      <c r="G40" s="19"/>
      <c r="H40" s="23"/>
      <c r="I40" s="24"/>
      <c r="J40" s="2"/>
      <c r="K40" s="11"/>
      <c r="L40" s="11"/>
      <c r="M40" s="11"/>
      <c r="N40" s="11"/>
      <c r="O40" s="4"/>
      <c r="P40" s="24"/>
      <c r="Q40" s="9"/>
      <c r="R40" s="9"/>
      <c r="S40" s="25"/>
      <c r="T40" s="27"/>
      <c r="U40" s="27"/>
      <c r="V40" s="27"/>
      <c r="W40" s="279"/>
      <c r="X40" s="27"/>
      <c r="Y40" s="277">
        <f>I40</f>
        <v>0</v>
      </c>
      <c r="Z40" s="277">
        <f>I40*O40</f>
        <v>0</v>
      </c>
      <c r="AA40" s="278">
        <f>P40</f>
        <v>0</v>
      </c>
      <c r="AU40" s="1">
        <f>NETWORKDAYS(K40,L40,1)</f>
        <v>0</v>
      </c>
      <c r="AY40" s="1">
        <v>40</v>
      </c>
      <c r="AZ40" s="1">
        <f>IF(X40="",J40,X40)</f>
        <v>0</v>
      </c>
    </row>
    <row r="41" spans="2:52" ht="16.5">
      <c r="B41" s="2">
        <f t="shared" si="0"/>
        <v>37</v>
      </c>
      <c r="C41" s="364" t="s">
        <v>356</v>
      </c>
      <c r="D41" s="3" t="s">
        <v>2</v>
      </c>
      <c r="E41" s="366" t="s">
        <v>358</v>
      </c>
      <c r="F41" s="368" t="s">
        <v>389</v>
      </c>
      <c r="G41" s="19"/>
      <c r="H41" s="23"/>
      <c r="I41" s="24"/>
      <c r="J41" s="2"/>
      <c r="K41" s="11"/>
      <c r="L41" s="11"/>
      <c r="M41" s="11"/>
      <c r="N41" s="11"/>
      <c r="O41" s="4"/>
      <c r="P41" s="24"/>
      <c r="Q41" s="9"/>
      <c r="R41" s="9"/>
      <c r="S41" s="25"/>
      <c r="T41" s="27"/>
      <c r="U41" s="27"/>
      <c r="V41" s="27"/>
      <c r="W41" s="279"/>
      <c r="X41" s="27"/>
      <c r="Y41" s="277">
        <f>I41</f>
        <v>0</v>
      </c>
      <c r="Z41" s="277">
        <f>I41*O41</f>
        <v>0</v>
      </c>
      <c r="AA41" s="278">
        <f>P41</f>
        <v>0</v>
      </c>
      <c r="AU41" s="1">
        <f>NETWORKDAYS(K41,L41,1)</f>
        <v>0</v>
      </c>
      <c r="AY41" s="1">
        <v>32</v>
      </c>
      <c r="AZ41" s="1">
        <f>IF(X41="",J41,X41)</f>
        <v>0</v>
      </c>
    </row>
    <row r="42" spans="2:52" ht="16.5">
      <c r="B42" s="2">
        <f t="shared" si="0"/>
        <v>38</v>
      </c>
      <c r="C42" s="12" t="s">
        <v>391</v>
      </c>
      <c r="D42" s="13">
        <v>101</v>
      </c>
      <c r="E42" s="374" t="s">
        <v>413</v>
      </c>
      <c r="F42" s="20"/>
      <c r="G42" s="18"/>
      <c r="H42" s="23"/>
      <c r="I42" s="24"/>
      <c r="J42" s="2"/>
      <c r="K42" s="11"/>
      <c r="L42" s="11"/>
      <c r="M42" s="11"/>
      <c r="N42" s="11"/>
      <c r="O42" s="4"/>
      <c r="P42" s="24"/>
      <c r="Q42" s="9"/>
      <c r="R42" s="9"/>
      <c r="S42" s="25"/>
      <c r="T42" s="38"/>
      <c r="U42" s="27"/>
      <c r="V42" s="27"/>
      <c r="W42" s="279"/>
      <c r="X42" s="27"/>
      <c r="Y42" s="277">
        <f>I42</f>
        <v>0</v>
      </c>
      <c r="Z42" s="277">
        <f>I42*O42</f>
        <v>0</v>
      </c>
      <c r="AA42" s="278">
        <f>P42</f>
        <v>0</v>
      </c>
      <c r="AU42" s="1">
        <f>NETWORKDAYS(K42,L42,1)</f>
        <v>0</v>
      </c>
      <c r="AZ42" s="1">
        <f>IF(X42="",J42,X42)</f>
        <v>0</v>
      </c>
    </row>
    <row r="43" spans="2:52" ht="16.5">
      <c r="B43" s="2">
        <f t="shared" si="0"/>
        <v>39</v>
      </c>
      <c r="C43" s="372" t="s">
        <v>392</v>
      </c>
      <c r="D43" s="15">
        <v>101</v>
      </c>
      <c r="E43" s="366" t="s">
        <v>415</v>
      </c>
      <c r="F43" s="375" t="s">
        <v>414</v>
      </c>
      <c r="G43" s="18"/>
      <c r="H43" s="23"/>
      <c r="I43" s="24"/>
      <c r="J43" s="2"/>
      <c r="K43" s="11"/>
      <c r="L43" s="11"/>
      <c r="M43" s="11"/>
      <c r="N43" s="11"/>
      <c r="O43" s="4"/>
      <c r="P43" s="24"/>
      <c r="Q43" s="9"/>
      <c r="R43" s="9"/>
      <c r="S43" s="25"/>
      <c r="T43" s="38"/>
      <c r="U43" s="27"/>
      <c r="V43" s="27"/>
      <c r="W43" s="279"/>
      <c r="X43" s="27"/>
      <c r="Y43" s="277">
        <f>I43</f>
        <v>0</v>
      </c>
      <c r="Z43" s="277">
        <f>I43*O43</f>
        <v>0</v>
      </c>
      <c r="AA43" s="278">
        <f>P43</f>
        <v>0</v>
      </c>
      <c r="AU43" s="1">
        <f>NETWORKDAYS(K43,L43,1)</f>
        <v>0</v>
      </c>
      <c r="AZ43" s="1">
        <f>IF(X43="",J43,X43)</f>
        <v>0</v>
      </c>
    </row>
    <row r="44" spans="2:52" ht="16.5">
      <c r="B44" s="2">
        <f t="shared" si="0"/>
        <v>40</v>
      </c>
      <c r="C44" s="372" t="s">
        <v>392</v>
      </c>
      <c r="D44" s="15">
        <v>101</v>
      </c>
      <c r="E44" s="366" t="s">
        <v>415</v>
      </c>
      <c r="F44" s="368" t="s">
        <v>414</v>
      </c>
      <c r="G44" s="371" t="s">
        <v>416</v>
      </c>
      <c r="H44" s="373" t="s">
        <v>393</v>
      </c>
      <c r="I44" s="24"/>
      <c r="J44" s="2"/>
      <c r="K44" s="11"/>
      <c r="L44" s="11"/>
      <c r="M44" s="11"/>
      <c r="N44" s="11"/>
      <c r="O44" s="4"/>
      <c r="P44" s="24"/>
      <c r="Q44" s="9"/>
      <c r="R44" s="9"/>
      <c r="S44" s="25"/>
      <c r="T44" s="38"/>
      <c r="U44" s="27"/>
      <c r="V44" s="27"/>
      <c r="W44" s="279"/>
      <c r="X44" s="27"/>
      <c r="Y44" s="277">
        <f>I44</f>
        <v>0</v>
      </c>
      <c r="Z44" s="277">
        <f>I44*O44</f>
        <v>0</v>
      </c>
      <c r="AA44" s="278">
        <f>P44</f>
        <v>0</v>
      </c>
      <c r="AU44" s="1">
        <f>NETWORKDAYS(K44,L44,1)</f>
        <v>0</v>
      </c>
      <c r="AY44" s="1">
        <v>0</v>
      </c>
      <c r="AZ44" s="1">
        <f>IF(X44="",J44,X44)</f>
        <v>0</v>
      </c>
    </row>
    <row r="45" spans="2:52" ht="16.5">
      <c r="B45" s="2">
        <f t="shared" si="0"/>
        <v>41</v>
      </c>
      <c r="C45" s="372" t="s">
        <v>392</v>
      </c>
      <c r="D45" s="15">
        <v>101</v>
      </c>
      <c r="E45" s="17" t="s">
        <v>412</v>
      </c>
      <c r="F45" s="21" t="s">
        <v>76</v>
      </c>
      <c r="G45" s="371" t="s">
        <v>417</v>
      </c>
      <c r="H45" s="373" t="s">
        <v>393</v>
      </c>
      <c r="I45" s="24"/>
      <c r="J45" s="2"/>
      <c r="K45" s="11"/>
      <c r="L45" s="11"/>
      <c r="M45" s="11"/>
      <c r="N45" s="11"/>
      <c r="O45" s="4"/>
      <c r="P45" s="24"/>
      <c r="Q45" s="9"/>
      <c r="R45" s="9"/>
      <c r="S45" s="25"/>
      <c r="T45" s="38"/>
      <c r="U45" s="27"/>
      <c r="V45" s="27"/>
      <c r="W45" s="279"/>
      <c r="X45" s="27"/>
      <c r="Y45" s="277">
        <f>I45</f>
        <v>0</v>
      </c>
      <c r="Z45" s="277">
        <f>I45*O45</f>
        <v>0</v>
      </c>
      <c r="AA45" s="278">
        <f>P45</f>
        <v>0</v>
      </c>
      <c r="AU45" s="1">
        <f>NETWORKDAYS(K45,L45,1)</f>
        <v>0</v>
      </c>
      <c r="AY45" s="1">
        <v>0</v>
      </c>
      <c r="AZ45" s="1">
        <f>IF(X45="",J45,X45)</f>
        <v>0</v>
      </c>
    </row>
    <row r="46" spans="2:52" ht="16.5">
      <c r="B46" s="2">
        <f t="shared" si="0"/>
        <v>42</v>
      </c>
      <c r="C46" s="372" t="s">
        <v>392</v>
      </c>
      <c r="D46" s="15">
        <v>101</v>
      </c>
      <c r="E46" s="17" t="s">
        <v>412</v>
      </c>
      <c r="F46" s="21" t="s">
        <v>76</v>
      </c>
      <c r="G46" s="371" t="s">
        <v>418</v>
      </c>
      <c r="H46" s="373" t="s">
        <v>393</v>
      </c>
      <c r="I46" s="24"/>
      <c r="J46" s="46"/>
      <c r="K46" s="47"/>
      <c r="L46" s="47"/>
      <c r="M46" s="47"/>
      <c r="N46" s="47"/>
      <c r="O46" s="45"/>
      <c r="P46" s="39"/>
      <c r="Q46" s="26"/>
      <c r="R46" s="26"/>
      <c r="S46" s="48"/>
      <c r="T46" s="38"/>
      <c r="U46" s="49"/>
      <c r="V46" s="27"/>
      <c r="W46" s="279"/>
      <c r="X46" s="27"/>
      <c r="Y46" s="277">
        <f>I46</f>
        <v>0</v>
      </c>
      <c r="Z46" s="277">
        <f>I46*O46</f>
        <v>0</v>
      </c>
      <c r="AA46" s="278">
        <f>P46</f>
        <v>0</v>
      </c>
      <c r="AU46" s="1">
        <f>NETWORKDAYS(K46,L46,1)</f>
        <v>0</v>
      </c>
      <c r="AY46" s="1">
        <v>2</v>
      </c>
      <c r="AZ46" s="1">
        <f>IF(X46="",J46,X46)</f>
        <v>0</v>
      </c>
    </row>
    <row r="47" spans="2:52" ht="16.5">
      <c r="B47" s="2">
        <f t="shared" si="0"/>
        <v>43</v>
      </c>
      <c r="C47" s="372" t="s">
        <v>392</v>
      </c>
      <c r="D47" s="15">
        <v>101</v>
      </c>
      <c r="E47" s="17" t="s">
        <v>412</v>
      </c>
      <c r="F47" s="21" t="s">
        <v>76</v>
      </c>
      <c r="G47" s="371" t="s">
        <v>419</v>
      </c>
      <c r="H47" s="373" t="s">
        <v>393</v>
      </c>
      <c r="I47" s="24"/>
      <c r="J47" s="46"/>
      <c r="K47" s="47"/>
      <c r="L47" s="47"/>
      <c r="M47" s="47"/>
      <c r="N47" s="47"/>
      <c r="O47" s="45"/>
      <c r="P47" s="39"/>
      <c r="Q47" s="9"/>
      <c r="R47" s="9"/>
      <c r="S47" s="25"/>
      <c r="T47" s="38"/>
      <c r="U47" s="27"/>
      <c r="V47" s="27"/>
      <c r="W47" s="279"/>
      <c r="X47" s="27"/>
      <c r="Y47" s="277">
        <f>I47</f>
        <v>0</v>
      </c>
      <c r="Z47" s="277">
        <f>I47*O47</f>
        <v>0</v>
      </c>
      <c r="AA47" s="278">
        <f>P47</f>
        <v>0</v>
      </c>
      <c r="AU47" s="1">
        <f>NETWORKDAYS(K47,L47,1)</f>
        <v>0</v>
      </c>
      <c r="AY47" s="1">
        <v>4</v>
      </c>
      <c r="AZ47" s="1">
        <f>IF(X47="",J47,X47)</f>
        <v>0</v>
      </c>
    </row>
    <row r="48" spans="2:52" ht="16.5">
      <c r="B48" s="2">
        <f t="shared" si="0"/>
        <v>44</v>
      </c>
      <c r="C48" s="372" t="s">
        <v>392</v>
      </c>
      <c r="D48" s="13">
        <v>11</v>
      </c>
      <c r="E48" s="376" t="s">
        <v>420</v>
      </c>
      <c r="F48" s="21"/>
      <c r="G48" s="18"/>
      <c r="H48" s="23"/>
      <c r="I48" s="24"/>
      <c r="J48" s="2"/>
      <c r="K48" s="11"/>
      <c r="L48" s="11"/>
      <c r="M48" s="11"/>
      <c r="N48" s="11"/>
      <c r="O48" s="4"/>
      <c r="P48" s="24"/>
      <c r="Q48" s="9"/>
      <c r="R48" s="9"/>
      <c r="S48" s="25"/>
      <c r="T48" s="38"/>
      <c r="U48" s="27"/>
      <c r="V48" s="27"/>
      <c r="W48" s="279"/>
      <c r="X48" s="27"/>
      <c r="Y48" s="277">
        <f>I48</f>
        <v>0</v>
      </c>
      <c r="Z48" s="277">
        <f>I48*O48</f>
        <v>0</v>
      </c>
      <c r="AA48" s="278">
        <f>P48</f>
        <v>0</v>
      </c>
      <c r="AU48" s="1">
        <f>NETWORKDAYS(K48,L48,1)</f>
        <v>0</v>
      </c>
      <c r="AY48" s="1">
        <v>0</v>
      </c>
      <c r="AZ48" s="1">
        <f>IF(X48="",J48,X48)</f>
        <v>0</v>
      </c>
    </row>
    <row r="49" spans="2:52" ht="16.5">
      <c r="B49" s="2">
        <f t="shared" si="0"/>
        <v>45</v>
      </c>
      <c r="C49" s="372" t="s">
        <v>392</v>
      </c>
      <c r="D49" s="16">
        <v>11</v>
      </c>
      <c r="E49" s="366" t="s">
        <v>421</v>
      </c>
      <c r="F49" s="375" t="s">
        <v>420</v>
      </c>
      <c r="G49" s="18"/>
      <c r="H49" s="23"/>
      <c r="I49" s="24"/>
      <c r="J49" s="2"/>
      <c r="K49" s="11"/>
      <c r="L49" s="11"/>
      <c r="M49" s="11"/>
      <c r="N49" s="11"/>
      <c r="O49" s="4"/>
      <c r="P49" s="24"/>
      <c r="Q49" s="9"/>
      <c r="R49" s="9"/>
      <c r="S49" s="25"/>
      <c r="T49" s="38"/>
      <c r="U49" s="27"/>
      <c r="V49" s="27"/>
      <c r="W49" s="279"/>
      <c r="X49" s="27"/>
      <c r="Y49" s="277">
        <f>I49</f>
        <v>0</v>
      </c>
      <c r="Z49" s="277">
        <f>I49*O49</f>
        <v>0</v>
      </c>
      <c r="AA49" s="278">
        <f>P49</f>
        <v>0</v>
      </c>
      <c r="AU49" s="1">
        <f>NETWORKDAYS(K49,L49,1)</f>
        <v>0</v>
      </c>
      <c r="AY49" s="1">
        <v>0</v>
      </c>
      <c r="AZ49" s="1">
        <f>IF(X49="",J49,X49)</f>
        <v>0</v>
      </c>
    </row>
    <row r="50" spans="2:52" ht="16.5">
      <c r="B50" s="2">
        <f t="shared" si="0"/>
        <v>46</v>
      </c>
      <c r="C50" s="372" t="s">
        <v>392</v>
      </c>
      <c r="D50" s="16">
        <v>11</v>
      </c>
      <c r="E50" s="366" t="s">
        <v>421</v>
      </c>
      <c r="F50" s="368" t="s">
        <v>421</v>
      </c>
      <c r="G50" s="18" t="s">
        <v>422</v>
      </c>
      <c r="H50" s="373" t="s">
        <v>393</v>
      </c>
      <c r="I50" s="24"/>
      <c r="J50" s="2"/>
      <c r="K50" s="11"/>
      <c r="L50" s="11"/>
      <c r="M50" s="11"/>
      <c r="N50" s="11"/>
      <c r="O50" s="4"/>
      <c r="P50" s="24"/>
      <c r="Q50" s="9"/>
      <c r="R50" s="9"/>
      <c r="S50" s="25"/>
      <c r="T50" s="38"/>
      <c r="U50" s="27"/>
      <c r="V50" s="27"/>
      <c r="W50" s="279"/>
      <c r="X50" s="27"/>
      <c r="Y50" s="277">
        <f>I50</f>
        <v>0</v>
      </c>
      <c r="Z50" s="277">
        <f>I50*O50</f>
        <v>0</v>
      </c>
      <c r="AA50" s="278">
        <f>P50</f>
        <v>0</v>
      </c>
      <c r="AU50" s="1">
        <f>NETWORKDAYS(K50,L50,1)</f>
        <v>0</v>
      </c>
      <c r="AY50" s="1">
        <v>0</v>
      </c>
      <c r="AZ50" s="1">
        <f>IF(X50="",J50,X50)</f>
        <v>0</v>
      </c>
    </row>
    <row r="51" spans="2:52" ht="16.5">
      <c r="B51" s="2">
        <f t="shared" si="0"/>
        <v>47</v>
      </c>
      <c r="C51" s="372"/>
      <c r="D51" s="15"/>
      <c r="E51" s="366"/>
      <c r="F51" s="368"/>
      <c r="G51" s="18"/>
      <c r="H51" s="23"/>
      <c r="I51" s="24"/>
      <c r="J51" s="2"/>
      <c r="K51" s="11"/>
      <c r="L51" s="11"/>
      <c r="M51" s="11"/>
      <c r="N51" s="11"/>
      <c r="O51" s="4"/>
      <c r="P51" s="24"/>
      <c r="Q51" s="9"/>
      <c r="R51" s="9"/>
      <c r="S51" s="25"/>
      <c r="T51" s="38"/>
      <c r="U51" s="27"/>
      <c r="V51" s="27"/>
      <c r="W51" s="279"/>
      <c r="X51" s="27"/>
      <c r="Y51" s="277">
        <f>I51</f>
        <v>0</v>
      </c>
      <c r="Z51" s="277">
        <f>I51*O51</f>
        <v>0</v>
      </c>
      <c r="AA51" s="278">
        <f>P51</f>
        <v>0</v>
      </c>
      <c r="AU51" s="1">
        <f>NETWORKDAYS(K51,L51,1)</f>
        <v>0</v>
      </c>
      <c r="AY51" s="1">
        <v>0</v>
      </c>
      <c r="AZ51" s="1">
        <f>IF(X51="",J51,X51)</f>
        <v>0</v>
      </c>
    </row>
    <row r="52" spans="2:52" ht="16.5">
      <c r="B52" s="2">
        <f t="shared" si="0"/>
        <v>48</v>
      </c>
      <c r="C52" s="372"/>
      <c r="D52" s="16"/>
      <c r="E52" s="17"/>
      <c r="F52" s="21"/>
      <c r="G52" s="18"/>
      <c r="H52" s="23"/>
      <c r="I52" s="24"/>
      <c r="J52" s="2"/>
      <c r="K52" s="11"/>
      <c r="L52" s="11"/>
      <c r="M52" s="11"/>
      <c r="N52" s="11"/>
      <c r="O52" s="4"/>
      <c r="P52" s="24"/>
      <c r="Q52" s="9"/>
      <c r="R52" s="9"/>
      <c r="S52" s="25"/>
      <c r="T52" s="38"/>
      <c r="U52" s="27"/>
      <c r="V52" s="27"/>
      <c r="W52" s="279"/>
      <c r="X52" s="27"/>
      <c r="Y52" s="277">
        <f>I52</f>
        <v>0</v>
      </c>
      <c r="Z52" s="277">
        <f>I52*O52</f>
        <v>0</v>
      </c>
      <c r="AA52" s="278">
        <f>P52</f>
        <v>0</v>
      </c>
      <c r="AU52" s="1">
        <f>NETWORKDAYS(K52,L52,1)</f>
        <v>0</v>
      </c>
      <c r="AY52" s="1">
        <v>0</v>
      </c>
      <c r="AZ52" s="1">
        <f>IF(X52="",J52,X52)</f>
        <v>0</v>
      </c>
    </row>
    <row r="53" spans="2:52" ht="16.5">
      <c r="B53" s="2">
        <f t="shared" si="0"/>
        <v>49</v>
      </c>
      <c r="C53" s="372"/>
      <c r="D53" s="16"/>
      <c r="E53" s="17"/>
      <c r="F53" s="21"/>
      <c r="G53" s="18"/>
      <c r="H53" s="23"/>
      <c r="I53" s="24"/>
      <c r="J53" s="2"/>
      <c r="K53" s="11"/>
      <c r="L53" s="11"/>
      <c r="M53" s="11"/>
      <c r="N53" s="11"/>
      <c r="O53" s="4"/>
      <c r="P53" s="24"/>
      <c r="Q53" s="9"/>
      <c r="R53" s="9"/>
      <c r="S53" s="25"/>
      <c r="T53" s="38"/>
      <c r="U53" s="27"/>
      <c r="V53" s="27"/>
      <c r="W53" s="279"/>
      <c r="X53" s="27"/>
      <c r="Y53" s="277">
        <f>I53</f>
        <v>0</v>
      </c>
      <c r="Z53" s="277">
        <f>I53*O53</f>
        <v>0</v>
      </c>
      <c r="AA53" s="278">
        <f>P53</f>
        <v>0</v>
      </c>
      <c r="AU53" s="1">
        <f>NETWORKDAYS(K53,L53,1)</f>
        <v>0</v>
      </c>
      <c r="AY53" s="1">
        <v>0</v>
      </c>
      <c r="AZ53" s="1">
        <f>IF(X53="",J53,X53)</f>
        <v>0</v>
      </c>
    </row>
    <row r="54" spans="2:52">
      <c r="B54" s="2">
        <f t="shared" si="0"/>
        <v>50</v>
      </c>
      <c r="C54" s="14"/>
      <c r="D54" s="16"/>
      <c r="E54" s="17"/>
      <c r="F54" s="21"/>
      <c r="G54" s="18"/>
      <c r="H54" s="23"/>
      <c r="I54" s="24"/>
      <c r="J54" s="2"/>
      <c r="K54" s="11"/>
      <c r="L54" s="11"/>
      <c r="M54" s="11"/>
      <c r="N54" s="11"/>
      <c r="O54" s="4"/>
      <c r="P54" s="24"/>
      <c r="Q54" s="9"/>
      <c r="R54" s="9"/>
      <c r="S54" s="25"/>
      <c r="T54" s="38"/>
      <c r="U54" s="27"/>
      <c r="V54" s="27"/>
      <c r="W54" s="279"/>
      <c r="X54" s="27"/>
      <c r="Y54" s="277">
        <f>I54</f>
        <v>0</v>
      </c>
      <c r="Z54" s="277">
        <f>I54*O54</f>
        <v>0</v>
      </c>
      <c r="AA54" s="278">
        <f>P54</f>
        <v>0</v>
      </c>
      <c r="AU54" s="1">
        <f>NETWORKDAYS(K54,L54,1)</f>
        <v>0</v>
      </c>
      <c r="AY54" s="1">
        <v>0</v>
      </c>
      <c r="AZ54" s="1">
        <f>IF(X54="",J54,X54)</f>
        <v>0</v>
      </c>
    </row>
    <row r="55" spans="2:52">
      <c r="B55" s="2">
        <f t="shared" si="0"/>
        <v>51</v>
      </c>
      <c r="C55" s="14"/>
      <c r="D55" s="16"/>
      <c r="E55" s="17"/>
      <c r="F55" s="21"/>
      <c r="G55" s="18"/>
      <c r="H55" s="23"/>
      <c r="I55" s="24"/>
      <c r="J55" s="2"/>
      <c r="K55" s="11"/>
      <c r="L55" s="11"/>
      <c r="M55" s="11"/>
      <c r="N55" s="11"/>
      <c r="O55" s="4"/>
      <c r="P55" s="24"/>
      <c r="Q55" s="9"/>
      <c r="R55" s="9"/>
      <c r="S55" s="25"/>
      <c r="T55" s="38"/>
      <c r="U55" s="27"/>
      <c r="V55" s="27"/>
      <c r="W55" s="279"/>
      <c r="X55" s="27"/>
      <c r="Y55" s="277">
        <f>I55</f>
        <v>0</v>
      </c>
      <c r="Z55" s="277">
        <f>I55*O55</f>
        <v>0</v>
      </c>
      <c r="AA55" s="278">
        <f>P55</f>
        <v>0</v>
      </c>
      <c r="AU55" s="1">
        <f>NETWORKDAYS(K55,L55,1)</f>
        <v>0</v>
      </c>
      <c r="AY55" s="1">
        <v>0</v>
      </c>
      <c r="AZ55" s="1">
        <f>IF(X55="",J55,X55)</f>
        <v>0</v>
      </c>
    </row>
    <row r="56" spans="2:52">
      <c r="B56" s="2">
        <f t="shared" si="0"/>
        <v>52</v>
      </c>
      <c r="C56" s="14"/>
      <c r="D56" s="16"/>
      <c r="E56" s="17"/>
      <c r="F56" s="21"/>
      <c r="G56" s="18"/>
      <c r="H56" s="23"/>
      <c r="I56" s="24"/>
      <c r="J56" s="2"/>
      <c r="K56" s="11"/>
      <c r="L56" s="11"/>
      <c r="M56" s="11"/>
      <c r="N56" s="11"/>
      <c r="O56" s="4"/>
      <c r="P56" s="24"/>
      <c r="Q56" s="9"/>
      <c r="R56" s="9"/>
      <c r="S56" s="25"/>
      <c r="T56" s="38"/>
      <c r="U56" s="27"/>
      <c r="V56" s="27"/>
      <c r="W56" s="279"/>
      <c r="X56" s="27"/>
      <c r="Y56" s="277">
        <f>I56</f>
        <v>0</v>
      </c>
      <c r="Z56" s="277">
        <f>I56*O56</f>
        <v>0</v>
      </c>
      <c r="AA56" s="278">
        <f>P56</f>
        <v>0</v>
      </c>
      <c r="AU56" s="1">
        <f>NETWORKDAYS(K56,L56,1)</f>
        <v>0</v>
      </c>
      <c r="AY56" s="1">
        <v>0</v>
      </c>
      <c r="AZ56" s="1">
        <f>IF(X56="",J56,X56)</f>
        <v>0</v>
      </c>
    </row>
    <row r="57" spans="2:52">
      <c r="B57" s="2">
        <f t="shared" si="0"/>
        <v>53</v>
      </c>
      <c r="C57" s="14"/>
      <c r="D57" s="16"/>
      <c r="E57" s="17"/>
      <c r="F57" s="21"/>
      <c r="G57" s="18"/>
      <c r="H57" s="23"/>
      <c r="I57" s="24"/>
      <c r="J57" s="2"/>
      <c r="K57" s="11"/>
      <c r="L57" s="11"/>
      <c r="M57" s="11"/>
      <c r="N57" s="11"/>
      <c r="O57" s="4"/>
      <c r="P57" s="24"/>
      <c r="Q57" s="9"/>
      <c r="R57" s="9"/>
      <c r="S57" s="25"/>
      <c r="T57" s="38"/>
      <c r="U57" s="27"/>
      <c r="V57" s="27"/>
      <c r="W57" s="279"/>
      <c r="X57" s="27"/>
      <c r="Y57" s="277">
        <f>I57</f>
        <v>0</v>
      </c>
      <c r="Z57" s="277">
        <f>I57*O57</f>
        <v>0</v>
      </c>
      <c r="AA57" s="278">
        <f>P57</f>
        <v>0</v>
      </c>
      <c r="AU57" s="1">
        <f>NETWORKDAYS(K57,L57,1)</f>
        <v>0</v>
      </c>
      <c r="AY57" s="1">
        <v>0</v>
      </c>
      <c r="AZ57" s="1">
        <f>IF(X57="",J57,X57)</f>
        <v>0</v>
      </c>
    </row>
    <row r="58" spans="2:52">
      <c r="B58" s="2">
        <f t="shared" si="0"/>
        <v>54</v>
      </c>
      <c r="C58" s="14"/>
      <c r="D58" s="15"/>
      <c r="E58" s="17"/>
      <c r="F58" s="20"/>
      <c r="G58" s="18"/>
      <c r="H58" s="23"/>
      <c r="I58" s="24"/>
      <c r="J58" s="2"/>
      <c r="K58" s="11"/>
      <c r="L58" s="11"/>
      <c r="M58" s="11"/>
      <c r="N58" s="11"/>
      <c r="O58" s="4"/>
      <c r="P58" s="24"/>
      <c r="Q58" s="9"/>
      <c r="R58" s="9"/>
      <c r="S58" s="25"/>
      <c r="T58" s="38"/>
      <c r="U58" s="27"/>
      <c r="V58" s="27"/>
      <c r="W58" s="279"/>
      <c r="X58" s="27"/>
      <c r="Y58" s="277">
        <f>I58</f>
        <v>0</v>
      </c>
      <c r="Z58" s="277">
        <f>I58*O58</f>
        <v>0</v>
      </c>
      <c r="AA58" s="278">
        <f>P58</f>
        <v>0</v>
      </c>
      <c r="AU58" s="1">
        <f>NETWORKDAYS(K58,L58,1)</f>
        <v>0</v>
      </c>
      <c r="AZ58" s="1">
        <f>IF(X58="",J58,X58)</f>
        <v>0</v>
      </c>
    </row>
    <row r="59" spans="2:52">
      <c r="B59" s="2">
        <f t="shared" si="0"/>
        <v>55</v>
      </c>
      <c r="C59" s="14"/>
      <c r="D59" s="16"/>
      <c r="E59" s="17"/>
      <c r="F59" s="21"/>
      <c r="G59" s="18"/>
      <c r="H59" s="23"/>
      <c r="I59" s="24"/>
      <c r="J59" s="2"/>
      <c r="K59" s="11"/>
      <c r="L59" s="11"/>
      <c r="M59" s="11"/>
      <c r="N59" s="11"/>
      <c r="O59" s="4"/>
      <c r="P59" s="24"/>
      <c r="Q59" s="9"/>
      <c r="R59" s="9"/>
      <c r="S59" s="25"/>
      <c r="T59" s="38"/>
      <c r="U59" s="27"/>
      <c r="V59" s="27"/>
      <c r="W59" s="279"/>
      <c r="X59" s="27"/>
      <c r="Y59" s="277">
        <f>I59</f>
        <v>0</v>
      </c>
      <c r="Z59" s="277">
        <f>I59*O59</f>
        <v>0</v>
      </c>
      <c r="AA59" s="278">
        <f>P59</f>
        <v>0</v>
      </c>
      <c r="AU59" s="1">
        <f>NETWORKDAYS(K59,L59,1)</f>
        <v>0</v>
      </c>
      <c r="AZ59" s="1">
        <f>IF(X59="",J59,X59)</f>
        <v>0</v>
      </c>
    </row>
    <row r="60" spans="2:52">
      <c r="B60" s="2">
        <f t="shared" si="0"/>
        <v>56</v>
      </c>
      <c r="C60" s="14"/>
      <c r="D60" s="16"/>
      <c r="E60" s="17"/>
      <c r="F60" s="21"/>
      <c r="G60" s="18"/>
      <c r="H60" s="23"/>
      <c r="I60" s="24"/>
      <c r="J60" s="2"/>
      <c r="K60" s="11"/>
      <c r="L60" s="11"/>
      <c r="M60" s="11"/>
      <c r="N60" s="11"/>
      <c r="O60" s="4"/>
      <c r="P60" s="24"/>
      <c r="Q60" s="9"/>
      <c r="R60" s="9"/>
      <c r="S60" s="25"/>
      <c r="T60" s="38"/>
      <c r="U60" s="27"/>
      <c r="V60" s="27"/>
      <c r="W60" s="279"/>
      <c r="X60" s="27"/>
      <c r="Y60" s="277">
        <f>I60</f>
        <v>0</v>
      </c>
      <c r="Z60" s="277">
        <f>I60*O60</f>
        <v>0</v>
      </c>
      <c r="AA60" s="278">
        <f>P60</f>
        <v>0</v>
      </c>
      <c r="AU60" s="1">
        <f>NETWORKDAYS(K60,L60,1)</f>
        <v>0</v>
      </c>
      <c r="AY60" s="1">
        <v>8</v>
      </c>
      <c r="AZ60" s="1">
        <f>IF(X60="",J60,X60)</f>
        <v>0</v>
      </c>
    </row>
    <row r="61" spans="2:52">
      <c r="B61" s="2">
        <f t="shared" si="0"/>
        <v>57</v>
      </c>
      <c r="C61" s="14"/>
      <c r="D61" s="15"/>
      <c r="E61" s="17"/>
      <c r="F61" s="21"/>
      <c r="G61" s="18"/>
      <c r="H61" s="23"/>
      <c r="I61" s="24"/>
      <c r="J61" s="2"/>
      <c r="K61" s="11"/>
      <c r="L61" s="11"/>
      <c r="M61" s="11"/>
      <c r="N61" s="11"/>
      <c r="O61" s="4"/>
      <c r="P61" s="24"/>
      <c r="Q61" s="26"/>
      <c r="R61" s="9"/>
      <c r="S61" s="25"/>
      <c r="T61" s="38"/>
      <c r="U61" s="27"/>
      <c r="V61" s="27"/>
      <c r="W61" s="279"/>
      <c r="X61" s="27"/>
      <c r="Y61" s="277">
        <f>I61</f>
        <v>0</v>
      </c>
      <c r="Z61" s="277">
        <f>I61*O61</f>
        <v>0</v>
      </c>
      <c r="AA61" s="278">
        <f>P61</f>
        <v>0</v>
      </c>
      <c r="AU61" s="1">
        <f>NETWORKDAYS(K61,L61,1)</f>
        <v>0</v>
      </c>
      <c r="AZ61" s="1">
        <f>IF(X61="",J61,X61)</f>
        <v>0</v>
      </c>
    </row>
    <row r="62" spans="2:52" ht="28.5" customHeight="1">
      <c r="B62" s="2">
        <f t="shared" si="0"/>
        <v>58</v>
      </c>
      <c r="C62" s="14"/>
      <c r="D62" s="15"/>
      <c r="E62" s="17"/>
      <c r="F62" s="21"/>
      <c r="G62" s="18"/>
      <c r="H62" s="23"/>
      <c r="I62" s="24"/>
      <c r="J62" s="46"/>
      <c r="K62" s="11"/>
      <c r="L62" s="11"/>
      <c r="M62" s="11"/>
      <c r="N62" s="11"/>
      <c r="O62" s="4"/>
      <c r="P62" s="24"/>
      <c r="Q62" s="9"/>
      <c r="R62" s="9"/>
      <c r="S62" s="25"/>
      <c r="T62" s="38"/>
      <c r="U62" s="27"/>
      <c r="V62" s="27"/>
      <c r="W62" s="279"/>
      <c r="X62" s="27"/>
      <c r="Y62" s="277">
        <f>I62</f>
        <v>0</v>
      </c>
      <c r="Z62" s="277">
        <f>I62*O62</f>
        <v>0</v>
      </c>
      <c r="AA62" s="278">
        <f>P62</f>
        <v>0</v>
      </c>
      <c r="AU62" s="1">
        <f>NETWORKDAYS(K62,L62,1)</f>
        <v>0</v>
      </c>
      <c r="AZ62" s="1">
        <f>IF(X62="",J62,X62)</f>
        <v>0</v>
      </c>
    </row>
    <row r="63" spans="2:52">
      <c r="B63" s="2">
        <f t="shared" si="0"/>
        <v>59</v>
      </c>
      <c r="C63" s="14"/>
      <c r="D63" s="15"/>
      <c r="E63" s="17"/>
      <c r="F63" s="21"/>
      <c r="G63" s="18"/>
      <c r="H63" s="23"/>
      <c r="I63" s="24"/>
      <c r="J63" s="2"/>
      <c r="K63" s="11"/>
      <c r="L63" s="11"/>
      <c r="M63" s="11"/>
      <c r="N63" s="11"/>
      <c r="O63" s="4"/>
      <c r="P63" s="24"/>
      <c r="Q63" s="9"/>
      <c r="R63" s="9"/>
      <c r="S63" s="25"/>
      <c r="T63" s="38"/>
      <c r="U63" s="27"/>
      <c r="V63" s="27"/>
      <c r="W63" s="279"/>
      <c r="X63" s="27"/>
      <c r="Y63" s="277">
        <f>I63</f>
        <v>0</v>
      </c>
      <c r="Z63" s="277">
        <f>I63*O63</f>
        <v>0</v>
      </c>
      <c r="AA63" s="278">
        <f>P63</f>
        <v>0</v>
      </c>
      <c r="AU63" s="1">
        <f>NETWORKDAYS(K63,L63,1)</f>
        <v>0</v>
      </c>
      <c r="AZ63" s="1">
        <f>IF(X63="",J63,X63)</f>
        <v>0</v>
      </c>
    </row>
    <row r="64" spans="2:52">
      <c r="B64" s="2">
        <f t="shared" si="0"/>
        <v>60</v>
      </c>
      <c r="C64" s="14"/>
      <c r="D64" s="15"/>
      <c r="E64" s="17"/>
      <c r="F64" s="21"/>
      <c r="G64" s="18"/>
      <c r="H64" s="23"/>
      <c r="I64" s="24"/>
      <c r="J64" s="46"/>
      <c r="K64" s="11"/>
      <c r="L64" s="11"/>
      <c r="M64" s="11"/>
      <c r="N64" s="11"/>
      <c r="O64" s="4"/>
      <c r="P64" s="24"/>
      <c r="Q64" s="9"/>
      <c r="R64" s="9"/>
      <c r="S64" s="25"/>
      <c r="T64" s="38"/>
      <c r="U64" s="27"/>
      <c r="V64" s="27"/>
      <c r="W64" s="279"/>
      <c r="X64" s="27"/>
      <c r="Y64" s="277">
        <f>I64</f>
        <v>0</v>
      </c>
      <c r="Z64" s="277">
        <f>I64*O64</f>
        <v>0</v>
      </c>
      <c r="AA64" s="278">
        <f>P64</f>
        <v>0</v>
      </c>
      <c r="AU64" s="1">
        <f>NETWORKDAYS(K64,L64,1)</f>
        <v>0</v>
      </c>
      <c r="AZ64" s="1">
        <f>IF(X64="",J64,X64)</f>
        <v>0</v>
      </c>
    </row>
    <row r="65" spans="2:52">
      <c r="B65" s="2">
        <f t="shared" ref="B65:B83" si="1">ROW()-4</f>
        <v>61</v>
      </c>
      <c r="C65" s="14"/>
      <c r="D65" s="15"/>
      <c r="E65" s="17"/>
      <c r="F65" s="21"/>
      <c r="G65" s="18"/>
      <c r="H65" s="23"/>
      <c r="I65" s="24"/>
      <c r="J65" s="2"/>
      <c r="K65" s="11"/>
      <c r="L65" s="11"/>
      <c r="M65" s="11"/>
      <c r="N65" s="11"/>
      <c r="O65" s="4"/>
      <c r="P65" s="24"/>
      <c r="Q65" s="9"/>
      <c r="R65" s="9"/>
      <c r="S65" s="25"/>
      <c r="T65" s="27"/>
      <c r="U65" s="27"/>
      <c r="V65" s="27"/>
      <c r="W65" s="279"/>
      <c r="X65" s="27"/>
      <c r="Y65" s="277">
        <f>I65</f>
        <v>0</v>
      </c>
      <c r="Z65" s="277">
        <f>I65*O65</f>
        <v>0</v>
      </c>
      <c r="AA65" s="278">
        <f>P65</f>
        <v>0</v>
      </c>
      <c r="AB65" s="1" t="e">
        <f>VLOOKUP(T65,残工数!AQ:AU,2,FALSE)</f>
        <v>#N/A</v>
      </c>
      <c r="AC65" s="1" t="e">
        <f>VLOOKUP(T65,残工数!AQ:AU,3,FALSE)</f>
        <v>#N/A</v>
      </c>
      <c r="AD65" s="1" t="e">
        <f>VLOOKUP(T65,残工数!AQ:AU,4,FALSE)</f>
        <v>#N/A</v>
      </c>
      <c r="AE65" s="1" t="e">
        <f>VLOOKUP(T65,残工数!AQ:AU,5,FALSE)</f>
        <v>#N/A</v>
      </c>
      <c r="AG65" s="1" t="e">
        <f>VLOOKUP(T65,残工数!AQ:AV,6,FALSE)</f>
        <v>#N/A</v>
      </c>
      <c r="AH65" s="1" t="e">
        <f t="shared" ref="AH65:AH94" si="2">AE65*0.5</f>
        <v>#N/A</v>
      </c>
      <c r="AI65" s="1" t="e">
        <f t="shared" ref="AI65:AI94" si="3">AE65</f>
        <v>#N/A</v>
      </c>
      <c r="AJ65" s="1" t="e">
        <f t="shared" ref="AJ65:AJ94" si="4">AG65</f>
        <v>#N/A</v>
      </c>
      <c r="AK65" s="1" t="e">
        <f t="shared" ref="AK65:AK94" si="5">ROUNDUP((AH65*0.8*8)*4,0)/4</f>
        <v>#N/A</v>
      </c>
      <c r="AL65" s="1" t="e">
        <f t="shared" ref="AL65:AL94" si="6">ROUNDUP((AH65*0.2*8)*4,0)/4</f>
        <v>#N/A</v>
      </c>
      <c r="AM65" s="1" t="e">
        <f t="shared" ref="AM65:AM94" si="7">ROUNDUP((AI65*0.8*8)*4,0)/4</f>
        <v>#N/A</v>
      </c>
      <c r="AN65" s="1" t="e">
        <f t="shared" ref="AN65:AN94" si="8">ROUNDUP((AI65*0.2*8)*4,0)/4</f>
        <v>#N/A</v>
      </c>
      <c r="AO65" s="1" t="e">
        <f t="shared" ref="AO65:AO94" si="9">ROUNDUP((AJ65*0.6*0.8*8)*4,0)/4</f>
        <v>#N/A</v>
      </c>
      <c r="AP65" s="1" t="e">
        <f t="shared" ref="AP65:AP94" si="10">ROUNDUP((AJ65*0.6*0.2*8)*4,0)/4</f>
        <v>#N/A</v>
      </c>
      <c r="AQ65" s="1" t="e">
        <f t="shared" ref="AQ65:AQ94" si="11">ROUNDUP((AJ65*0.4*0.8*8)*4,0)/4</f>
        <v>#N/A</v>
      </c>
      <c r="AR65" s="1" t="e">
        <f t="shared" ref="AR65:AR94" si="12">ROUNDUP((AJ65*0.4*0.2*8)*4,0)/4</f>
        <v>#N/A</v>
      </c>
      <c r="AU65" s="1">
        <f>NETWORKDAYS(K65,L65,1)</f>
        <v>0</v>
      </c>
      <c r="AY65" s="1">
        <v>2</v>
      </c>
      <c r="AZ65" s="1">
        <f>IF(X65="",J65,X65)</f>
        <v>0</v>
      </c>
    </row>
    <row r="66" spans="2:52">
      <c r="B66" s="2">
        <f t="shared" si="1"/>
        <v>62</v>
      </c>
      <c r="C66" s="14"/>
      <c r="D66" s="15"/>
      <c r="E66" s="17"/>
      <c r="F66" s="21"/>
      <c r="G66" s="18"/>
      <c r="H66" s="23"/>
      <c r="I66" s="24"/>
      <c r="J66" s="2"/>
      <c r="K66" s="11"/>
      <c r="L66" s="11"/>
      <c r="M66" s="11"/>
      <c r="N66" s="11"/>
      <c r="O66" s="4"/>
      <c r="P66" s="24"/>
      <c r="Q66" s="9"/>
      <c r="R66" s="9"/>
      <c r="S66" s="25"/>
      <c r="T66" s="27"/>
      <c r="U66" s="27"/>
      <c r="V66" s="27"/>
      <c r="W66" s="279"/>
      <c r="X66" s="27"/>
      <c r="Y66" s="277">
        <f>I66</f>
        <v>0</v>
      </c>
      <c r="Z66" s="277">
        <f>I66*O66</f>
        <v>0</v>
      </c>
      <c r="AA66" s="278">
        <f>P66</f>
        <v>0</v>
      </c>
      <c r="AB66" s="1" t="e">
        <f>VLOOKUP(T66,残工数!AQ:AU,2,FALSE)</f>
        <v>#N/A</v>
      </c>
      <c r="AC66" s="1" t="e">
        <f>VLOOKUP(T66,残工数!AQ:AU,3,FALSE)</f>
        <v>#N/A</v>
      </c>
      <c r="AD66" s="1" t="e">
        <f>VLOOKUP(T66,残工数!AQ:AU,4,FALSE)</f>
        <v>#N/A</v>
      </c>
      <c r="AE66" s="1" t="e">
        <f>VLOOKUP(T66,残工数!AQ:AU,5,FALSE)</f>
        <v>#N/A</v>
      </c>
      <c r="AG66" s="1" t="e">
        <f>VLOOKUP(T66,残工数!AQ:AV,6,FALSE)</f>
        <v>#N/A</v>
      </c>
      <c r="AH66" s="1" t="e">
        <f t="shared" si="2"/>
        <v>#N/A</v>
      </c>
      <c r="AI66" s="1" t="e">
        <f t="shared" si="3"/>
        <v>#N/A</v>
      </c>
      <c r="AJ66" s="1" t="e">
        <f t="shared" si="4"/>
        <v>#N/A</v>
      </c>
      <c r="AK66" s="1" t="e">
        <f t="shared" si="5"/>
        <v>#N/A</v>
      </c>
      <c r="AL66" s="1" t="e">
        <f t="shared" si="6"/>
        <v>#N/A</v>
      </c>
      <c r="AM66" s="1" t="e">
        <f t="shared" si="7"/>
        <v>#N/A</v>
      </c>
      <c r="AN66" s="1" t="e">
        <f t="shared" si="8"/>
        <v>#N/A</v>
      </c>
      <c r="AO66" s="1" t="e">
        <f t="shared" si="9"/>
        <v>#N/A</v>
      </c>
      <c r="AP66" s="1" t="e">
        <f t="shared" si="10"/>
        <v>#N/A</v>
      </c>
      <c r="AQ66" s="1" t="e">
        <f t="shared" si="11"/>
        <v>#N/A</v>
      </c>
      <c r="AR66" s="1" t="e">
        <f t="shared" si="12"/>
        <v>#N/A</v>
      </c>
      <c r="AT66" s="1">
        <v>0</v>
      </c>
      <c r="AU66" s="1">
        <f>NETWORKDAYS(K66,L66,1)</f>
        <v>0</v>
      </c>
      <c r="AY66" s="1">
        <v>0.5</v>
      </c>
      <c r="AZ66" s="1">
        <f>IF(X66="",J66,X66)</f>
        <v>0</v>
      </c>
    </row>
    <row r="67" spans="2:52">
      <c r="B67" s="2">
        <f t="shared" si="1"/>
        <v>63</v>
      </c>
      <c r="C67" s="14"/>
      <c r="D67" s="15"/>
      <c r="E67" s="17"/>
      <c r="F67" s="21"/>
      <c r="G67" s="18"/>
      <c r="H67" s="23"/>
      <c r="I67" s="24"/>
      <c r="J67" s="2"/>
      <c r="K67" s="11"/>
      <c r="L67" s="11"/>
      <c r="M67" s="11"/>
      <c r="N67" s="11"/>
      <c r="O67" s="4"/>
      <c r="P67" s="24"/>
      <c r="Q67" s="9"/>
      <c r="R67" s="9"/>
      <c r="S67" s="25"/>
      <c r="T67" s="27"/>
      <c r="U67" s="27"/>
      <c r="V67" s="27"/>
      <c r="W67" s="279"/>
      <c r="X67" s="27"/>
      <c r="Y67" s="277">
        <f>I67</f>
        <v>0</v>
      </c>
      <c r="Z67" s="277">
        <f>I67*O67</f>
        <v>0</v>
      </c>
      <c r="AA67" s="278">
        <f>P67</f>
        <v>0</v>
      </c>
      <c r="AB67" s="1" t="e">
        <f>VLOOKUP(T67,残工数!AQ:AU,2,FALSE)</f>
        <v>#N/A</v>
      </c>
      <c r="AC67" s="1" t="e">
        <f>VLOOKUP(T67,残工数!AQ:AU,3,FALSE)</f>
        <v>#N/A</v>
      </c>
      <c r="AD67" s="1" t="e">
        <f>VLOOKUP(T67,残工数!AQ:AU,4,FALSE)</f>
        <v>#N/A</v>
      </c>
      <c r="AE67" s="1" t="e">
        <f>VLOOKUP(T67,残工数!AQ:AU,5,FALSE)</f>
        <v>#N/A</v>
      </c>
      <c r="AG67" s="1" t="e">
        <f>VLOOKUP(T67,残工数!AQ:AV,6,FALSE)</f>
        <v>#N/A</v>
      </c>
      <c r="AH67" s="1" t="e">
        <f t="shared" si="2"/>
        <v>#N/A</v>
      </c>
      <c r="AI67" s="1" t="e">
        <f t="shared" si="3"/>
        <v>#N/A</v>
      </c>
      <c r="AJ67" s="1" t="e">
        <f t="shared" si="4"/>
        <v>#N/A</v>
      </c>
      <c r="AK67" s="1" t="e">
        <f t="shared" si="5"/>
        <v>#N/A</v>
      </c>
      <c r="AL67" s="1" t="e">
        <f t="shared" si="6"/>
        <v>#N/A</v>
      </c>
      <c r="AM67" s="1" t="e">
        <f t="shared" si="7"/>
        <v>#N/A</v>
      </c>
      <c r="AN67" s="1" t="e">
        <f t="shared" si="8"/>
        <v>#N/A</v>
      </c>
      <c r="AO67" s="1" t="e">
        <f t="shared" si="9"/>
        <v>#N/A</v>
      </c>
      <c r="AP67" s="1" t="e">
        <f t="shared" si="10"/>
        <v>#N/A</v>
      </c>
      <c r="AQ67" s="1" t="e">
        <f t="shared" si="11"/>
        <v>#N/A</v>
      </c>
      <c r="AR67" s="1" t="e">
        <f t="shared" si="12"/>
        <v>#N/A</v>
      </c>
      <c r="AT67" s="1">
        <v>0</v>
      </c>
      <c r="AU67" s="1">
        <f>NETWORKDAYS(K67,L67,1)</f>
        <v>0</v>
      </c>
      <c r="AY67" s="1">
        <v>0</v>
      </c>
      <c r="AZ67" s="1">
        <f>IF(X67="",J67,X67)</f>
        <v>0</v>
      </c>
    </row>
    <row r="68" spans="2:52">
      <c r="B68" s="2">
        <f t="shared" si="1"/>
        <v>64</v>
      </c>
      <c r="C68" s="14"/>
      <c r="D68" s="15"/>
      <c r="E68" s="17"/>
      <c r="F68" s="20"/>
      <c r="G68" s="18"/>
      <c r="H68" s="23"/>
      <c r="I68" s="24"/>
      <c r="J68" s="2"/>
      <c r="K68" s="11"/>
      <c r="L68" s="11"/>
      <c r="M68" s="11"/>
      <c r="N68" s="11"/>
      <c r="O68" s="4"/>
      <c r="P68" s="24"/>
      <c r="Q68" s="9"/>
      <c r="R68" s="9"/>
      <c r="S68" s="25"/>
      <c r="T68" s="27"/>
      <c r="U68" s="27"/>
      <c r="V68" s="27"/>
      <c r="W68" s="279"/>
      <c r="X68" s="27"/>
      <c r="Y68" s="277">
        <f>I68</f>
        <v>0</v>
      </c>
      <c r="Z68" s="277">
        <f>I68*O68</f>
        <v>0</v>
      </c>
      <c r="AA68" s="278">
        <f>P68</f>
        <v>0</v>
      </c>
      <c r="AH68" s="1">
        <f t="shared" si="2"/>
        <v>0</v>
      </c>
      <c r="AI68" s="1">
        <f t="shared" si="3"/>
        <v>0</v>
      </c>
      <c r="AJ68" s="1">
        <f t="shared" si="4"/>
        <v>0</v>
      </c>
      <c r="AK68" s="1">
        <f t="shared" si="5"/>
        <v>0</v>
      </c>
      <c r="AL68" s="1">
        <f t="shared" si="6"/>
        <v>0</v>
      </c>
      <c r="AM68" s="1">
        <f t="shared" si="7"/>
        <v>0</v>
      </c>
      <c r="AN68" s="1">
        <f t="shared" si="8"/>
        <v>0</v>
      </c>
      <c r="AO68" s="1">
        <f t="shared" si="9"/>
        <v>0</v>
      </c>
      <c r="AP68" s="1">
        <f t="shared" si="10"/>
        <v>0</v>
      </c>
      <c r="AQ68" s="1">
        <f t="shared" si="11"/>
        <v>0</v>
      </c>
      <c r="AR68" s="1">
        <f t="shared" si="12"/>
        <v>0</v>
      </c>
      <c r="AT68" s="1">
        <v>7.5</v>
      </c>
      <c r="AU68" s="1">
        <f>NETWORKDAYS(K68,L68,1)</f>
        <v>0</v>
      </c>
      <c r="AZ68" s="1">
        <f>IF(X68="",J68,X68)</f>
        <v>0</v>
      </c>
    </row>
    <row r="69" spans="2:52">
      <c r="B69" s="2">
        <f t="shared" si="1"/>
        <v>65</v>
      </c>
      <c r="C69" s="14"/>
      <c r="D69" s="15"/>
      <c r="E69" s="17"/>
      <c r="F69" s="21"/>
      <c r="G69" s="18"/>
      <c r="H69" s="23"/>
      <c r="I69" s="24"/>
      <c r="J69" s="2"/>
      <c r="K69" s="11"/>
      <c r="L69" s="11"/>
      <c r="M69" s="11"/>
      <c r="N69" s="11"/>
      <c r="O69" s="4"/>
      <c r="P69" s="24"/>
      <c r="Q69" s="9"/>
      <c r="R69" s="9"/>
      <c r="S69" s="25"/>
      <c r="T69" s="27"/>
      <c r="U69" s="27"/>
      <c r="V69" s="27"/>
      <c r="W69" s="279"/>
      <c r="X69" s="27"/>
      <c r="Y69" s="277">
        <f>I69</f>
        <v>0</v>
      </c>
      <c r="Z69" s="277">
        <f>I69*O69</f>
        <v>0</v>
      </c>
      <c r="AA69" s="278">
        <f>P69</f>
        <v>0</v>
      </c>
      <c r="AH69" s="1">
        <f t="shared" si="2"/>
        <v>0</v>
      </c>
      <c r="AI69" s="1">
        <f t="shared" si="3"/>
        <v>0</v>
      </c>
      <c r="AJ69" s="1">
        <f t="shared" si="4"/>
        <v>0</v>
      </c>
      <c r="AK69" s="1">
        <f t="shared" si="5"/>
        <v>0</v>
      </c>
      <c r="AL69" s="1">
        <f t="shared" si="6"/>
        <v>0</v>
      </c>
      <c r="AM69" s="1">
        <f t="shared" si="7"/>
        <v>0</v>
      </c>
      <c r="AN69" s="1">
        <f t="shared" si="8"/>
        <v>0</v>
      </c>
      <c r="AO69" s="1">
        <f t="shared" si="9"/>
        <v>0</v>
      </c>
      <c r="AP69" s="1">
        <f t="shared" si="10"/>
        <v>0</v>
      </c>
      <c r="AQ69" s="1">
        <f t="shared" si="11"/>
        <v>0</v>
      </c>
      <c r="AR69" s="1">
        <f t="shared" si="12"/>
        <v>0</v>
      </c>
      <c r="AT69" s="1">
        <v>0.8</v>
      </c>
      <c r="AU69" s="1">
        <f>NETWORKDAYS(K69,L69,1)</f>
        <v>0</v>
      </c>
      <c r="AY69" s="1">
        <v>0</v>
      </c>
      <c r="AZ69" s="1">
        <f>IF(X69="",J69,X69)</f>
        <v>0</v>
      </c>
    </row>
    <row r="70" spans="2:52">
      <c r="B70" s="2">
        <f t="shared" si="1"/>
        <v>66</v>
      </c>
      <c r="C70" s="14"/>
      <c r="D70" s="15"/>
      <c r="E70" s="17"/>
      <c r="F70" s="21"/>
      <c r="G70" s="18"/>
      <c r="H70" s="23"/>
      <c r="I70" s="24"/>
      <c r="J70" s="2"/>
      <c r="K70" s="11"/>
      <c r="L70" s="11"/>
      <c r="M70" s="11"/>
      <c r="N70" s="11"/>
      <c r="O70" s="4"/>
      <c r="P70" s="24"/>
      <c r="Q70" s="9"/>
      <c r="R70" s="9"/>
      <c r="S70" s="25"/>
      <c r="T70" s="27"/>
      <c r="U70" s="27"/>
      <c r="V70" s="27"/>
      <c r="W70" s="279"/>
      <c r="X70" s="27"/>
      <c r="Y70" s="277">
        <f>I70</f>
        <v>0</v>
      </c>
      <c r="Z70" s="277">
        <f>I70*O70</f>
        <v>0</v>
      </c>
      <c r="AA70" s="278">
        <f>P70</f>
        <v>0</v>
      </c>
      <c r="AB70" s="1" t="e">
        <f>VLOOKUP(T70,残工数!AQ:AU,2,FALSE)</f>
        <v>#N/A</v>
      </c>
      <c r="AC70" s="1" t="e">
        <f>VLOOKUP(T70,残工数!AQ:AU,3,FALSE)</f>
        <v>#N/A</v>
      </c>
      <c r="AD70" s="1" t="e">
        <f>VLOOKUP(T70,残工数!AQ:AU,4,FALSE)</f>
        <v>#N/A</v>
      </c>
      <c r="AE70" s="1" t="e">
        <f>VLOOKUP(T70,残工数!AQ:AU,5,FALSE)</f>
        <v>#N/A</v>
      </c>
      <c r="AG70" s="1" t="e">
        <f>VLOOKUP(T70,残工数!AQ:AV,6,FALSE)</f>
        <v>#N/A</v>
      </c>
      <c r="AH70" s="1" t="e">
        <f t="shared" si="2"/>
        <v>#N/A</v>
      </c>
      <c r="AI70" s="1" t="e">
        <f t="shared" si="3"/>
        <v>#N/A</v>
      </c>
      <c r="AJ70" s="1" t="e">
        <f t="shared" si="4"/>
        <v>#N/A</v>
      </c>
      <c r="AK70" s="1" t="e">
        <f t="shared" si="5"/>
        <v>#N/A</v>
      </c>
      <c r="AL70" s="1" t="e">
        <f t="shared" si="6"/>
        <v>#N/A</v>
      </c>
      <c r="AM70" s="1" t="e">
        <f t="shared" si="7"/>
        <v>#N/A</v>
      </c>
      <c r="AN70" s="1" t="e">
        <f t="shared" si="8"/>
        <v>#N/A</v>
      </c>
      <c r="AO70" s="1" t="e">
        <f t="shared" si="9"/>
        <v>#N/A</v>
      </c>
      <c r="AP70" s="1" t="e">
        <f t="shared" si="10"/>
        <v>#N/A</v>
      </c>
      <c r="AQ70" s="1" t="e">
        <f t="shared" si="11"/>
        <v>#N/A</v>
      </c>
      <c r="AR70" s="1" t="e">
        <f t="shared" si="12"/>
        <v>#N/A</v>
      </c>
      <c r="AT70" s="1">
        <v>0</v>
      </c>
      <c r="AU70" s="1">
        <f>NETWORKDAYS(K70,L70,1)</f>
        <v>0</v>
      </c>
      <c r="AY70" s="1">
        <v>0</v>
      </c>
      <c r="AZ70" s="1">
        <f>IF(X70="",J70,X70)</f>
        <v>0</v>
      </c>
    </row>
    <row r="71" spans="2:52">
      <c r="B71" s="2">
        <f t="shared" si="1"/>
        <v>67</v>
      </c>
      <c r="C71" s="14"/>
      <c r="D71" s="15"/>
      <c r="E71" s="17"/>
      <c r="F71" s="21"/>
      <c r="G71" s="18"/>
      <c r="H71" s="23"/>
      <c r="I71" s="24"/>
      <c r="J71" s="2"/>
      <c r="K71" s="11"/>
      <c r="L71" s="11"/>
      <c r="M71" s="11"/>
      <c r="N71" s="11"/>
      <c r="O71" s="4"/>
      <c r="P71" s="24"/>
      <c r="Q71" s="9"/>
      <c r="R71" s="9"/>
      <c r="S71" s="25"/>
      <c r="T71" s="27"/>
      <c r="U71" s="27"/>
      <c r="V71" s="27"/>
      <c r="W71" s="279"/>
      <c r="X71" s="27"/>
      <c r="Y71" s="277">
        <f>I71</f>
        <v>0</v>
      </c>
      <c r="Z71" s="277">
        <f>I71*O71</f>
        <v>0</v>
      </c>
      <c r="AA71" s="278">
        <f>P71</f>
        <v>0</v>
      </c>
      <c r="AB71" s="1" t="e">
        <f>VLOOKUP(T71,残工数!AQ:AU,2,FALSE)</f>
        <v>#N/A</v>
      </c>
      <c r="AC71" s="1" t="e">
        <f>VLOOKUP(T71,残工数!AQ:AU,3,FALSE)</f>
        <v>#N/A</v>
      </c>
      <c r="AD71" s="1" t="e">
        <f>VLOOKUP(T71,残工数!AQ:AU,4,FALSE)</f>
        <v>#N/A</v>
      </c>
      <c r="AE71" s="1" t="e">
        <f>VLOOKUP(T71,残工数!AQ:AU,5,FALSE)</f>
        <v>#N/A</v>
      </c>
      <c r="AG71" s="1" t="e">
        <f>VLOOKUP(T71,残工数!AQ:AV,6,FALSE)</f>
        <v>#N/A</v>
      </c>
      <c r="AH71" s="1" t="e">
        <f t="shared" si="2"/>
        <v>#N/A</v>
      </c>
      <c r="AI71" s="1" t="e">
        <f t="shared" si="3"/>
        <v>#N/A</v>
      </c>
      <c r="AJ71" s="1" t="e">
        <f t="shared" si="4"/>
        <v>#N/A</v>
      </c>
      <c r="AK71" s="1" t="e">
        <f t="shared" si="5"/>
        <v>#N/A</v>
      </c>
      <c r="AL71" s="1" t="e">
        <f t="shared" si="6"/>
        <v>#N/A</v>
      </c>
      <c r="AM71" s="1" t="e">
        <f t="shared" si="7"/>
        <v>#N/A</v>
      </c>
      <c r="AN71" s="1" t="e">
        <f t="shared" si="8"/>
        <v>#N/A</v>
      </c>
      <c r="AO71" s="1" t="e">
        <f t="shared" si="9"/>
        <v>#N/A</v>
      </c>
      <c r="AP71" s="1" t="e">
        <f t="shared" si="10"/>
        <v>#N/A</v>
      </c>
      <c r="AQ71" s="1" t="e">
        <f t="shared" si="11"/>
        <v>#N/A</v>
      </c>
      <c r="AR71" s="1" t="e">
        <f t="shared" si="12"/>
        <v>#N/A</v>
      </c>
      <c r="AT71" s="1">
        <v>0</v>
      </c>
      <c r="AU71" s="1">
        <f>NETWORKDAYS(K71,L71,1)</f>
        <v>0</v>
      </c>
      <c r="AY71" s="1">
        <v>0</v>
      </c>
      <c r="AZ71" s="1">
        <f>IF(X71="",J71,X71)</f>
        <v>0</v>
      </c>
    </row>
    <row r="72" spans="2:52">
      <c r="B72" s="2">
        <f t="shared" si="1"/>
        <v>68</v>
      </c>
      <c r="C72" s="14"/>
      <c r="D72" s="15"/>
      <c r="E72" s="17"/>
      <c r="F72" s="21"/>
      <c r="G72" s="18"/>
      <c r="H72" s="23"/>
      <c r="I72" s="24"/>
      <c r="J72" s="2"/>
      <c r="K72" s="11"/>
      <c r="L72" s="11"/>
      <c r="M72" s="11"/>
      <c r="N72" s="11"/>
      <c r="O72" s="4"/>
      <c r="P72" s="24"/>
      <c r="Q72" s="9"/>
      <c r="R72" s="9"/>
      <c r="S72" s="25"/>
      <c r="T72" s="27"/>
      <c r="U72" s="27"/>
      <c r="V72" s="27"/>
      <c r="W72" s="279"/>
      <c r="X72" s="27"/>
      <c r="Y72" s="277">
        <f>I72</f>
        <v>0</v>
      </c>
      <c r="Z72" s="277">
        <f>I72*O72</f>
        <v>0</v>
      </c>
      <c r="AA72" s="278">
        <f>P72</f>
        <v>0</v>
      </c>
      <c r="AB72" s="1" t="e">
        <f>VLOOKUP(T72,残工数!AQ:AU,2,FALSE)</f>
        <v>#N/A</v>
      </c>
      <c r="AC72" s="1" t="e">
        <f>VLOOKUP(T72,残工数!AQ:AU,3,FALSE)</f>
        <v>#N/A</v>
      </c>
      <c r="AD72" s="1" t="e">
        <f>VLOOKUP(T72,残工数!AQ:AU,4,FALSE)</f>
        <v>#N/A</v>
      </c>
      <c r="AE72" s="1" t="e">
        <f>VLOOKUP(T72,残工数!AQ:AU,5,FALSE)</f>
        <v>#N/A</v>
      </c>
      <c r="AG72" s="1" t="e">
        <f>VLOOKUP(T72,残工数!AQ:AV,6,FALSE)</f>
        <v>#N/A</v>
      </c>
      <c r="AH72" s="1" t="e">
        <f t="shared" ref="AH72" si="13">AE72*0.5</f>
        <v>#N/A</v>
      </c>
      <c r="AI72" s="1" t="e">
        <f t="shared" ref="AI72" si="14">AE72</f>
        <v>#N/A</v>
      </c>
      <c r="AJ72" s="1" t="e">
        <f t="shared" ref="AJ72" si="15">AG72</f>
        <v>#N/A</v>
      </c>
      <c r="AK72" s="1" t="e">
        <f t="shared" ref="AK72" si="16">ROUNDUP((AH72*0.8*8)*4,0)/4</f>
        <v>#N/A</v>
      </c>
      <c r="AL72" s="1" t="e">
        <f t="shared" ref="AL72" si="17">ROUNDUP((AH72*0.2*8)*4,0)/4</f>
        <v>#N/A</v>
      </c>
      <c r="AM72" s="1" t="e">
        <f t="shared" ref="AM72" si="18">ROUNDUP((AI72*0.8*8)*4,0)/4</f>
        <v>#N/A</v>
      </c>
      <c r="AN72" s="1" t="e">
        <f t="shared" ref="AN72" si="19">ROUNDUP((AI72*0.2*8)*4,0)/4</f>
        <v>#N/A</v>
      </c>
      <c r="AO72" s="1" t="e">
        <f t="shared" ref="AO72" si="20">ROUNDUP((AJ72*0.6*0.8*8)*4,0)/4</f>
        <v>#N/A</v>
      </c>
      <c r="AP72" s="1" t="e">
        <f t="shared" ref="AP72" si="21">ROUNDUP((AJ72*0.6*0.2*8)*4,0)/4</f>
        <v>#N/A</v>
      </c>
      <c r="AQ72" s="1" t="e">
        <f t="shared" ref="AQ72" si="22">ROUNDUP((AJ72*0.4*0.8*8)*4,0)/4</f>
        <v>#N/A</v>
      </c>
      <c r="AR72" s="1" t="e">
        <f t="shared" ref="AR72" si="23">ROUNDUP((AJ72*0.4*0.2*8)*4,0)/4</f>
        <v>#N/A</v>
      </c>
      <c r="AT72" s="1">
        <v>0</v>
      </c>
      <c r="AU72" s="1">
        <f>NETWORKDAYS(K72,L72,1)</f>
        <v>0</v>
      </c>
      <c r="AY72" s="1">
        <v>0</v>
      </c>
      <c r="AZ72" s="1">
        <f>IF(X72="",J72,X72)</f>
        <v>0</v>
      </c>
    </row>
    <row r="73" spans="2:52">
      <c r="B73" s="2">
        <f t="shared" si="1"/>
        <v>69</v>
      </c>
      <c r="C73" s="14"/>
      <c r="D73" s="15"/>
      <c r="E73" s="17"/>
      <c r="F73" s="21"/>
      <c r="G73" s="18"/>
      <c r="H73" s="23"/>
      <c r="I73" s="24"/>
      <c r="J73" s="2"/>
      <c r="K73" s="11"/>
      <c r="L73" s="11"/>
      <c r="M73" s="11"/>
      <c r="N73" s="11"/>
      <c r="O73" s="4"/>
      <c r="P73" s="24"/>
      <c r="Q73" s="9"/>
      <c r="R73" s="9"/>
      <c r="S73" s="25"/>
      <c r="T73" s="27"/>
      <c r="U73" s="27"/>
      <c r="V73" s="27"/>
      <c r="W73" s="279"/>
      <c r="X73" s="27"/>
      <c r="Y73" s="277">
        <f>I73</f>
        <v>0</v>
      </c>
      <c r="Z73" s="277">
        <f>I73*O73</f>
        <v>0</v>
      </c>
      <c r="AA73" s="278">
        <f>P73</f>
        <v>0</v>
      </c>
      <c r="AB73" s="1" t="e">
        <f>VLOOKUP(T73,残工数!AQ:AU,2,FALSE)</f>
        <v>#N/A</v>
      </c>
      <c r="AC73" s="1" t="e">
        <f>VLOOKUP(T73,残工数!AQ:AU,3,FALSE)</f>
        <v>#N/A</v>
      </c>
      <c r="AD73" s="1" t="e">
        <f>VLOOKUP(T73,残工数!AQ:AU,4,FALSE)</f>
        <v>#N/A</v>
      </c>
      <c r="AE73" s="1" t="e">
        <f>VLOOKUP(T73,残工数!AQ:AU,5,FALSE)</f>
        <v>#N/A</v>
      </c>
      <c r="AG73" s="1" t="e">
        <f>VLOOKUP(T73,残工数!AQ:AV,6,FALSE)</f>
        <v>#N/A</v>
      </c>
      <c r="AH73" s="1" t="e">
        <f t="shared" si="2"/>
        <v>#N/A</v>
      </c>
      <c r="AI73" s="1" t="e">
        <f t="shared" si="3"/>
        <v>#N/A</v>
      </c>
      <c r="AJ73" s="1" t="e">
        <f t="shared" si="4"/>
        <v>#N/A</v>
      </c>
      <c r="AK73" s="1" t="e">
        <f t="shared" si="5"/>
        <v>#N/A</v>
      </c>
      <c r="AL73" s="1" t="e">
        <f t="shared" si="6"/>
        <v>#N/A</v>
      </c>
      <c r="AM73" s="1" t="e">
        <f t="shared" si="7"/>
        <v>#N/A</v>
      </c>
      <c r="AN73" s="1" t="e">
        <f t="shared" si="8"/>
        <v>#N/A</v>
      </c>
      <c r="AO73" s="1" t="e">
        <f t="shared" si="9"/>
        <v>#N/A</v>
      </c>
      <c r="AP73" s="1" t="e">
        <f t="shared" si="10"/>
        <v>#N/A</v>
      </c>
      <c r="AQ73" s="1" t="e">
        <f t="shared" si="11"/>
        <v>#N/A</v>
      </c>
      <c r="AR73" s="1" t="e">
        <f t="shared" si="12"/>
        <v>#N/A</v>
      </c>
      <c r="AT73" s="1">
        <v>0</v>
      </c>
      <c r="AU73" s="1">
        <f>NETWORKDAYS(K73,L73,1)</f>
        <v>0</v>
      </c>
      <c r="AY73" s="1">
        <v>0</v>
      </c>
      <c r="AZ73" s="1">
        <f>IF(X73="",J73,X73)</f>
        <v>0</v>
      </c>
    </row>
    <row r="74" spans="2:52">
      <c r="B74" s="2">
        <f t="shared" si="1"/>
        <v>70</v>
      </c>
      <c r="C74" s="14"/>
      <c r="D74" s="15"/>
      <c r="E74" s="17"/>
      <c r="F74" s="21"/>
      <c r="G74" s="18"/>
      <c r="H74" s="23"/>
      <c r="I74" s="24"/>
      <c r="J74" s="2"/>
      <c r="K74" s="11"/>
      <c r="L74" s="11"/>
      <c r="M74" s="11"/>
      <c r="N74" s="11"/>
      <c r="O74" s="4"/>
      <c r="P74" s="24"/>
      <c r="Q74" s="9"/>
      <c r="R74" s="9"/>
      <c r="S74" s="25"/>
      <c r="T74" s="27"/>
      <c r="U74" s="27"/>
      <c r="V74" s="27"/>
      <c r="W74" s="279"/>
      <c r="X74" s="27"/>
      <c r="Y74" s="277">
        <f>I74</f>
        <v>0</v>
      </c>
      <c r="Z74" s="277">
        <f>I74*O74</f>
        <v>0</v>
      </c>
      <c r="AA74" s="278">
        <f>P74</f>
        <v>0</v>
      </c>
      <c r="AB74" s="1" t="e">
        <f>VLOOKUP(T74,残工数!AQ:AU,2,FALSE)</f>
        <v>#N/A</v>
      </c>
      <c r="AC74" s="1" t="e">
        <f>VLOOKUP(T74,残工数!AQ:AU,3,FALSE)</f>
        <v>#N/A</v>
      </c>
      <c r="AD74" s="1" t="e">
        <f>VLOOKUP(T74,残工数!AQ:AU,4,FALSE)</f>
        <v>#N/A</v>
      </c>
      <c r="AE74" s="1" t="e">
        <f>VLOOKUP(T74,残工数!AQ:AU,5,FALSE)</f>
        <v>#N/A</v>
      </c>
      <c r="AG74" s="1" t="e">
        <f>VLOOKUP(T74,残工数!AQ:AV,6,FALSE)</f>
        <v>#N/A</v>
      </c>
      <c r="AH74" s="1" t="e">
        <f t="shared" si="2"/>
        <v>#N/A</v>
      </c>
      <c r="AI74" s="1" t="e">
        <f t="shared" si="3"/>
        <v>#N/A</v>
      </c>
      <c r="AJ74" s="1" t="e">
        <f t="shared" si="4"/>
        <v>#N/A</v>
      </c>
      <c r="AK74" s="1" t="e">
        <f t="shared" si="5"/>
        <v>#N/A</v>
      </c>
      <c r="AL74" s="1" t="e">
        <f t="shared" si="6"/>
        <v>#N/A</v>
      </c>
      <c r="AM74" s="1" t="e">
        <f t="shared" si="7"/>
        <v>#N/A</v>
      </c>
      <c r="AN74" s="1" t="e">
        <f t="shared" si="8"/>
        <v>#N/A</v>
      </c>
      <c r="AO74" s="1" t="e">
        <f t="shared" si="9"/>
        <v>#N/A</v>
      </c>
      <c r="AP74" s="1" t="e">
        <f t="shared" si="10"/>
        <v>#N/A</v>
      </c>
      <c r="AQ74" s="1" t="e">
        <f t="shared" si="11"/>
        <v>#N/A</v>
      </c>
      <c r="AR74" s="1" t="e">
        <f t="shared" si="12"/>
        <v>#N/A</v>
      </c>
      <c r="AT74" s="1">
        <v>0</v>
      </c>
      <c r="AU74" s="1">
        <f>NETWORKDAYS(K74,L74,1)</f>
        <v>0</v>
      </c>
      <c r="AY74" s="1">
        <v>0</v>
      </c>
      <c r="AZ74" s="1">
        <f>IF(X74="",J74,X74)</f>
        <v>0</v>
      </c>
    </row>
    <row r="75" spans="2:52">
      <c r="B75" s="2">
        <f t="shared" si="1"/>
        <v>71</v>
      </c>
      <c r="C75" s="14"/>
      <c r="D75" s="15"/>
      <c r="E75" s="17"/>
      <c r="F75" s="21"/>
      <c r="G75" s="18"/>
      <c r="H75" s="23"/>
      <c r="I75" s="24"/>
      <c r="J75" s="2"/>
      <c r="K75" s="11"/>
      <c r="L75" s="11"/>
      <c r="M75" s="11"/>
      <c r="N75" s="11"/>
      <c r="O75" s="4"/>
      <c r="P75" s="24"/>
      <c r="Q75" s="9"/>
      <c r="R75" s="9"/>
      <c r="S75" s="25"/>
      <c r="T75" s="27"/>
      <c r="U75" s="27"/>
      <c r="V75" s="27"/>
      <c r="W75" s="279"/>
      <c r="X75" s="27"/>
      <c r="Y75" s="277">
        <f>I75</f>
        <v>0</v>
      </c>
      <c r="Z75" s="277">
        <f>I75*O75</f>
        <v>0</v>
      </c>
      <c r="AA75" s="278">
        <f>P75</f>
        <v>0</v>
      </c>
      <c r="AB75" s="1" t="e">
        <f>VLOOKUP(T75,残工数!AQ:AU,2,FALSE)</f>
        <v>#N/A</v>
      </c>
      <c r="AC75" s="1" t="e">
        <f>VLOOKUP(T75,残工数!AQ:AU,3,FALSE)</f>
        <v>#N/A</v>
      </c>
      <c r="AD75" s="1" t="e">
        <f>VLOOKUP(T75,残工数!AQ:AU,4,FALSE)</f>
        <v>#N/A</v>
      </c>
      <c r="AE75" s="1" t="e">
        <f>VLOOKUP(T75,残工数!AQ:AU,5,FALSE)</f>
        <v>#N/A</v>
      </c>
      <c r="AG75" s="1" t="e">
        <f>VLOOKUP(T75,残工数!AQ:AV,6,FALSE)</f>
        <v>#N/A</v>
      </c>
      <c r="AH75" s="1" t="e">
        <f t="shared" si="2"/>
        <v>#N/A</v>
      </c>
      <c r="AI75" s="1" t="e">
        <f t="shared" si="3"/>
        <v>#N/A</v>
      </c>
      <c r="AJ75" s="1" t="e">
        <f t="shared" si="4"/>
        <v>#N/A</v>
      </c>
      <c r="AK75" s="1" t="e">
        <f t="shared" si="5"/>
        <v>#N/A</v>
      </c>
      <c r="AL75" s="1" t="e">
        <f t="shared" si="6"/>
        <v>#N/A</v>
      </c>
      <c r="AM75" s="1" t="e">
        <f t="shared" si="7"/>
        <v>#N/A</v>
      </c>
      <c r="AN75" s="1" t="e">
        <f t="shared" si="8"/>
        <v>#N/A</v>
      </c>
      <c r="AO75" s="1" t="e">
        <f t="shared" si="9"/>
        <v>#N/A</v>
      </c>
      <c r="AP75" s="1" t="e">
        <f t="shared" si="10"/>
        <v>#N/A</v>
      </c>
      <c r="AQ75" s="1" t="e">
        <f t="shared" si="11"/>
        <v>#N/A</v>
      </c>
      <c r="AR75" s="1" t="e">
        <f t="shared" si="12"/>
        <v>#N/A</v>
      </c>
      <c r="AT75" s="1">
        <v>0</v>
      </c>
      <c r="AU75" s="1">
        <f>NETWORKDAYS(K75,L75,1)</f>
        <v>0</v>
      </c>
      <c r="AY75" s="1">
        <v>0</v>
      </c>
      <c r="AZ75" s="1">
        <f>IF(X75="",J75,X75)</f>
        <v>0</v>
      </c>
    </row>
    <row r="76" spans="2:52">
      <c r="B76" s="2">
        <f t="shared" si="1"/>
        <v>72</v>
      </c>
      <c r="C76" s="14"/>
      <c r="D76" s="15"/>
      <c r="E76" s="17"/>
      <c r="F76" s="21"/>
      <c r="G76" s="18"/>
      <c r="H76" s="23"/>
      <c r="I76" s="24"/>
      <c r="J76" s="2"/>
      <c r="K76" s="11"/>
      <c r="L76" s="11"/>
      <c r="M76" s="11"/>
      <c r="N76" s="11"/>
      <c r="O76" s="4"/>
      <c r="P76" s="24"/>
      <c r="Q76" s="9"/>
      <c r="R76" s="9"/>
      <c r="S76" s="25"/>
      <c r="T76" s="27"/>
      <c r="U76" s="27"/>
      <c r="V76" s="27"/>
      <c r="W76" s="279"/>
      <c r="X76" s="27"/>
      <c r="Y76" s="277">
        <f>I76</f>
        <v>0</v>
      </c>
      <c r="Z76" s="277">
        <f>I76*O76</f>
        <v>0</v>
      </c>
      <c r="AA76" s="278">
        <f>P76</f>
        <v>0</v>
      </c>
      <c r="AB76" s="1" t="e">
        <f>VLOOKUP(T76,残工数!AQ:AU,2,FALSE)</f>
        <v>#N/A</v>
      </c>
      <c r="AC76" s="1" t="e">
        <f>VLOOKUP(T76,残工数!AQ:AU,3,FALSE)</f>
        <v>#N/A</v>
      </c>
      <c r="AD76" s="1" t="e">
        <f>VLOOKUP(T76,残工数!AQ:AU,4,FALSE)</f>
        <v>#N/A</v>
      </c>
      <c r="AE76" s="1" t="e">
        <f>VLOOKUP(T76,残工数!AQ:AU,5,FALSE)</f>
        <v>#N/A</v>
      </c>
      <c r="AG76" s="1" t="e">
        <f>VLOOKUP(T76,残工数!AQ:AV,6,FALSE)</f>
        <v>#N/A</v>
      </c>
      <c r="AH76" s="1" t="e">
        <f t="shared" si="2"/>
        <v>#N/A</v>
      </c>
      <c r="AI76" s="1" t="e">
        <f t="shared" si="3"/>
        <v>#N/A</v>
      </c>
      <c r="AJ76" s="1" t="e">
        <f t="shared" si="4"/>
        <v>#N/A</v>
      </c>
      <c r="AK76" s="1" t="e">
        <f t="shared" si="5"/>
        <v>#N/A</v>
      </c>
      <c r="AL76" s="1" t="e">
        <f t="shared" si="6"/>
        <v>#N/A</v>
      </c>
      <c r="AM76" s="1" t="e">
        <f t="shared" si="7"/>
        <v>#N/A</v>
      </c>
      <c r="AN76" s="1" t="e">
        <f t="shared" si="8"/>
        <v>#N/A</v>
      </c>
      <c r="AO76" s="1" t="e">
        <f t="shared" si="9"/>
        <v>#N/A</v>
      </c>
      <c r="AP76" s="1" t="e">
        <f t="shared" si="10"/>
        <v>#N/A</v>
      </c>
      <c r="AQ76" s="1" t="e">
        <f t="shared" si="11"/>
        <v>#N/A</v>
      </c>
      <c r="AR76" s="1" t="e">
        <f t="shared" si="12"/>
        <v>#N/A</v>
      </c>
      <c r="AT76" s="1">
        <v>0</v>
      </c>
      <c r="AU76" s="1">
        <f>NETWORKDAYS(K76,L76,1)</f>
        <v>0</v>
      </c>
      <c r="AY76" s="1">
        <v>0</v>
      </c>
      <c r="AZ76" s="1">
        <f>IF(X76="",J76,X76)</f>
        <v>0</v>
      </c>
    </row>
    <row r="77" spans="2:52">
      <c r="B77" s="2">
        <f t="shared" si="1"/>
        <v>73</v>
      </c>
      <c r="C77" s="14"/>
      <c r="D77" s="15"/>
      <c r="E77" s="17"/>
      <c r="F77" s="21"/>
      <c r="G77" s="18"/>
      <c r="H77" s="23"/>
      <c r="I77" s="24"/>
      <c r="J77" s="2"/>
      <c r="K77" s="11"/>
      <c r="L77" s="11"/>
      <c r="M77" s="11"/>
      <c r="N77" s="11"/>
      <c r="O77" s="4"/>
      <c r="P77" s="24"/>
      <c r="Q77" s="9"/>
      <c r="R77" s="9"/>
      <c r="S77" s="25"/>
      <c r="T77" s="27"/>
      <c r="U77" s="27"/>
      <c r="V77" s="27"/>
      <c r="W77" s="279"/>
      <c r="X77" s="27"/>
      <c r="Y77" s="277">
        <f>I77</f>
        <v>0</v>
      </c>
      <c r="Z77" s="277">
        <f>I77*O77</f>
        <v>0</v>
      </c>
      <c r="AA77" s="278">
        <f>P77</f>
        <v>0</v>
      </c>
      <c r="AB77" s="1" t="e">
        <f>VLOOKUP(T77,残工数!AQ:AU,2,FALSE)</f>
        <v>#N/A</v>
      </c>
      <c r="AC77" s="1" t="e">
        <f>VLOOKUP(T77,残工数!AQ:AU,3,FALSE)</f>
        <v>#N/A</v>
      </c>
      <c r="AD77" s="1" t="e">
        <f>VLOOKUP(T77,残工数!AQ:AU,4,FALSE)</f>
        <v>#N/A</v>
      </c>
      <c r="AE77" s="1" t="e">
        <f>VLOOKUP(T77,残工数!AQ:AU,5,FALSE)</f>
        <v>#N/A</v>
      </c>
      <c r="AG77" s="1" t="e">
        <f>VLOOKUP(T77,残工数!AQ:AV,6,FALSE)</f>
        <v>#N/A</v>
      </c>
      <c r="AH77" s="1" t="e">
        <f t="shared" si="2"/>
        <v>#N/A</v>
      </c>
      <c r="AI77" s="1" t="e">
        <f t="shared" si="3"/>
        <v>#N/A</v>
      </c>
      <c r="AJ77" s="1" t="e">
        <f t="shared" si="4"/>
        <v>#N/A</v>
      </c>
      <c r="AK77" s="1" t="e">
        <f t="shared" si="5"/>
        <v>#N/A</v>
      </c>
      <c r="AL77" s="1" t="e">
        <f t="shared" si="6"/>
        <v>#N/A</v>
      </c>
      <c r="AM77" s="1" t="e">
        <f t="shared" si="7"/>
        <v>#N/A</v>
      </c>
      <c r="AN77" s="1" t="e">
        <f t="shared" si="8"/>
        <v>#N/A</v>
      </c>
      <c r="AO77" s="1" t="e">
        <f t="shared" si="9"/>
        <v>#N/A</v>
      </c>
      <c r="AP77" s="1" t="e">
        <f t="shared" si="10"/>
        <v>#N/A</v>
      </c>
      <c r="AQ77" s="1" t="e">
        <f t="shared" si="11"/>
        <v>#N/A</v>
      </c>
      <c r="AR77" s="1" t="e">
        <f t="shared" si="12"/>
        <v>#N/A</v>
      </c>
      <c r="AT77" s="1">
        <v>0</v>
      </c>
      <c r="AU77" s="1">
        <f>NETWORKDAYS(K77,L77,1)</f>
        <v>0</v>
      </c>
      <c r="AY77" s="1">
        <v>0</v>
      </c>
      <c r="AZ77" s="1">
        <f>IF(X77="",J77,X77)</f>
        <v>0</v>
      </c>
    </row>
    <row r="78" spans="2:52">
      <c r="B78" s="2">
        <f t="shared" si="1"/>
        <v>74</v>
      </c>
      <c r="C78" s="14"/>
      <c r="D78" s="15"/>
      <c r="E78" s="17"/>
      <c r="F78" s="21"/>
      <c r="G78" s="18"/>
      <c r="H78" s="23"/>
      <c r="I78" s="24"/>
      <c r="J78" s="2"/>
      <c r="K78" s="11"/>
      <c r="L78" s="11"/>
      <c r="M78" s="11"/>
      <c r="N78" s="11"/>
      <c r="O78" s="4"/>
      <c r="P78" s="24"/>
      <c r="Q78" s="9"/>
      <c r="R78" s="9"/>
      <c r="S78" s="25"/>
      <c r="T78" s="27"/>
      <c r="U78" s="27"/>
      <c r="V78" s="27"/>
      <c r="W78" s="279"/>
      <c r="X78" s="27"/>
      <c r="Y78" s="277">
        <f>I78</f>
        <v>0</v>
      </c>
      <c r="Z78" s="277">
        <f>I78*O78</f>
        <v>0</v>
      </c>
      <c r="AA78" s="278">
        <f>P78</f>
        <v>0</v>
      </c>
      <c r="AB78" s="1" t="e">
        <f>VLOOKUP(T78,残工数!AQ:AU,2,FALSE)</f>
        <v>#N/A</v>
      </c>
      <c r="AC78" s="1" t="e">
        <f>VLOOKUP(T78,残工数!AQ:AU,3,FALSE)</f>
        <v>#N/A</v>
      </c>
      <c r="AD78" s="1" t="e">
        <f>VLOOKUP(T78,残工数!AQ:AU,4,FALSE)</f>
        <v>#N/A</v>
      </c>
      <c r="AE78" s="1" t="e">
        <f>VLOOKUP(T78,残工数!AQ:AU,5,FALSE)</f>
        <v>#N/A</v>
      </c>
      <c r="AG78" s="1" t="e">
        <f>VLOOKUP(T78,残工数!AQ:AV,6,FALSE)</f>
        <v>#N/A</v>
      </c>
      <c r="AH78" s="1" t="e">
        <f t="shared" si="2"/>
        <v>#N/A</v>
      </c>
      <c r="AI78" s="1" t="e">
        <f t="shared" si="3"/>
        <v>#N/A</v>
      </c>
      <c r="AJ78" s="1" t="e">
        <f t="shared" si="4"/>
        <v>#N/A</v>
      </c>
      <c r="AK78" s="1" t="e">
        <f t="shared" si="5"/>
        <v>#N/A</v>
      </c>
      <c r="AL78" s="1" t="e">
        <f t="shared" si="6"/>
        <v>#N/A</v>
      </c>
      <c r="AM78" s="1" t="e">
        <f t="shared" si="7"/>
        <v>#N/A</v>
      </c>
      <c r="AN78" s="1" t="e">
        <f t="shared" si="8"/>
        <v>#N/A</v>
      </c>
      <c r="AO78" s="1" t="e">
        <f t="shared" si="9"/>
        <v>#N/A</v>
      </c>
      <c r="AP78" s="1" t="e">
        <f t="shared" si="10"/>
        <v>#N/A</v>
      </c>
      <c r="AQ78" s="1" t="e">
        <f t="shared" si="11"/>
        <v>#N/A</v>
      </c>
      <c r="AR78" s="1" t="e">
        <f t="shared" si="12"/>
        <v>#N/A</v>
      </c>
      <c r="AT78" s="1">
        <v>0</v>
      </c>
      <c r="AU78" s="1">
        <f>NETWORKDAYS(K78,L78,1)</f>
        <v>0</v>
      </c>
      <c r="AY78" s="1">
        <v>4.5</v>
      </c>
      <c r="AZ78" s="1">
        <f>IF(X78="",J78,X78)</f>
        <v>0</v>
      </c>
    </row>
    <row r="79" spans="2:52">
      <c r="B79" s="2">
        <f t="shared" si="1"/>
        <v>75</v>
      </c>
      <c r="C79" s="14"/>
      <c r="D79" s="15"/>
      <c r="E79" s="17"/>
      <c r="F79" s="21"/>
      <c r="G79" s="18"/>
      <c r="H79" s="23"/>
      <c r="I79" s="24"/>
      <c r="J79" s="2"/>
      <c r="K79" s="11"/>
      <c r="L79" s="11"/>
      <c r="M79" s="11"/>
      <c r="N79" s="11"/>
      <c r="O79" s="4"/>
      <c r="P79" s="24"/>
      <c r="Q79" s="9"/>
      <c r="R79" s="9"/>
      <c r="S79" s="25"/>
      <c r="T79" s="27"/>
      <c r="U79" s="27"/>
      <c r="V79" s="27"/>
      <c r="W79" s="279"/>
      <c r="X79" s="27"/>
      <c r="Y79" s="277">
        <f>I79</f>
        <v>0</v>
      </c>
      <c r="Z79" s="277">
        <f>I79*O79</f>
        <v>0</v>
      </c>
      <c r="AA79" s="278">
        <f>P79</f>
        <v>0</v>
      </c>
      <c r="AB79" s="1" t="e">
        <f>VLOOKUP(T79,残工数!AQ:AU,2,FALSE)</f>
        <v>#N/A</v>
      </c>
      <c r="AC79" s="1" t="e">
        <f>VLOOKUP(T79,残工数!AQ:AU,3,FALSE)</f>
        <v>#N/A</v>
      </c>
      <c r="AD79" s="1" t="e">
        <f>VLOOKUP(T79,残工数!AQ:AU,4,FALSE)</f>
        <v>#N/A</v>
      </c>
      <c r="AE79" s="1" t="e">
        <f>VLOOKUP(T79,残工数!AQ:AU,5,FALSE)</f>
        <v>#N/A</v>
      </c>
      <c r="AG79" s="1" t="e">
        <f>VLOOKUP(T79,残工数!AQ:AV,6,FALSE)</f>
        <v>#N/A</v>
      </c>
      <c r="AH79" s="1" t="e">
        <f t="shared" si="2"/>
        <v>#N/A</v>
      </c>
      <c r="AI79" s="1" t="e">
        <f t="shared" si="3"/>
        <v>#N/A</v>
      </c>
      <c r="AJ79" s="1" t="e">
        <f t="shared" si="4"/>
        <v>#N/A</v>
      </c>
      <c r="AK79" s="1" t="e">
        <f t="shared" si="5"/>
        <v>#N/A</v>
      </c>
      <c r="AL79" s="1" t="e">
        <f t="shared" si="6"/>
        <v>#N/A</v>
      </c>
      <c r="AM79" s="1" t="e">
        <f t="shared" si="7"/>
        <v>#N/A</v>
      </c>
      <c r="AN79" s="1" t="e">
        <f t="shared" si="8"/>
        <v>#N/A</v>
      </c>
      <c r="AO79" s="1" t="e">
        <f t="shared" si="9"/>
        <v>#N/A</v>
      </c>
      <c r="AP79" s="1" t="e">
        <f t="shared" si="10"/>
        <v>#N/A</v>
      </c>
      <c r="AQ79" s="1" t="e">
        <f t="shared" si="11"/>
        <v>#N/A</v>
      </c>
      <c r="AR79" s="1" t="e">
        <f t="shared" si="12"/>
        <v>#N/A</v>
      </c>
      <c r="AT79" s="1">
        <v>2.4</v>
      </c>
      <c r="AU79" s="1">
        <f>NETWORKDAYS(K79,L79,1)</f>
        <v>0</v>
      </c>
      <c r="AY79" s="1">
        <v>0.75</v>
      </c>
      <c r="AZ79" s="1">
        <f>IF(X79="",J79,X79)</f>
        <v>0</v>
      </c>
    </row>
    <row r="80" spans="2:52">
      <c r="B80" s="2">
        <f t="shared" si="1"/>
        <v>76</v>
      </c>
      <c r="C80" s="14"/>
      <c r="D80" s="15"/>
      <c r="E80" s="17"/>
      <c r="F80" s="21"/>
      <c r="G80" s="18"/>
      <c r="H80" s="23"/>
      <c r="I80" s="24"/>
      <c r="J80" s="2"/>
      <c r="K80" s="11"/>
      <c r="L80" s="11"/>
      <c r="M80" s="11"/>
      <c r="N80" s="11"/>
      <c r="O80" s="4"/>
      <c r="P80" s="24"/>
      <c r="Q80" s="9"/>
      <c r="R80" s="9"/>
      <c r="S80" s="25"/>
      <c r="T80" s="27"/>
      <c r="U80" s="27"/>
      <c r="V80" s="27"/>
      <c r="W80" s="279"/>
      <c r="X80" s="27"/>
      <c r="Y80" s="277">
        <f>I80</f>
        <v>0</v>
      </c>
      <c r="Z80" s="277">
        <f>I80*O80</f>
        <v>0</v>
      </c>
      <c r="AA80" s="278">
        <f>P80</f>
        <v>0</v>
      </c>
      <c r="AB80" s="1" t="e">
        <f>VLOOKUP(T80,残工数!AQ:AU,2,FALSE)</f>
        <v>#N/A</v>
      </c>
      <c r="AC80" s="1" t="e">
        <f>VLOOKUP(T80,残工数!AQ:AU,3,FALSE)</f>
        <v>#N/A</v>
      </c>
      <c r="AD80" s="1" t="e">
        <f>VLOOKUP(T80,残工数!AQ:AU,4,FALSE)</f>
        <v>#N/A</v>
      </c>
      <c r="AE80" s="1" t="e">
        <f>VLOOKUP(T80,残工数!AQ:AU,5,FALSE)</f>
        <v>#N/A</v>
      </c>
      <c r="AG80" s="1" t="e">
        <f>VLOOKUP(T80,残工数!AQ:AV,6,FALSE)</f>
        <v>#N/A</v>
      </c>
      <c r="AH80" s="1" t="e">
        <f t="shared" si="2"/>
        <v>#N/A</v>
      </c>
      <c r="AI80" s="1" t="e">
        <f t="shared" si="3"/>
        <v>#N/A</v>
      </c>
      <c r="AJ80" s="1" t="e">
        <f t="shared" si="4"/>
        <v>#N/A</v>
      </c>
      <c r="AK80" s="1" t="e">
        <f t="shared" si="5"/>
        <v>#N/A</v>
      </c>
      <c r="AL80" s="1" t="e">
        <f t="shared" si="6"/>
        <v>#N/A</v>
      </c>
      <c r="AM80" s="1" t="e">
        <f t="shared" si="7"/>
        <v>#N/A</v>
      </c>
      <c r="AN80" s="1" t="e">
        <f t="shared" si="8"/>
        <v>#N/A</v>
      </c>
      <c r="AO80" s="1" t="e">
        <f t="shared" si="9"/>
        <v>#N/A</v>
      </c>
      <c r="AP80" s="1" t="e">
        <f t="shared" si="10"/>
        <v>#N/A</v>
      </c>
      <c r="AQ80" s="1" t="e">
        <f t="shared" si="11"/>
        <v>#N/A</v>
      </c>
      <c r="AR80" s="1" t="e">
        <f t="shared" si="12"/>
        <v>#N/A</v>
      </c>
      <c r="AU80" s="1">
        <f>NETWORKDAYS(K80,L80,1)</f>
        <v>0</v>
      </c>
      <c r="AY80" s="1">
        <v>10.5</v>
      </c>
      <c r="AZ80" s="1">
        <f>IF(X80="",J80,X80)</f>
        <v>0</v>
      </c>
    </row>
    <row r="81" spans="2:52">
      <c r="B81" s="2">
        <f t="shared" si="1"/>
        <v>77</v>
      </c>
      <c r="C81" s="14"/>
      <c r="D81" s="15"/>
      <c r="E81" s="17"/>
      <c r="F81" s="21"/>
      <c r="G81" s="18"/>
      <c r="H81" s="23"/>
      <c r="I81" s="24"/>
      <c r="J81" s="2"/>
      <c r="K81" s="11"/>
      <c r="L81" s="11"/>
      <c r="M81" s="11"/>
      <c r="N81" s="11"/>
      <c r="O81" s="4"/>
      <c r="P81" s="24"/>
      <c r="Q81" s="9"/>
      <c r="R81" s="9"/>
      <c r="S81" s="25"/>
      <c r="T81" s="27"/>
      <c r="U81" s="27"/>
      <c r="V81" s="27"/>
      <c r="W81" s="279"/>
      <c r="X81" s="27"/>
      <c r="Y81" s="277">
        <f>I81</f>
        <v>0</v>
      </c>
      <c r="Z81" s="277">
        <f>I81*O81</f>
        <v>0</v>
      </c>
      <c r="AA81" s="278">
        <f>P81</f>
        <v>0</v>
      </c>
      <c r="AB81" s="1" t="e">
        <f>VLOOKUP(T81,残工数!AQ:AU,2,FALSE)</f>
        <v>#N/A</v>
      </c>
      <c r="AC81" s="1" t="e">
        <f>VLOOKUP(T81,残工数!AQ:AU,3,FALSE)</f>
        <v>#N/A</v>
      </c>
      <c r="AD81" s="1" t="e">
        <f>VLOOKUP(T81,残工数!AQ:AU,4,FALSE)</f>
        <v>#N/A</v>
      </c>
      <c r="AE81" s="1" t="e">
        <f>VLOOKUP(T81,残工数!AQ:AU,5,FALSE)</f>
        <v>#N/A</v>
      </c>
      <c r="AG81" s="1" t="e">
        <f>VLOOKUP(T81,残工数!AQ:AV,6,FALSE)</f>
        <v>#N/A</v>
      </c>
      <c r="AH81" s="1" t="e">
        <f t="shared" si="2"/>
        <v>#N/A</v>
      </c>
      <c r="AI81" s="1" t="e">
        <f t="shared" si="3"/>
        <v>#N/A</v>
      </c>
      <c r="AJ81" s="1" t="e">
        <f t="shared" si="4"/>
        <v>#N/A</v>
      </c>
      <c r="AK81" s="1" t="e">
        <f t="shared" si="5"/>
        <v>#N/A</v>
      </c>
      <c r="AL81" s="1" t="e">
        <f t="shared" si="6"/>
        <v>#N/A</v>
      </c>
      <c r="AM81" s="1" t="e">
        <f t="shared" si="7"/>
        <v>#N/A</v>
      </c>
      <c r="AN81" s="1" t="e">
        <f t="shared" si="8"/>
        <v>#N/A</v>
      </c>
      <c r="AO81" s="1" t="e">
        <f t="shared" si="9"/>
        <v>#N/A</v>
      </c>
      <c r="AP81" s="1" t="e">
        <f t="shared" si="10"/>
        <v>#N/A</v>
      </c>
      <c r="AQ81" s="1" t="e">
        <f t="shared" si="11"/>
        <v>#N/A</v>
      </c>
      <c r="AR81" s="1" t="e">
        <f t="shared" si="12"/>
        <v>#N/A</v>
      </c>
      <c r="AU81" s="1">
        <f>NETWORKDAYS(K81,L81,1)</f>
        <v>0</v>
      </c>
      <c r="AY81" s="1">
        <v>0.5</v>
      </c>
      <c r="AZ81" s="1">
        <f>IF(X81="",J81,X81)</f>
        <v>0</v>
      </c>
    </row>
    <row r="82" spans="2:52">
      <c r="B82" s="2">
        <f t="shared" si="1"/>
        <v>78</v>
      </c>
      <c r="C82" s="14"/>
      <c r="D82" s="15"/>
      <c r="E82" s="17"/>
      <c r="F82" s="21"/>
      <c r="G82" s="18"/>
      <c r="H82" s="23"/>
      <c r="I82" s="24"/>
      <c r="J82" s="2"/>
      <c r="K82" s="11"/>
      <c r="L82" s="11"/>
      <c r="M82" s="11"/>
      <c r="N82" s="11"/>
      <c r="O82" s="4"/>
      <c r="P82" s="24"/>
      <c r="Q82" s="9"/>
      <c r="R82" s="9"/>
      <c r="S82" s="25"/>
      <c r="T82" s="27"/>
      <c r="U82" s="27"/>
      <c r="V82" s="27"/>
      <c r="W82" s="279"/>
      <c r="X82" s="27"/>
      <c r="Y82" s="277">
        <f>I82</f>
        <v>0</v>
      </c>
      <c r="Z82" s="277">
        <f>I82*O82</f>
        <v>0</v>
      </c>
      <c r="AA82" s="278">
        <f>P82</f>
        <v>0</v>
      </c>
      <c r="AB82" s="1" t="e">
        <f>VLOOKUP(T82,残工数!AQ:AU,2,FALSE)</f>
        <v>#N/A</v>
      </c>
      <c r="AC82" s="1" t="e">
        <f>VLOOKUP(T82,残工数!AQ:AU,3,FALSE)</f>
        <v>#N/A</v>
      </c>
      <c r="AD82" s="1" t="e">
        <f>VLOOKUP(T82,残工数!AQ:AU,4,FALSE)</f>
        <v>#N/A</v>
      </c>
      <c r="AE82" s="1" t="e">
        <f>VLOOKUP(T82,残工数!AQ:AU,5,FALSE)</f>
        <v>#N/A</v>
      </c>
      <c r="AG82" s="1" t="e">
        <f>VLOOKUP(T82,残工数!AQ:AV,6,FALSE)</f>
        <v>#N/A</v>
      </c>
      <c r="AH82" s="1" t="e">
        <f t="shared" si="2"/>
        <v>#N/A</v>
      </c>
      <c r="AI82" s="1" t="e">
        <f t="shared" si="3"/>
        <v>#N/A</v>
      </c>
      <c r="AJ82" s="1" t="e">
        <f t="shared" si="4"/>
        <v>#N/A</v>
      </c>
      <c r="AK82" s="1" t="e">
        <f t="shared" si="5"/>
        <v>#N/A</v>
      </c>
      <c r="AL82" s="1" t="e">
        <f t="shared" si="6"/>
        <v>#N/A</v>
      </c>
      <c r="AM82" s="1" t="e">
        <f t="shared" si="7"/>
        <v>#N/A</v>
      </c>
      <c r="AN82" s="1" t="e">
        <f t="shared" si="8"/>
        <v>#N/A</v>
      </c>
      <c r="AO82" s="1" t="e">
        <f t="shared" si="9"/>
        <v>#N/A</v>
      </c>
      <c r="AP82" s="1" t="e">
        <f t="shared" si="10"/>
        <v>#N/A</v>
      </c>
      <c r="AQ82" s="1" t="e">
        <f t="shared" si="11"/>
        <v>#N/A</v>
      </c>
      <c r="AR82" s="1" t="e">
        <f t="shared" si="12"/>
        <v>#N/A</v>
      </c>
      <c r="AT82" s="1">
        <v>0.8</v>
      </c>
      <c r="AU82" s="1">
        <f>NETWORKDAYS(K82,L82,1)</f>
        <v>0</v>
      </c>
      <c r="AY82" s="1">
        <v>2</v>
      </c>
      <c r="AZ82" s="1">
        <f>IF(X82="",J82,X82)</f>
        <v>0</v>
      </c>
    </row>
    <row r="83" spans="2:52">
      <c r="B83" s="2">
        <f t="shared" si="1"/>
        <v>79</v>
      </c>
      <c r="C83" s="14"/>
      <c r="D83" s="15"/>
      <c r="E83" s="17"/>
      <c r="F83" s="20"/>
      <c r="G83" s="18"/>
      <c r="H83" s="23"/>
      <c r="I83" s="24"/>
      <c r="J83" s="2"/>
      <c r="K83" s="11"/>
      <c r="L83" s="11"/>
      <c r="M83" s="11"/>
      <c r="N83" s="11"/>
      <c r="O83" s="4"/>
      <c r="P83" s="24"/>
      <c r="Q83" s="9"/>
      <c r="R83" s="9"/>
      <c r="S83" s="25"/>
      <c r="T83" s="27"/>
      <c r="U83" s="27"/>
      <c r="V83" s="27"/>
      <c r="W83" s="279"/>
      <c r="X83" s="27"/>
      <c r="Y83" s="277">
        <f>I83</f>
        <v>0</v>
      </c>
      <c r="Z83" s="277">
        <f>I83*O83</f>
        <v>0</v>
      </c>
      <c r="AA83" s="278">
        <f>P83</f>
        <v>0</v>
      </c>
      <c r="AB83" s="1" t="e">
        <f>VLOOKUP(T83,残工数!AQ:AU,2,FALSE)</f>
        <v>#N/A</v>
      </c>
      <c r="AC83" s="1" t="e">
        <f>VLOOKUP(T83,残工数!AQ:AU,3,FALSE)</f>
        <v>#N/A</v>
      </c>
      <c r="AD83" s="1" t="e">
        <f>VLOOKUP(T83,残工数!AQ:AU,4,FALSE)</f>
        <v>#N/A</v>
      </c>
      <c r="AE83" s="1" t="e">
        <f>VLOOKUP(T83,残工数!AQ:AU,5,FALSE)</f>
        <v>#N/A</v>
      </c>
      <c r="AG83" s="1" t="e">
        <f>VLOOKUP(T83,残工数!AQ:AV,6,FALSE)</f>
        <v>#N/A</v>
      </c>
      <c r="AH83" s="1" t="e">
        <f t="shared" si="2"/>
        <v>#N/A</v>
      </c>
      <c r="AI83" s="1" t="e">
        <f t="shared" si="3"/>
        <v>#N/A</v>
      </c>
      <c r="AJ83" s="1" t="e">
        <f t="shared" si="4"/>
        <v>#N/A</v>
      </c>
      <c r="AK83" s="1" t="e">
        <f t="shared" si="5"/>
        <v>#N/A</v>
      </c>
      <c r="AL83" s="1" t="e">
        <f t="shared" si="6"/>
        <v>#N/A</v>
      </c>
      <c r="AM83" s="1" t="e">
        <f t="shared" si="7"/>
        <v>#N/A</v>
      </c>
      <c r="AN83" s="1" t="e">
        <f t="shared" si="8"/>
        <v>#N/A</v>
      </c>
      <c r="AO83" s="1" t="e">
        <f t="shared" si="9"/>
        <v>#N/A</v>
      </c>
      <c r="AP83" s="1" t="e">
        <f t="shared" si="10"/>
        <v>#N/A</v>
      </c>
      <c r="AQ83" s="1" t="e">
        <f t="shared" si="11"/>
        <v>#N/A</v>
      </c>
      <c r="AR83" s="1" t="e">
        <f t="shared" si="12"/>
        <v>#N/A</v>
      </c>
      <c r="AT83" s="1">
        <v>0.8</v>
      </c>
      <c r="AU83" s="1">
        <f>NETWORKDAYS(K83,L83,1)</f>
        <v>0</v>
      </c>
      <c r="AZ83" s="1">
        <f>IF(X83="",J83,X83)</f>
        <v>0</v>
      </c>
    </row>
    <row r="84" spans="2:52">
      <c r="B84" s="2">
        <f t="shared" ref="B84:B94" si="24">ROW()-4</f>
        <v>80</v>
      </c>
      <c r="C84" s="14"/>
      <c r="D84" s="15"/>
      <c r="E84" s="17"/>
      <c r="F84" s="21"/>
      <c r="G84" s="18"/>
      <c r="H84" s="23"/>
      <c r="I84" s="24"/>
      <c r="J84" s="2"/>
      <c r="K84" s="11"/>
      <c r="L84" s="11"/>
      <c r="M84" s="11"/>
      <c r="N84" s="11"/>
      <c r="O84" s="4"/>
      <c r="P84" s="24"/>
      <c r="Q84" s="9"/>
      <c r="R84" s="9"/>
      <c r="S84" s="25"/>
      <c r="T84" s="27"/>
      <c r="U84" s="27"/>
      <c r="V84" s="27"/>
      <c r="W84" s="279"/>
      <c r="X84" s="27"/>
      <c r="Y84" s="277">
        <f>I84</f>
        <v>0</v>
      </c>
      <c r="Z84" s="277">
        <f>I84*O84</f>
        <v>0</v>
      </c>
      <c r="AA84" s="278">
        <f>P84</f>
        <v>0</v>
      </c>
      <c r="AB84" s="1" t="e">
        <f>VLOOKUP(T84,残工数!AQ:AU,2,FALSE)</f>
        <v>#N/A</v>
      </c>
      <c r="AC84" s="1" t="e">
        <f>VLOOKUP(T84,残工数!AQ:AU,3,FALSE)</f>
        <v>#N/A</v>
      </c>
      <c r="AD84" s="1" t="e">
        <f>VLOOKUP(T84,残工数!AQ:AU,4,FALSE)</f>
        <v>#N/A</v>
      </c>
      <c r="AE84" s="1" t="e">
        <f>VLOOKUP(T84,残工数!AQ:AU,5,FALSE)</f>
        <v>#N/A</v>
      </c>
      <c r="AG84" s="1" t="e">
        <f>VLOOKUP(T84,残工数!AQ:AV,6,FALSE)</f>
        <v>#N/A</v>
      </c>
      <c r="AH84" s="1" t="e">
        <f t="shared" si="2"/>
        <v>#N/A</v>
      </c>
      <c r="AI84" s="1" t="e">
        <f t="shared" si="3"/>
        <v>#N/A</v>
      </c>
      <c r="AJ84" s="1" t="e">
        <f t="shared" si="4"/>
        <v>#N/A</v>
      </c>
      <c r="AK84" s="1" t="e">
        <f t="shared" si="5"/>
        <v>#N/A</v>
      </c>
      <c r="AL84" s="1" t="e">
        <f t="shared" si="6"/>
        <v>#N/A</v>
      </c>
      <c r="AM84" s="1" t="e">
        <f t="shared" si="7"/>
        <v>#N/A</v>
      </c>
      <c r="AN84" s="1" t="e">
        <f t="shared" si="8"/>
        <v>#N/A</v>
      </c>
      <c r="AO84" s="1" t="e">
        <f t="shared" si="9"/>
        <v>#N/A</v>
      </c>
      <c r="AP84" s="1" t="e">
        <f t="shared" si="10"/>
        <v>#N/A</v>
      </c>
      <c r="AQ84" s="1" t="e">
        <f t="shared" si="11"/>
        <v>#N/A</v>
      </c>
      <c r="AR84" s="1" t="e">
        <f t="shared" si="12"/>
        <v>#N/A</v>
      </c>
      <c r="AT84" s="1">
        <v>1.6</v>
      </c>
      <c r="AU84" s="1">
        <f>NETWORKDAYS(K84,L84,1)</f>
        <v>0</v>
      </c>
      <c r="AY84" s="1">
        <v>0</v>
      </c>
      <c r="AZ84" s="1">
        <f>IF(X84="",J84,X84)</f>
        <v>0</v>
      </c>
    </row>
    <row r="85" spans="2:52">
      <c r="B85" s="2">
        <f t="shared" si="24"/>
        <v>81</v>
      </c>
      <c r="C85" s="14"/>
      <c r="D85" s="15"/>
      <c r="E85" s="17"/>
      <c r="F85" s="21"/>
      <c r="G85" s="18"/>
      <c r="H85" s="23"/>
      <c r="I85" s="24"/>
      <c r="J85" s="2"/>
      <c r="K85" s="11"/>
      <c r="L85" s="11"/>
      <c r="M85" s="11"/>
      <c r="N85" s="11"/>
      <c r="O85" s="4"/>
      <c r="P85" s="24"/>
      <c r="Q85" s="9"/>
      <c r="R85" s="9"/>
      <c r="S85" s="25"/>
      <c r="T85" s="27"/>
      <c r="U85" s="27"/>
      <c r="V85" s="27"/>
      <c r="W85" s="279"/>
      <c r="X85" s="27"/>
      <c r="Y85" s="277">
        <f>I85</f>
        <v>0</v>
      </c>
      <c r="Z85" s="277">
        <f>I85*O85</f>
        <v>0</v>
      </c>
      <c r="AA85" s="278">
        <f>P85</f>
        <v>0</v>
      </c>
      <c r="AB85" s="1" t="e">
        <f>VLOOKUP(T85,残工数!AQ:AU,2,FALSE)</f>
        <v>#N/A</v>
      </c>
      <c r="AC85" s="1" t="e">
        <f>VLOOKUP(T85,残工数!AQ:AU,3,FALSE)</f>
        <v>#N/A</v>
      </c>
      <c r="AD85" s="1" t="e">
        <f>VLOOKUP(T85,残工数!AQ:AU,4,FALSE)</f>
        <v>#N/A</v>
      </c>
      <c r="AE85" s="1" t="e">
        <f>VLOOKUP(T85,残工数!AQ:AU,5,FALSE)</f>
        <v>#N/A</v>
      </c>
      <c r="AG85" s="1" t="e">
        <f>VLOOKUP(T85,残工数!AQ:AV,6,FALSE)</f>
        <v>#N/A</v>
      </c>
      <c r="AH85" s="1" t="e">
        <f t="shared" si="2"/>
        <v>#N/A</v>
      </c>
      <c r="AI85" s="1" t="e">
        <f t="shared" si="3"/>
        <v>#N/A</v>
      </c>
      <c r="AJ85" s="1" t="e">
        <f t="shared" si="4"/>
        <v>#N/A</v>
      </c>
      <c r="AK85" s="1" t="e">
        <f t="shared" si="5"/>
        <v>#N/A</v>
      </c>
      <c r="AL85" s="1" t="e">
        <f t="shared" si="6"/>
        <v>#N/A</v>
      </c>
      <c r="AM85" s="1" t="e">
        <f t="shared" si="7"/>
        <v>#N/A</v>
      </c>
      <c r="AN85" s="1" t="e">
        <f t="shared" si="8"/>
        <v>#N/A</v>
      </c>
      <c r="AO85" s="1" t="e">
        <f t="shared" si="9"/>
        <v>#N/A</v>
      </c>
      <c r="AP85" s="1" t="e">
        <f t="shared" si="10"/>
        <v>#N/A</v>
      </c>
      <c r="AQ85" s="1" t="e">
        <f t="shared" si="11"/>
        <v>#N/A</v>
      </c>
      <c r="AR85" s="1" t="e">
        <f t="shared" si="12"/>
        <v>#N/A</v>
      </c>
      <c r="AT85" s="1">
        <v>0.8</v>
      </c>
      <c r="AU85" s="1">
        <f>NETWORKDAYS(K85,L85,1)</f>
        <v>0</v>
      </c>
      <c r="AY85" s="1">
        <v>0</v>
      </c>
      <c r="AZ85" s="1">
        <f>IF(X85="",J85,X85)</f>
        <v>0</v>
      </c>
    </row>
    <row r="86" spans="2:52">
      <c r="B86" s="2">
        <f t="shared" si="24"/>
        <v>82</v>
      </c>
      <c r="C86" s="14"/>
      <c r="D86" s="15"/>
      <c r="E86" s="17"/>
      <c r="F86" s="21"/>
      <c r="G86" s="18"/>
      <c r="H86" s="23"/>
      <c r="I86" s="24"/>
      <c r="J86" s="2"/>
      <c r="K86" s="11"/>
      <c r="L86" s="11"/>
      <c r="M86" s="11"/>
      <c r="N86" s="11"/>
      <c r="O86" s="4"/>
      <c r="P86" s="24"/>
      <c r="Q86" s="9"/>
      <c r="R86" s="9"/>
      <c r="S86" s="25"/>
      <c r="T86" s="27"/>
      <c r="U86" s="27"/>
      <c r="V86" s="27"/>
      <c r="W86" s="279"/>
      <c r="X86" s="27"/>
      <c r="Y86" s="277">
        <f>I86</f>
        <v>0</v>
      </c>
      <c r="Z86" s="277">
        <f>I86*O86</f>
        <v>0</v>
      </c>
      <c r="AA86" s="278">
        <f>P86</f>
        <v>0</v>
      </c>
      <c r="AB86" s="1" t="e">
        <f>VLOOKUP(T86,残工数!AQ:AU,2,FALSE)</f>
        <v>#N/A</v>
      </c>
      <c r="AC86" s="1" t="e">
        <f>VLOOKUP(T86,残工数!AQ:AU,3,FALSE)</f>
        <v>#N/A</v>
      </c>
      <c r="AD86" s="1" t="e">
        <f>VLOOKUP(T86,残工数!AQ:AU,4,FALSE)</f>
        <v>#N/A</v>
      </c>
      <c r="AE86" s="1" t="e">
        <f>VLOOKUP(T86,残工数!AQ:AU,5,FALSE)</f>
        <v>#N/A</v>
      </c>
      <c r="AG86" s="1" t="e">
        <f>VLOOKUP(T86,残工数!AQ:AV,6,FALSE)</f>
        <v>#N/A</v>
      </c>
      <c r="AH86" s="1" t="e">
        <f t="shared" si="2"/>
        <v>#N/A</v>
      </c>
      <c r="AI86" s="1" t="e">
        <f t="shared" si="3"/>
        <v>#N/A</v>
      </c>
      <c r="AJ86" s="1" t="e">
        <f t="shared" si="4"/>
        <v>#N/A</v>
      </c>
      <c r="AK86" s="1" t="e">
        <f t="shared" si="5"/>
        <v>#N/A</v>
      </c>
      <c r="AL86" s="1" t="e">
        <f t="shared" si="6"/>
        <v>#N/A</v>
      </c>
      <c r="AM86" s="1" t="e">
        <f t="shared" si="7"/>
        <v>#N/A</v>
      </c>
      <c r="AN86" s="1" t="e">
        <f t="shared" si="8"/>
        <v>#N/A</v>
      </c>
      <c r="AO86" s="1" t="e">
        <f t="shared" si="9"/>
        <v>#N/A</v>
      </c>
      <c r="AP86" s="1" t="e">
        <f t="shared" si="10"/>
        <v>#N/A</v>
      </c>
      <c r="AQ86" s="1" t="e">
        <f t="shared" si="11"/>
        <v>#N/A</v>
      </c>
      <c r="AR86" s="1" t="e">
        <f t="shared" si="12"/>
        <v>#N/A</v>
      </c>
      <c r="AT86" s="1">
        <v>1.6</v>
      </c>
      <c r="AU86" s="1">
        <f>NETWORKDAYS(K86,L86,1)</f>
        <v>0</v>
      </c>
      <c r="AY86" s="1">
        <v>0</v>
      </c>
      <c r="AZ86" s="1">
        <f>IF(X86="",J86,X86)</f>
        <v>0</v>
      </c>
    </row>
    <row r="87" spans="2:52">
      <c r="B87" s="2">
        <f t="shared" si="24"/>
        <v>83</v>
      </c>
      <c r="C87" s="14"/>
      <c r="D87" s="15"/>
      <c r="E87" s="17"/>
      <c r="F87" s="21"/>
      <c r="G87" s="18"/>
      <c r="H87" s="23"/>
      <c r="I87" s="24"/>
      <c r="J87" s="2"/>
      <c r="K87" s="11"/>
      <c r="L87" s="11"/>
      <c r="M87" s="11"/>
      <c r="N87" s="11"/>
      <c r="O87" s="4"/>
      <c r="P87" s="24"/>
      <c r="Q87" s="9"/>
      <c r="R87" s="9"/>
      <c r="S87" s="25"/>
      <c r="T87" s="27"/>
      <c r="U87" s="27"/>
      <c r="V87" s="27"/>
      <c r="W87" s="279"/>
      <c r="X87" s="27"/>
      <c r="Y87" s="277">
        <f>I87</f>
        <v>0</v>
      </c>
      <c r="Z87" s="277">
        <f>I87*O87</f>
        <v>0</v>
      </c>
      <c r="AA87" s="278">
        <f>P87</f>
        <v>0</v>
      </c>
      <c r="AB87" s="1" t="e">
        <f>VLOOKUP(T87,残工数!AQ:AU,2,FALSE)</f>
        <v>#N/A</v>
      </c>
      <c r="AC87" s="1" t="e">
        <f>VLOOKUP(T87,残工数!AQ:AU,3,FALSE)</f>
        <v>#N/A</v>
      </c>
      <c r="AD87" s="1" t="e">
        <f>VLOOKUP(T87,残工数!AQ:AU,4,FALSE)</f>
        <v>#N/A</v>
      </c>
      <c r="AE87" s="1" t="e">
        <f>VLOOKUP(T87,残工数!AQ:AU,5,FALSE)</f>
        <v>#N/A</v>
      </c>
      <c r="AG87" s="1" t="e">
        <f>VLOOKUP(T87,残工数!AQ:AV,6,FALSE)</f>
        <v>#N/A</v>
      </c>
      <c r="AH87" s="1" t="e">
        <f t="shared" si="2"/>
        <v>#N/A</v>
      </c>
      <c r="AI87" s="1" t="e">
        <f t="shared" si="3"/>
        <v>#N/A</v>
      </c>
      <c r="AJ87" s="1" t="e">
        <f t="shared" si="4"/>
        <v>#N/A</v>
      </c>
      <c r="AK87" s="1" t="e">
        <f t="shared" si="5"/>
        <v>#N/A</v>
      </c>
      <c r="AL87" s="1" t="e">
        <f t="shared" si="6"/>
        <v>#N/A</v>
      </c>
      <c r="AM87" s="1" t="e">
        <f t="shared" si="7"/>
        <v>#N/A</v>
      </c>
      <c r="AN87" s="1" t="e">
        <f t="shared" si="8"/>
        <v>#N/A</v>
      </c>
      <c r="AO87" s="1" t="e">
        <f t="shared" si="9"/>
        <v>#N/A</v>
      </c>
      <c r="AP87" s="1" t="e">
        <f t="shared" si="10"/>
        <v>#N/A</v>
      </c>
      <c r="AQ87" s="1" t="e">
        <f t="shared" si="11"/>
        <v>#N/A</v>
      </c>
      <c r="AR87" s="1" t="e">
        <f t="shared" si="12"/>
        <v>#N/A</v>
      </c>
      <c r="AT87" s="1">
        <v>0.8</v>
      </c>
      <c r="AU87" s="1">
        <f>NETWORKDAYS(K87,L87,1)</f>
        <v>0</v>
      </c>
      <c r="AY87" s="1">
        <v>0</v>
      </c>
      <c r="AZ87" s="1">
        <f>IF(X87="",J87,X87)</f>
        <v>0</v>
      </c>
    </row>
    <row r="88" spans="2:52">
      <c r="B88" s="2">
        <f t="shared" si="24"/>
        <v>84</v>
      </c>
      <c r="C88" s="14"/>
      <c r="D88" s="15"/>
      <c r="E88" s="17"/>
      <c r="F88" s="21"/>
      <c r="G88" s="18"/>
      <c r="H88" s="23"/>
      <c r="I88" s="24"/>
      <c r="J88" s="2"/>
      <c r="K88" s="11"/>
      <c r="L88" s="11"/>
      <c r="M88" s="11"/>
      <c r="N88" s="11"/>
      <c r="O88" s="4"/>
      <c r="P88" s="24"/>
      <c r="Q88" s="9"/>
      <c r="R88" s="9"/>
      <c r="S88" s="25"/>
      <c r="T88" s="27"/>
      <c r="U88" s="27"/>
      <c r="V88" s="27"/>
      <c r="W88" s="279"/>
      <c r="X88" s="27"/>
      <c r="Y88" s="277">
        <f>I88</f>
        <v>0</v>
      </c>
      <c r="Z88" s="277">
        <f>I88*O88</f>
        <v>0</v>
      </c>
      <c r="AA88" s="278">
        <f>P88</f>
        <v>0</v>
      </c>
      <c r="AB88" s="1" t="e">
        <f>VLOOKUP(T88,残工数!AQ:AU,2,FALSE)</f>
        <v>#N/A</v>
      </c>
      <c r="AC88" s="1" t="e">
        <f>VLOOKUP(T88,残工数!AQ:AU,3,FALSE)</f>
        <v>#N/A</v>
      </c>
      <c r="AD88" s="1" t="e">
        <f>VLOOKUP(T88,残工数!AQ:AU,4,FALSE)</f>
        <v>#N/A</v>
      </c>
      <c r="AE88" s="1" t="e">
        <f>VLOOKUP(T88,残工数!AQ:AU,5,FALSE)</f>
        <v>#N/A</v>
      </c>
      <c r="AG88" s="1" t="e">
        <f>VLOOKUP(T88,残工数!AQ:AV,6,FALSE)</f>
        <v>#N/A</v>
      </c>
      <c r="AH88" s="1" t="e">
        <f t="shared" ref="AH88" si="25">AE88*0.5</f>
        <v>#N/A</v>
      </c>
      <c r="AI88" s="1" t="e">
        <f t="shared" ref="AI88" si="26">AE88</f>
        <v>#N/A</v>
      </c>
      <c r="AJ88" s="1" t="e">
        <f t="shared" ref="AJ88" si="27">AG88</f>
        <v>#N/A</v>
      </c>
      <c r="AK88" s="1" t="e">
        <f t="shared" ref="AK88" si="28">ROUNDUP((AH88*0.8*8)*4,0)/4</f>
        <v>#N/A</v>
      </c>
      <c r="AL88" s="1" t="e">
        <f t="shared" ref="AL88" si="29">ROUNDUP((AH88*0.2*8)*4,0)/4</f>
        <v>#N/A</v>
      </c>
      <c r="AM88" s="1" t="e">
        <f t="shared" ref="AM88" si="30">ROUNDUP((AI88*0.8*8)*4,0)/4</f>
        <v>#N/A</v>
      </c>
      <c r="AN88" s="1" t="e">
        <f t="shared" ref="AN88" si="31">ROUNDUP((AI88*0.2*8)*4,0)/4</f>
        <v>#N/A</v>
      </c>
      <c r="AO88" s="1" t="e">
        <f t="shared" ref="AO88" si="32">ROUNDUP((AJ88*0.6*0.8*8)*4,0)/4</f>
        <v>#N/A</v>
      </c>
      <c r="AP88" s="1" t="e">
        <f t="shared" ref="AP88" si="33">ROUNDUP((AJ88*0.6*0.2*8)*4,0)/4</f>
        <v>#N/A</v>
      </c>
      <c r="AQ88" s="1" t="e">
        <f t="shared" ref="AQ88" si="34">ROUNDUP((AJ88*0.4*0.8*8)*4,0)/4</f>
        <v>#N/A</v>
      </c>
      <c r="AR88" s="1" t="e">
        <f t="shared" ref="AR88" si="35">ROUNDUP((AJ88*0.4*0.2*8)*4,0)/4</f>
        <v>#N/A</v>
      </c>
      <c r="AT88" s="1">
        <v>0.8</v>
      </c>
      <c r="AU88" s="1">
        <f>NETWORKDAYS(K88,L88,1)</f>
        <v>0</v>
      </c>
      <c r="AY88" s="1">
        <v>0</v>
      </c>
      <c r="AZ88" s="1">
        <f>IF(X88="",J88,X88)</f>
        <v>0</v>
      </c>
    </row>
    <row r="89" spans="2:52">
      <c r="B89" s="2">
        <f t="shared" si="24"/>
        <v>85</v>
      </c>
      <c r="C89" s="14"/>
      <c r="D89" s="15"/>
      <c r="E89" s="17"/>
      <c r="F89" s="21"/>
      <c r="G89" s="18"/>
      <c r="H89" s="23"/>
      <c r="I89" s="24"/>
      <c r="J89" s="2"/>
      <c r="K89" s="11"/>
      <c r="L89" s="11"/>
      <c r="M89" s="11"/>
      <c r="N89" s="11"/>
      <c r="O89" s="4"/>
      <c r="P89" s="24"/>
      <c r="Q89" s="9"/>
      <c r="R89" s="9"/>
      <c r="S89" s="25"/>
      <c r="T89" s="27"/>
      <c r="U89" s="27"/>
      <c r="V89" s="27"/>
      <c r="W89" s="279"/>
      <c r="X89" s="27"/>
      <c r="Y89" s="277">
        <f>I89</f>
        <v>0</v>
      </c>
      <c r="Z89" s="277">
        <f>I89*O89</f>
        <v>0</v>
      </c>
      <c r="AA89" s="278">
        <f>P89</f>
        <v>0</v>
      </c>
      <c r="AB89" s="1" t="e">
        <f>VLOOKUP(T89,残工数!AQ:AU,2,FALSE)</f>
        <v>#N/A</v>
      </c>
      <c r="AC89" s="1" t="e">
        <f>VLOOKUP(T89,残工数!AQ:AU,3,FALSE)</f>
        <v>#N/A</v>
      </c>
      <c r="AD89" s="1" t="e">
        <f>VLOOKUP(T89,残工数!AQ:AU,4,FALSE)</f>
        <v>#N/A</v>
      </c>
      <c r="AE89" s="1" t="e">
        <f>VLOOKUP(T89,残工数!AQ:AU,5,FALSE)</f>
        <v>#N/A</v>
      </c>
      <c r="AG89" s="1" t="e">
        <f>VLOOKUP(T89,残工数!AQ:AV,6,FALSE)</f>
        <v>#N/A</v>
      </c>
      <c r="AH89" s="1" t="e">
        <f t="shared" si="2"/>
        <v>#N/A</v>
      </c>
      <c r="AI89" s="1" t="e">
        <f t="shared" si="3"/>
        <v>#N/A</v>
      </c>
      <c r="AJ89" s="1" t="e">
        <f t="shared" si="4"/>
        <v>#N/A</v>
      </c>
      <c r="AK89" s="1" t="e">
        <f t="shared" si="5"/>
        <v>#N/A</v>
      </c>
      <c r="AL89" s="1" t="e">
        <f t="shared" si="6"/>
        <v>#N/A</v>
      </c>
      <c r="AM89" s="1" t="e">
        <f t="shared" si="7"/>
        <v>#N/A</v>
      </c>
      <c r="AN89" s="1" t="e">
        <f t="shared" si="8"/>
        <v>#N/A</v>
      </c>
      <c r="AO89" s="1" t="e">
        <f t="shared" si="9"/>
        <v>#N/A</v>
      </c>
      <c r="AP89" s="1" t="e">
        <f t="shared" si="10"/>
        <v>#N/A</v>
      </c>
      <c r="AQ89" s="1" t="e">
        <f t="shared" si="11"/>
        <v>#N/A</v>
      </c>
      <c r="AR89" s="1" t="e">
        <f t="shared" si="12"/>
        <v>#N/A</v>
      </c>
      <c r="AT89" s="1">
        <v>1.6</v>
      </c>
      <c r="AU89" s="1">
        <f>NETWORKDAYS(K89,L89,1)</f>
        <v>0</v>
      </c>
      <c r="AY89" s="1">
        <v>0</v>
      </c>
      <c r="AZ89" s="1">
        <f>IF(X89="",J89,X89)</f>
        <v>0</v>
      </c>
    </row>
    <row r="90" spans="2:52">
      <c r="B90" s="2">
        <f t="shared" si="24"/>
        <v>86</v>
      </c>
      <c r="C90" s="14"/>
      <c r="D90" s="15"/>
      <c r="E90" s="17"/>
      <c r="F90" s="21"/>
      <c r="G90" s="18"/>
      <c r="H90" s="23"/>
      <c r="I90" s="24"/>
      <c r="J90" s="2"/>
      <c r="K90" s="11"/>
      <c r="L90" s="11"/>
      <c r="M90" s="11"/>
      <c r="N90" s="11"/>
      <c r="O90" s="4"/>
      <c r="P90" s="24"/>
      <c r="Q90" s="9"/>
      <c r="R90" s="9"/>
      <c r="S90" s="25"/>
      <c r="T90" s="27"/>
      <c r="U90" s="27"/>
      <c r="V90" s="27"/>
      <c r="W90" s="279"/>
      <c r="X90" s="27"/>
      <c r="Y90" s="277">
        <f>I90</f>
        <v>0</v>
      </c>
      <c r="Z90" s="277">
        <f>I90*O90</f>
        <v>0</v>
      </c>
      <c r="AA90" s="278">
        <f>P90</f>
        <v>0</v>
      </c>
      <c r="AB90" s="1" t="e">
        <f>VLOOKUP(T90,残工数!AQ:AU,2,FALSE)</f>
        <v>#N/A</v>
      </c>
      <c r="AC90" s="1" t="e">
        <f>VLOOKUP(T90,残工数!AQ:AU,3,FALSE)</f>
        <v>#N/A</v>
      </c>
      <c r="AD90" s="1" t="e">
        <f>VLOOKUP(T90,残工数!AQ:AU,4,FALSE)</f>
        <v>#N/A</v>
      </c>
      <c r="AE90" s="1" t="e">
        <f>VLOOKUP(T90,残工数!AQ:AU,5,FALSE)</f>
        <v>#N/A</v>
      </c>
      <c r="AG90" s="1" t="e">
        <f>VLOOKUP(T90,残工数!AQ:AV,6,FALSE)</f>
        <v>#N/A</v>
      </c>
      <c r="AH90" s="1" t="e">
        <f t="shared" si="2"/>
        <v>#N/A</v>
      </c>
      <c r="AI90" s="1" t="e">
        <f t="shared" si="3"/>
        <v>#N/A</v>
      </c>
      <c r="AJ90" s="1" t="e">
        <f t="shared" si="4"/>
        <v>#N/A</v>
      </c>
      <c r="AK90" s="1" t="e">
        <f t="shared" si="5"/>
        <v>#N/A</v>
      </c>
      <c r="AL90" s="1" t="e">
        <f t="shared" si="6"/>
        <v>#N/A</v>
      </c>
      <c r="AM90" s="1" t="e">
        <f t="shared" si="7"/>
        <v>#N/A</v>
      </c>
      <c r="AN90" s="1" t="e">
        <f t="shared" si="8"/>
        <v>#N/A</v>
      </c>
      <c r="AO90" s="1" t="e">
        <f t="shared" si="9"/>
        <v>#N/A</v>
      </c>
      <c r="AP90" s="1" t="e">
        <f t="shared" si="10"/>
        <v>#N/A</v>
      </c>
      <c r="AQ90" s="1" t="e">
        <f t="shared" si="11"/>
        <v>#N/A</v>
      </c>
      <c r="AR90" s="1" t="e">
        <f t="shared" si="12"/>
        <v>#N/A</v>
      </c>
      <c r="AT90" s="1">
        <v>0.8</v>
      </c>
      <c r="AU90" s="1">
        <f>NETWORKDAYS(K90,L90,1)</f>
        <v>0</v>
      </c>
      <c r="AY90" s="1">
        <v>0</v>
      </c>
      <c r="AZ90" s="1">
        <f>IF(X90="",J90,X90)</f>
        <v>0</v>
      </c>
    </row>
    <row r="91" spans="2:52">
      <c r="B91" s="2">
        <f t="shared" si="24"/>
        <v>87</v>
      </c>
      <c r="C91" s="14"/>
      <c r="D91" s="15"/>
      <c r="E91" s="17"/>
      <c r="F91" s="21"/>
      <c r="G91" s="18"/>
      <c r="H91" s="23"/>
      <c r="I91" s="24"/>
      <c r="J91" s="2"/>
      <c r="K91" s="11"/>
      <c r="L91" s="11"/>
      <c r="M91" s="11"/>
      <c r="N91" s="11"/>
      <c r="O91" s="4"/>
      <c r="P91" s="24"/>
      <c r="Q91" s="9"/>
      <c r="R91" s="9"/>
      <c r="S91" s="25"/>
      <c r="T91" s="27"/>
      <c r="U91" s="27"/>
      <c r="V91" s="27"/>
      <c r="W91" s="279"/>
      <c r="X91" s="27"/>
      <c r="Y91" s="277">
        <f>I91</f>
        <v>0</v>
      </c>
      <c r="Z91" s="277">
        <f>I91*O91</f>
        <v>0</v>
      </c>
      <c r="AA91" s="278">
        <f>P91</f>
        <v>0</v>
      </c>
      <c r="AB91" s="1" t="e">
        <f>VLOOKUP(T91,残工数!AQ:AU,2,FALSE)</f>
        <v>#N/A</v>
      </c>
      <c r="AC91" s="1" t="e">
        <f>VLOOKUP(T91,残工数!AQ:AU,3,FALSE)</f>
        <v>#N/A</v>
      </c>
      <c r="AD91" s="1" t="e">
        <f>VLOOKUP(T91,残工数!AQ:AU,4,FALSE)</f>
        <v>#N/A</v>
      </c>
      <c r="AE91" s="1" t="e">
        <f>VLOOKUP(T91,残工数!AQ:AU,5,FALSE)</f>
        <v>#N/A</v>
      </c>
      <c r="AG91" s="1" t="e">
        <f>VLOOKUP(T91,残工数!AQ:AV,6,FALSE)</f>
        <v>#N/A</v>
      </c>
      <c r="AH91" s="1" t="e">
        <f t="shared" si="2"/>
        <v>#N/A</v>
      </c>
      <c r="AI91" s="1" t="e">
        <f t="shared" si="3"/>
        <v>#N/A</v>
      </c>
      <c r="AJ91" s="1" t="e">
        <f t="shared" si="4"/>
        <v>#N/A</v>
      </c>
      <c r="AK91" s="1" t="e">
        <f t="shared" si="5"/>
        <v>#N/A</v>
      </c>
      <c r="AL91" s="1" t="e">
        <f t="shared" si="6"/>
        <v>#N/A</v>
      </c>
      <c r="AM91" s="1" t="e">
        <f t="shared" si="7"/>
        <v>#N/A</v>
      </c>
      <c r="AN91" s="1" t="e">
        <f t="shared" si="8"/>
        <v>#N/A</v>
      </c>
      <c r="AO91" s="1" t="e">
        <f t="shared" si="9"/>
        <v>#N/A</v>
      </c>
      <c r="AP91" s="1" t="e">
        <f t="shared" si="10"/>
        <v>#N/A</v>
      </c>
      <c r="AQ91" s="1" t="e">
        <f t="shared" si="11"/>
        <v>#N/A</v>
      </c>
      <c r="AR91" s="1" t="e">
        <f t="shared" si="12"/>
        <v>#N/A</v>
      </c>
      <c r="AT91" s="1">
        <v>0.8</v>
      </c>
      <c r="AU91" s="1">
        <f>NETWORKDAYS(K91,L91,1)</f>
        <v>0</v>
      </c>
      <c r="AY91" s="1">
        <v>0</v>
      </c>
      <c r="AZ91" s="1">
        <f>IF(X91="",J91,X91)</f>
        <v>0</v>
      </c>
    </row>
    <row r="92" spans="2:52">
      <c r="B92" s="2">
        <f t="shared" si="24"/>
        <v>88</v>
      </c>
      <c r="C92" s="14"/>
      <c r="D92" s="15"/>
      <c r="E92" s="17"/>
      <c r="F92" s="21"/>
      <c r="G92" s="18"/>
      <c r="H92" s="23"/>
      <c r="I92" s="24"/>
      <c r="J92" s="2"/>
      <c r="K92" s="11"/>
      <c r="L92" s="11"/>
      <c r="M92" s="11"/>
      <c r="N92" s="11"/>
      <c r="O92" s="4"/>
      <c r="P92" s="24"/>
      <c r="Q92" s="9"/>
      <c r="R92" s="9"/>
      <c r="S92" s="25"/>
      <c r="T92" s="27"/>
      <c r="U92" s="27"/>
      <c r="V92" s="27"/>
      <c r="W92" s="279"/>
      <c r="X92" s="27"/>
      <c r="Y92" s="277">
        <f>I92</f>
        <v>0</v>
      </c>
      <c r="Z92" s="277">
        <f>I92*O92</f>
        <v>0</v>
      </c>
      <c r="AA92" s="278">
        <f>P92</f>
        <v>0</v>
      </c>
      <c r="AB92" s="1" t="e">
        <f>VLOOKUP(T92,残工数!AQ:AU,2,FALSE)</f>
        <v>#N/A</v>
      </c>
      <c r="AC92" s="1" t="e">
        <f>VLOOKUP(T92,残工数!AQ:AU,3,FALSE)</f>
        <v>#N/A</v>
      </c>
      <c r="AD92" s="1" t="e">
        <f>VLOOKUP(T92,残工数!AQ:AU,4,FALSE)</f>
        <v>#N/A</v>
      </c>
      <c r="AE92" s="1" t="e">
        <f>VLOOKUP(T92,残工数!AQ:AU,5,FALSE)</f>
        <v>#N/A</v>
      </c>
      <c r="AG92" s="1" t="e">
        <f>VLOOKUP(T92,残工数!AQ:AV,6,FALSE)</f>
        <v>#N/A</v>
      </c>
      <c r="AH92" s="1" t="e">
        <f t="shared" si="2"/>
        <v>#N/A</v>
      </c>
      <c r="AI92" s="1" t="e">
        <f t="shared" si="3"/>
        <v>#N/A</v>
      </c>
      <c r="AJ92" s="1" t="e">
        <f t="shared" si="4"/>
        <v>#N/A</v>
      </c>
      <c r="AK92" s="1" t="e">
        <f t="shared" si="5"/>
        <v>#N/A</v>
      </c>
      <c r="AL92" s="1" t="e">
        <f t="shared" si="6"/>
        <v>#N/A</v>
      </c>
      <c r="AM92" s="1" t="e">
        <f t="shared" si="7"/>
        <v>#N/A</v>
      </c>
      <c r="AN92" s="1" t="e">
        <f t="shared" si="8"/>
        <v>#N/A</v>
      </c>
      <c r="AO92" s="1" t="e">
        <f t="shared" si="9"/>
        <v>#N/A</v>
      </c>
      <c r="AP92" s="1" t="e">
        <f t="shared" si="10"/>
        <v>#N/A</v>
      </c>
      <c r="AQ92" s="1" t="e">
        <f t="shared" si="11"/>
        <v>#N/A</v>
      </c>
      <c r="AR92" s="1" t="e">
        <f t="shared" si="12"/>
        <v>#N/A</v>
      </c>
      <c r="AT92" s="1">
        <v>0.8</v>
      </c>
      <c r="AU92" s="1">
        <f>NETWORKDAYS(K92,L92,1)</f>
        <v>0</v>
      </c>
      <c r="AY92" s="1">
        <v>0</v>
      </c>
      <c r="AZ92" s="1">
        <f>IF(X92="",J92,X92)</f>
        <v>0</v>
      </c>
    </row>
    <row r="93" spans="2:52">
      <c r="B93" s="2">
        <f t="shared" si="24"/>
        <v>89</v>
      </c>
      <c r="C93" s="14"/>
      <c r="D93" s="15"/>
      <c r="E93" s="17"/>
      <c r="F93" s="21"/>
      <c r="G93" s="18"/>
      <c r="H93" s="23"/>
      <c r="I93" s="24"/>
      <c r="J93" s="2"/>
      <c r="K93" s="11"/>
      <c r="L93" s="11"/>
      <c r="M93" s="11"/>
      <c r="N93" s="11"/>
      <c r="O93" s="4"/>
      <c r="P93" s="24"/>
      <c r="Q93" s="9"/>
      <c r="R93" s="9"/>
      <c r="S93" s="25"/>
      <c r="T93" s="27"/>
      <c r="U93" s="27"/>
      <c r="V93" s="27"/>
      <c r="W93" s="279"/>
      <c r="X93" s="27"/>
      <c r="Y93" s="277">
        <f>I93</f>
        <v>0</v>
      </c>
      <c r="Z93" s="277">
        <f>I93*O93</f>
        <v>0</v>
      </c>
      <c r="AA93" s="278">
        <f>P93</f>
        <v>0</v>
      </c>
      <c r="AB93" s="1" t="e">
        <f>VLOOKUP(T93,残工数!AQ:AU,2,FALSE)</f>
        <v>#N/A</v>
      </c>
      <c r="AC93" s="1" t="e">
        <f>VLOOKUP(T93,残工数!AQ:AU,3,FALSE)</f>
        <v>#N/A</v>
      </c>
      <c r="AD93" s="1" t="e">
        <f>VLOOKUP(T93,残工数!AQ:AU,4,FALSE)</f>
        <v>#N/A</v>
      </c>
      <c r="AE93" s="1" t="e">
        <f>VLOOKUP(T93,残工数!AQ:AU,5,FALSE)</f>
        <v>#N/A</v>
      </c>
      <c r="AG93" s="1" t="e">
        <f>VLOOKUP(T93,残工数!AQ:AV,6,FALSE)</f>
        <v>#N/A</v>
      </c>
      <c r="AH93" s="1" t="e">
        <f t="shared" si="2"/>
        <v>#N/A</v>
      </c>
      <c r="AI93" s="1" t="e">
        <f t="shared" si="3"/>
        <v>#N/A</v>
      </c>
      <c r="AJ93" s="1" t="e">
        <f t="shared" si="4"/>
        <v>#N/A</v>
      </c>
      <c r="AK93" s="1" t="e">
        <f t="shared" si="5"/>
        <v>#N/A</v>
      </c>
      <c r="AL93" s="1" t="e">
        <f t="shared" si="6"/>
        <v>#N/A</v>
      </c>
      <c r="AM93" s="1" t="e">
        <f t="shared" si="7"/>
        <v>#N/A</v>
      </c>
      <c r="AN93" s="1" t="e">
        <f t="shared" si="8"/>
        <v>#N/A</v>
      </c>
      <c r="AO93" s="1" t="e">
        <f t="shared" si="9"/>
        <v>#N/A</v>
      </c>
      <c r="AP93" s="1" t="e">
        <f t="shared" si="10"/>
        <v>#N/A</v>
      </c>
      <c r="AQ93" s="1" t="e">
        <f t="shared" si="11"/>
        <v>#N/A</v>
      </c>
      <c r="AR93" s="1" t="e">
        <f t="shared" si="12"/>
        <v>#N/A</v>
      </c>
      <c r="AT93" s="1">
        <v>0.8</v>
      </c>
      <c r="AU93" s="1">
        <f>NETWORKDAYS(K93,L93,1)</f>
        <v>0</v>
      </c>
      <c r="AY93" s="1">
        <v>2</v>
      </c>
      <c r="AZ93" s="1">
        <f>IF(X93="",J93,X93)</f>
        <v>0</v>
      </c>
    </row>
    <row r="94" spans="2:52">
      <c r="B94" s="2">
        <f t="shared" si="24"/>
        <v>90</v>
      </c>
      <c r="C94" s="14"/>
      <c r="D94" s="15"/>
      <c r="E94" s="17"/>
      <c r="F94" s="21"/>
      <c r="G94" s="18"/>
      <c r="H94" s="23"/>
      <c r="I94" s="24"/>
      <c r="J94" s="2"/>
      <c r="K94" s="11"/>
      <c r="L94" s="11"/>
      <c r="M94" s="11"/>
      <c r="N94" s="11"/>
      <c r="O94" s="4"/>
      <c r="P94" s="24"/>
      <c r="Q94" s="9"/>
      <c r="R94" s="9"/>
      <c r="S94" s="25"/>
      <c r="T94" s="27"/>
      <c r="U94" s="27"/>
      <c r="V94" s="27"/>
      <c r="W94" s="279"/>
      <c r="X94" s="27"/>
      <c r="Y94" s="277">
        <f>I94</f>
        <v>0</v>
      </c>
      <c r="Z94" s="277">
        <f>I94*O94</f>
        <v>0</v>
      </c>
      <c r="AA94" s="278">
        <f>P94</f>
        <v>0</v>
      </c>
      <c r="AB94" s="1" t="e">
        <f>VLOOKUP(T94,残工数!AQ:AU,2,FALSE)</f>
        <v>#N/A</v>
      </c>
      <c r="AC94" s="1" t="e">
        <f>VLOOKUP(T94,残工数!AQ:AU,3,FALSE)</f>
        <v>#N/A</v>
      </c>
      <c r="AD94" s="1" t="e">
        <f>VLOOKUP(T94,残工数!AQ:AU,4,FALSE)</f>
        <v>#N/A</v>
      </c>
      <c r="AE94" s="1" t="e">
        <f>VLOOKUP(T94,残工数!AQ:AU,5,FALSE)</f>
        <v>#N/A</v>
      </c>
      <c r="AG94" s="1" t="e">
        <f>VLOOKUP(T94,残工数!AQ:AV,6,FALSE)</f>
        <v>#N/A</v>
      </c>
      <c r="AH94" s="1" t="e">
        <f t="shared" si="2"/>
        <v>#N/A</v>
      </c>
      <c r="AI94" s="1" t="e">
        <f t="shared" si="3"/>
        <v>#N/A</v>
      </c>
      <c r="AJ94" s="1" t="e">
        <f t="shared" si="4"/>
        <v>#N/A</v>
      </c>
      <c r="AK94" s="1" t="e">
        <f t="shared" si="5"/>
        <v>#N/A</v>
      </c>
      <c r="AL94" s="1" t="e">
        <f t="shared" si="6"/>
        <v>#N/A</v>
      </c>
      <c r="AM94" s="1" t="e">
        <f t="shared" si="7"/>
        <v>#N/A</v>
      </c>
      <c r="AN94" s="1" t="e">
        <f t="shared" si="8"/>
        <v>#N/A</v>
      </c>
      <c r="AO94" s="1" t="e">
        <f t="shared" si="9"/>
        <v>#N/A</v>
      </c>
      <c r="AP94" s="1" t="e">
        <f t="shared" si="10"/>
        <v>#N/A</v>
      </c>
      <c r="AQ94" s="1" t="e">
        <f t="shared" si="11"/>
        <v>#N/A</v>
      </c>
      <c r="AR94" s="1" t="e">
        <f t="shared" si="12"/>
        <v>#N/A</v>
      </c>
      <c r="AT94" s="1">
        <v>0.8</v>
      </c>
      <c r="AU94" s="1">
        <f>NETWORKDAYS(K94,L94,1)</f>
        <v>0</v>
      </c>
      <c r="AY94" s="1">
        <v>1</v>
      </c>
      <c r="AZ94" s="1">
        <f>IF(X94="",J94,X94)</f>
        <v>0</v>
      </c>
    </row>
  </sheetData>
  <autoFilter ref="A4:BA94" xr:uid="{00000000-0009-0000-0000-000000000000}"/>
  <dataConsolidate/>
  <mergeCells count="19">
    <mergeCell ref="S2:S4"/>
    <mergeCell ref="Q2:Q4"/>
    <mergeCell ref="U2:U4"/>
    <mergeCell ref="T2:T4"/>
    <mergeCell ref="B2:B4"/>
    <mergeCell ref="C2:C4"/>
    <mergeCell ref="D2:D4"/>
    <mergeCell ref="I2:P2"/>
    <mergeCell ref="H2:H4"/>
    <mergeCell ref="I3:I4"/>
    <mergeCell ref="J3:J4"/>
    <mergeCell ref="K3:L3"/>
    <mergeCell ref="M3:N3"/>
    <mergeCell ref="O3:O4"/>
    <mergeCell ref="P3:P4"/>
    <mergeCell ref="X2:X4"/>
    <mergeCell ref="W2:W4"/>
    <mergeCell ref="V2:V4"/>
    <mergeCell ref="R2:R4"/>
  </mergeCells>
  <phoneticPr fontId="2"/>
  <pageMargins left="0.7" right="0.7" top="0.75" bottom="0.75" header="0.3" footer="0.3"/>
  <pageSetup paperSize="8" scale="53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QI22"/>
  <sheetViews>
    <sheetView workbookViewId="0">
      <pane xSplit="2" ySplit="2" topLeftCell="L3" activePane="bottomRight" state="frozen"/>
      <selection pane="topRight" activeCell="C1" sqref="C1"/>
      <selection pane="bottomLeft" activeCell="A3" sqref="A3"/>
      <selection pane="bottomRight" activeCell="AT13" sqref="AT13"/>
    </sheetView>
  </sheetViews>
  <sheetFormatPr defaultRowHeight="18.75"/>
  <cols>
    <col min="1" max="1" width="7.625" bestFit="1" customWidth="1"/>
    <col min="2" max="2" width="7.625" customWidth="1"/>
    <col min="3" max="4" width="9.5" bestFit="1" customWidth="1"/>
    <col min="5" max="6" width="4" bestFit="1" customWidth="1"/>
    <col min="7" max="7" width="5.5" bestFit="1" customWidth="1"/>
    <col min="8" max="9" width="6.5" bestFit="1" customWidth="1"/>
    <col min="10" max="24" width="4" bestFit="1" customWidth="1"/>
    <col min="25" max="25" width="5.5" bestFit="1" customWidth="1"/>
    <col min="26" max="54" width="4" bestFit="1" customWidth="1"/>
    <col min="55" max="55" width="5.5" bestFit="1" customWidth="1"/>
    <col min="56" max="451" width="4" bestFit="1" customWidth="1"/>
  </cols>
  <sheetData>
    <row r="1" spans="1:451" ht="33">
      <c r="C1" s="40">
        <v>45939</v>
      </c>
      <c r="D1" s="40">
        <v>45940</v>
      </c>
      <c r="E1" s="40">
        <v>45941</v>
      </c>
      <c r="F1" s="41">
        <v>45942</v>
      </c>
      <c r="G1" s="40">
        <v>45943</v>
      </c>
      <c r="H1" s="40">
        <v>45944</v>
      </c>
      <c r="I1" s="40">
        <v>45945</v>
      </c>
      <c r="J1" s="40">
        <v>45946</v>
      </c>
      <c r="K1" s="40">
        <v>45947</v>
      </c>
      <c r="L1" s="41">
        <v>45948</v>
      </c>
      <c r="M1" s="41">
        <v>45949</v>
      </c>
      <c r="N1" s="40">
        <v>45950</v>
      </c>
      <c r="O1" s="40">
        <v>45951</v>
      </c>
      <c r="P1" s="40">
        <v>45952</v>
      </c>
      <c r="Q1" s="40">
        <v>45953</v>
      </c>
      <c r="R1" s="40">
        <v>45954</v>
      </c>
      <c r="S1" s="41">
        <v>45955</v>
      </c>
      <c r="T1" s="41">
        <v>45956</v>
      </c>
      <c r="U1" s="40">
        <v>45957</v>
      </c>
      <c r="V1" s="40">
        <v>45958</v>
      </c>
      <c r="W1" s="40">
        <v>45959</v>
      </c>
      <c r="X1" s="40">
        <v>45960</v>
      </c>
      <c r="Y1" s="40">
        <v>45961</v>
      </c>
      <c r="Z1" s="41">
        <v>45962</v>
      </c>
      <c r="AA1" s="41">
        <v>45963</v>
      </c>
      <c r="AB1" s="40">
        <v>45964</v>
      </c>
      <c r="AC1" s="40">
        <v>45965</v>
      </c>
      <c r="AD1" s="40">
        <v>45966</v>
      </c>
      <c r="AE1" s="40">
        <v>45967</v>
      </c>
      <c r="AF1" s="40">
        <v>45968</v>
      </c>
      <c r="AG1" s="41">
        <v>45969</v>
      </c>
      <c r="AH1" s="41">
        <v>45970</v>
      </c>
      <c r="AI1" s="40">
        <v>45971</v>
      </c>
      <c r="AJ1" s="40">
        <v>45972</v>
      </c>
      <c r="AK1" s="40">
        <v>45973</v>
      </c>
      <c r="AL1" s="40">
        <v>45974</v>
      </c>
      <c r="AM1" s="40">
        <v>45975</v>
      </c>
      <c r="AN1" s="41">
        <v>45976</v>
      </c>
      <c r="AO1" s="41">
        <v>45977</v>
      </c>
      <c r="AP1" s="40">
        <v>45978</v>
      </c>
      <c r="AQ1" s="40">
        <v>45979</v>
      </c>
      <c r="AR1" s="40">
        <v>45980</v>
      </c>
      <c r="AS1" s="40">
        <v>45981</v>
      </c>
      <c r="AT1" s="40">
        <v>45982</v>
      </c>
      <c r="AU1" s="41">
        <v>45983</v>
      </c>
      <c r="AV1" s="41">
        <v>45984</v>
      </c>
      <c r="AW1" s="40">
        <v>45985</v>
      </c>
      <c r="AX1" s="40">
        <v>45986</v>
      </c>
      <c r="AY1" s="40">
        <v>45987</v>
      </c>
      <c r="AZ1" s="40">
        <v>45988</v>
      </c>
      <c r="BA1" s="40">
        <v>45989</v>
      </c>
      <c r="BB1" s="41">
        <v>45990</v>
      </c>
      <c r="BC1" s="41">
        <v>45991</v>
      </c>
      <c r="BD1" s="40">
        <v>45992</v>
      </c>
      <c r="BE1" s="40">
        <v>45993</v>
      </c>
      <c r="BF1" s="40">
        <v>45994</v>
      </c>
      <c r="BG1" s="40">
        <v>45995</v>
      </c>
      <c r="BH1" s="40">
        <v>45996</v>
      </c>
      <c r="BI1" s="41">
        <v>45997</v>
      </c>
      <c r="BJ1" s="41">
        <v>45998</v>
      </c>
      <c r="BK1" s="40">
        <v>45999</v>
      </c>
      <c r="BL1" s="40">
        <v>46000</v>
      </c>
      <c r="BM1" s="40">
        <v>46001</v>
      </c>
      <c r="BN1" s="40">
        <v>46002</v>
      </c>
      <c r="BO1" s="40">
        <v>46003</v>
      </c>
      <c r="BP1" s="41">
        <v>46004</v>
      </c>
      <c r="BQ1" s="41">
        <v>46005</v>
      </c>
      <c r="BR1" s="40">
        <v>46006</v>
      </c>
      <c r="BS1" s="40">
        <v>46007</v>
      </c>
      <c r="BT1" s="40">
        <v>46008</v>
      </c>
      <c r="BU1" s="40">
        <v>46009</v>
      </c>
      <c r="BV1" s="40">
        <v>46010</v>
      </c>
      <c r="BW1" s="41">
        <v>46011</v>
      </c>
      <c r="BX1" s="41">
        <v>46012</v>
      </c>
      <c r="BY1" s="40">
        <v>46013</v>
      </c>
      <c r="BZ1" s="40">
        <v>46014</v>
      </c>
      <c r="CA1" s="40">
        <v>46015</v>
      </c>
      <c r="CB1" s="40">
        <v>46016</v>
      </c>
      <c r="CC1" s="40">
        <v>46017</v>
      </c>
      <c r="CD1" s="41">
        <v>46018</v>
      </c>
      <c r="CE1" s="41">
        <v>46019</v>
      </c>
      <c r="CF1" s="40">
        <v>46020</v>
      </c>
      <c r="CG1" s="40">
        <v>46021</v>
      </c>
      <c r="CH1" s="40">
        <v>46022</v>
      </c>
      <c r="CI1" s="273">
        <v>46023</v>
      </c>
      <c r="CJ1" s="40">
        <v>46024</v>
      </c>
      <c r="CK1" s="41">
        <v>46025</v>
      </c>
      <c r="CL1" s="41">
        <v>46026</v>
      </c>
      <c r="CM1" s="40">
        <v>46027</v>
      </c>
      <c r="CN1" s="40">
        <v>46028</v>
      </c>
      <c r="CO1" s="40">
        <v>46029</v>
      </c>
      <c r="CP1" s="40">
        <v>46030</v>
      </c>
      <c r="CQ1" s="40">
        <v>46031</v>
      </c>
      <c r="CR1" s="41">
        <v>46032</v>
      </c>
      <c r="CS1" s="41">
        <v>46033</v>
      </c>
      <c r="CT1" s="40">
        <v>46034</v>
      </c>
      <c r="CU1" s="40">
        <v>46035</v>
      </c>
      <c r="CV1" s="40">
        <v>46036</v>
      </c>
      <c r="CW1" s="40">
        <v>46037</v>
      </c>
      <c r="CX1" s="40">
        <v>46038</v>
      </c>
      <c r="CY1" s="41">
        <v>46039</v>
      </c>
      <c r="CZ1" s="41">
        <v>46040</v>
      </c>
      <c r="DA1" s="40">
        <v>46041</v>
      </c>
      <c r="DB1" s="40">
        <v>46042</v>
      </c>
      <c r="DC1" s="40">
        <v>46043</v>
      </c>
      <c r="DD1" s="40">
        <v>46044</v>
      </c>
      <c r="DE1" s="40">
        <v>46045</v>
      </c>
      <c r="DF1" s="41">
        <v>46046</v>
      </c>
      <c r="DG1" s="41">
        <v>46047</v>
      </c>
      <c r="DH1" s="40">
        <v>46048</v>
      </c>
      <c r="DI1" s="40">
        <v>46049</v>
      </c>
      <c r="DJ1" s="40">
        <v>46050</v>
      </c>
      <c r="DK1" s="40">
        <v>46051</v>
      </c>
      <c r="DL1" s="40">
        <v>46052</v>
      </c>
      <c r="DM1" s="41">
        <v>46053</v>
      </c>
      <c r="DN1" s="41">
        <v>46054</v>
      </c>
      <c r="DO1" s="40">
        <v>46055</v>
      </c>
      <c r="DP1" s="40">
        <v>46056</v>
      </c>
      <c r="DQ1" s="40">
        <v>46057</v>
      </c>
      <c r="DR1" s="40">
        <v>46058</v>
      </c>
      <c r="DS1" s="40">
        <v>46059</v>
      </c>
      <c r="DT1" s="41">
        <v>46060</v>
      </c>
      <c r="DU1" s="41">
        <v>46061</v>
      </c>
      <c r="DV1" s="40">
        <v>46062</v>
      </c>
      <c r="DW1" s="40">
        <v>46063</v>
      </c>
      <c r="DX1" s="40">
        <v>46064</v>
      </c>
      <c r="DY1" s="40">
        <v>46065</v>
      </c>
      <c r="DZ1" s="40">
        <v>46066</v>
      </c>
      <c r="EA1" s="275">
        <v>46067</v>
      </c>
      <c r="EB1" s="275">
        <v>46068</v>
      </c>
      <c r="EC1" s="273">
        <v>46069</v>
      </c>
      <c r="ED1" s="273">
        <v>46070</v>
      </c>
      <c r="EE1" s="273">
        <v>46071</v>
      </c>
      <c r="EF1" s="273">
        <v>46072</v>
      </c>
      <c r="EG1" s="273">
        <v>46073</v>
      </c>
      <c r="EH1" s="273">
        <v>46074</v>
      </c>
      <c r="EI1" s="273">
        <v>46075</v>
      </c>
      <c r="EJ1" s="273">
        <v>46076</v>
      </c>
      <c r="EK1" s="40">
        <v>46077</v>
      </c>
      <c r="EL1" s="40">
        <v>46078</v>
      </c>
      <c r="EM1" s="40">
        <v>46079</v>
      </c>
      <c r="EN1" s="40">
        <v>46080</v>
      </c>
      <c r="EO1" s="41">
        <v>46081</v>
      </c>
      <c r="EP1" s="41">
        <v>46082</v>
      </c>
      <c r="EQ1" s="40">
        <v>46083</v>
      </c>
      <c r="ER1" s="40">
        <v>46084</v>
      </c>
      <c r="ES1" s="40">
        <v>46085</v>
      </c>
      <c r="ET1" s="40">
        <v>46086</v>
      </c>
      <c r="EU1" s="40">
        <v>46087</v>
      </c>
      <c r="EV1" s="41">
        <v>46088</v>
      </c>
      <c r="EW1" s="41">
        <v>46089</v>
      </c>
      <c r="EX1" s="40">
        <v>46090</v>
      </c>
      <c r="EY1" s="40">
        <v>46091</v>
      </c>
      <c r="EZ1" s="40">
        <v>46092</v>
      </c>
      <c r="FA1" s="40">
        <v>46093</v>
      </c>
      <c r="FB1" s="40">
        <v>46094</v>
      </c>
      <c r="FC1" s="41">
        <v>46095</v>
      </c>
      <c r="FD1" s="41">
        <v>46096</v>
      </c>
      <c r="FE1" s="40">
        <v>46097</v>
      </c>
      <c r="FF1" s="40">
        <v>46098</v>
      </c>
      <c r="FG1" s="40">
        <v>46099</v>
      </c>
      <c r="FH1" s="40">
        <v>46100</v>
      </c>
      <c r="FI1" s="40">
        <v>46101</v>
      </c>
      <c r="FJ1" s="41">
        <v>46102</v>
      </c>
      <c r="FK1" s="41">
        <v>46103</v>
      </c>
      <c r="FL1" s="40">
        <v>46104</v>
      </c>
      <c r="FM1" s="40">
        <v>46105</v>
      </c>
      <c r="FN1" s="40">
        <v>46106</v>
      </c>
      <c r="FO1" s="40">
        <v>46107</v>
      </c>
      <c r="FP1" s="40">
        <v>46108</v>
      </c>
      <c r="FQ1" s="41">
        <v>46109</v>
      </c>
      <c r="FR1" s="41">
        <v>46110</v>
      </c>
      <c r="FS1" s="40">
        <v>46111</v>
      </c>
      <c r="FT1" s="40">
        <v>46112</v>
      </c>
      <c r="FU1" s="40">
        <v>46113</v>
      </c>
      <c r="FV1" s="40">
        <v>46114</v>
      </c>
      <c r="FW1" s="40">
        <v>46115</v>
      </c>
      <c r="FX1" s="41">
        <v>46116</v>
      </c>
      <c r="FY1" s="41">
        <v>46117</v>
      </c>
      <c r="FZ1" s="273">
        <v>46118</v>
      </c>
      <c r="GA1" s="40">
        <v>46119</v>
      </c>
      <c r="GB1" s="40">
        <v>46120</v>
      </c>
      <c r="GC1" s="40">
        <v>46121</v>
      </c>
      <c r="GD1" s="40">
        <v>46122</v>
      </c>
      <c r="GE1" s="41">
        <v>46123</v>
      </c>
      <c r="GF1" s="41">
        <v>46124</v>
      </c>
      <c r="GG1" s="40">
        <v>46125</v>
      </c>
      <c r="GH1" s="40">
        <v>46126</v>
      </c>
      <c r="GI1" s="40">
        <v>46127</v>
      </c>
      <c r="GJ1" s="40">
        <v>46128</v>
      </c>
      <c r="GK1" s="40">
        <v>46129</v>
      </c>
      <c r="GL1" s="41">
        <v>46130</v>
      </c>
      <c r="GM1" s="41">
        <v>46131</v>
      </c>
      <c r="GN1" s="40">
        <v>46132</v>
      </c>
      <c r="GO1" s="40">
        <v>46133</v>
      </c>
      <c r="GP1" s="40">
        <v>46134</v>
      </c>
      <c r="GQ1" s="40">
        <v>46135</v>
      </c>
      <c r="GR1" s="40">
        <v>46136</v>
      </c>
      <c r="GS1" s="41">
        <v>46137</v>
      </c>
      <c r="GT1" s="41">
        <v>46138</v>
      </c>
      <c r="GU1" s="40">
        <v>46139</v>
      </c>
      <c r="GV1" s="40">
        <v>46140</v>
      </c>
      <c r="GW1" s="40">
        <v>46141</v>
      </c>
      <c r="GX1" s="40">
        <v>46142</v>
      </c>
      <c r="GY1" s="273">
        <v>46143</v>
      </c>
      <c r="GZ1" s="41">
        <v>46144</v>
      </c>
      <c r="HA1" s="41">
        <v>46145</v>
      </c>
      <c r="HB1" s="273">
        <v>46146</v>
      </c>
      <c r="HC1" s="273">
        <v>46147</v>
      </c>
      <c r="HD1" s="40">
        <v>46148</v>
      </c>
      <c r="HE1" s="40">
        <v>46149</v>
      </c>
      <c r="HF1" s="40">
        <v>46150</v>
      </c>
      <c r="HG1" s="41">
        <v>46151</v>
      </c>
      <c r="HH1" s="41">
        <v>46152</v>
      </c>
      <c r="HI1" s="40">
        <v>46153</v>
      </c>
      <c r="HJ1" s="40">
        <v>46154</v>
      </c>
      <c r="HK1" s="40">
        <v>46155</v>
      </c>
      <c r="HL1" s="40">
        <v>46156</v>
      </c>
      <c r="HM1" s="40">
        <v>46157</v>
      </c>
      <c r="HN1" s="41">
        <v>46158</v>
      </c>
      <c r="HO1" s="41">
        <v>46159</v>
      </c>
      <c r="HP1" s="40">
        <v>46160</v>
      </c>
      <c r="HQ1" s="40">
        <v>46161</v>
      </c>
      <c r="HR1" s="40">
        <v>46162</v>
      </c>
      <c r="HS1" s="40">
        <v>46163</v>
      </c>
      <c r="HT1" s="40">
        <v>46164</v>
      </c>
      <c r="HU1" s="41">
        <v>46165</v>
      </c>
      <c r="HV1" s="41">
        <v>46166</v>
      </c>
      <c r="HW1" s="40">
        <v>46167</v>
      </c>
      <c r="HX1" s="40">
        <v>46168</v>
      </c>
      <c r="HY1" s="40">
        <v>46169</v>
      </c>
      <c r="HZ1" s="40">
        <v>46170</v>
      </c>
      <c r="IA1" s="40">
        <v>46171</v>
      </c>
      <c r="IB1" s="41">
        <v>46172</v>
      </c>
      <c r="IC1" s="41">
        <v>46173</v>
      </c>
      <c r="ID1" s="40">
        <v>46174</v>
      </c>
      <c r="IE1" s="40">
        <v>46175</v>
      </c>
      <c r="IF1" s="40">
        <v>46176</v>
      </c>
      <c r="IG1" s="40">
        <v>46177</v>
      </c>
      <c r="IH1" s="40">
        <v>46178</v>
      </c>
      <c r="II1" s="41">
        <v>46179</v>
      </c>
      <c r="IJ1" s="41">
        <v>46180</v>
      </c>
      <c r="IK1" s="40">
        <v>46181</v>
      </c>
      <c r="IL1" s="40">
        <v>46182</v>
      </c>
      <c r="IM1" s="40">
        <v>46183</v>
      </c>
      <c r="IN1" s="40">
        <v>46184</v>
      </c>
      <c r="IO1" s="40">
        <v>46185</v>
      </c>
      <c r="IP1" s="41">
        <v>46186</v>
      </c>
      <c r="IQ1" s="41">
        <v>46187</v>
      </c>
      <c r="IR1" s="40">
        <v>46188</v>
      </c>
      <c r="IS1" s="40">
        <v>46189</v>
      </c>
      <c r="IT1" s="40">
        <v>46190</v>
      </c>
      <c r="IU1" s="40">
        <v>46191</v>
      </c>
      <c r="IV1" s="273">
        <v>46192</v>
      </c>
      <c r="IW1" s="41">
        <v>46193</v>
      </c>
      <c r="IX1" s="41">
        <v>46194</v>
      </c>
      <c r="IY1" s="40">
        <v>46195</v>
      </c>
      <c r="IZ1" s="40">
        <v>46196</v>
      </c>
      <c r="JA1" s="40">
        <v>46197</v>
      </c>
      <c r="JB1" s="40">
        <v>46198</v>
      </c>
      <c r="JC1" s="40">
        <v>46199</v>
      </c>
      <c r="JD1" s="41">
        <v>46200</v>
      </c>
      <c r="JE1" s="41">
        <v>46201</v>
      </c>
      <c r="JF1" s="40">
        <v>46202</v>
      </c>
      <c r="JG1" s="40">
        <v>46203</v>
      </c>
      <c r="JH1" s="40">
        <v>46204</v>
      </c>
      <c r="JI1" s="40">
        <v>46205</v>
      </c>
      <c r="JJ1" s="40">
        <v>46206</v>
      </c>
      <c r="JK1" s="40">
        <v>46207</v>
      </c>
      <c r="JL1" s="40">
        <v>46208</v>
      </c>
      <c r="JM1" s="40">
        <v>46209</v>
      </c>
      <c r="JN1" s="40">
        <v>46210</v>
      </c>
      <c r="JO1" s="40">
        <v>46211</v>
      </c>
      <c r="JP1" s="40">
        <v>46212</v>
      </c>
      <c r="JQ1" s="40">
        <v>46213</v>
      </c>
      <c r="JR1" s="40">
        <v>46214</v>
      </c>
      <c r="JS1" s="40">
        <v>46215</v>
      </c>
      <c r="JT1" s="40">
        <v>46216</v>
      </c>
      <c r="JU1" s="40">
        <v>46217</v>
      </c>
      <c r="JV1" s="40">
        <v>46218</v>
      </c>
      <c r="JW1" s="40">
        <v>46219</v>
      </c>
      <c r="JX1" s="40">
        <v>46220</v>
      </c>
      <c r="JY1" s="40">
        <v>46221</v>
      </c>
      <c r="JZ1" s="40">
        <v>46222</v>
      </c>
      <c r="KA1" s="40">
        <v>46223</v>
      </c>
      <c r="KB1" s="40">
        <v>46224</v>
      </c>
      <c r="KC1" s="40">
        <v>46225</v>
      </c>
      <c r="KD1" s="40">
        <v>46226</v>
      </c>
      <c r="KE1" s="40">
        <v>46227</v>
      </c>
      <c r="KF1" s="40">
        <v>46228</v>
      </c>
      <c r="KG1" s="40">
        <v>46229</v>
      </c>
      <c r="KH1" s="40">
        <v>46230</v>
      </c>
      <c r="KI1" s="40">
        <v>46231</v>
      </c>
      <c r="KJ1" s="40">
        <v>46232</v>
      </c>
      <c r="KK1" s="40">
        <v>46233</v>
      </c>
      <c r="KL1" s="40">
        <v>46234</v>
      </c>
      <c r="KM1" s="40">
        <v>46235</v>
      </c>
      <c r="KN1" s="40">
        <v>46236</v>
      </c>
      <c r="KO1" s="40">
        <v>46237</v>
      </c>
      <c r="KP1" s="40">
        <v>46238</v>
      </c>
      <c r="KQ1" s="40">
        <v>46239</v>
      </c>
      <c r="KR1" s="40">
        <v>46240</v>
      </c>
      <c r="KS1" s="40">
        <v>46241</v>
      </c>
      <c r="KT1" s="40">
        <v>46242</v>
      </c>
      <c r="KU1" s="40">
        <v>46243</v>
      </c>
      <c r="KV1" s="40">
        <v>46244</v>
      </c>
      <c r="KW1" s="40">
        <v>46245</v>
      </c>
      <c r="KX1" s="40">
        <v>46246</v>
      </c>
      <c r="KY1" s="40">
        <v>46247</v>
      </c>
      <c r="KZ1" s="40">
        <v>46248</v>
      </c>
      <c r="LA1" s="40">
        <v>46249</v>
      </c>
      <c r="LB1" s="40">
        <v>46250</v>
      </c>
      <c r="LC1" s="40">
        <v>46251</v>
      </c>
      <c r="LD1" s="40">
        <v>46252</v>
      </c>
      <c r="LE1" s="40">
        <v>46253</v>
      </c>
      <c r="LF1" s="40">
        <v>46254</v>
      </c>
      <c r="LG1" s="40">
        <v>46255</v>
      </c>
      <c r="LH1" s="40">
        <v>46256</v>
      </c>
      <c r="LI1" s="40">
        <v>46257</v>
      </c>
      <c r="LJ1" s="40">
        <v>46258</v>
      </c>
      <c r="LK1" s="40">
        <v>46259</v>
      </c>
      <c r="LL1" s="40">
        <v>46260</v>
      </c>
      <c r="LM1" s="40">
        <v>46261</v>
      </c>
      <c r="LN1" s="40">
        <v>46262</v>
      </c>
      <c r="LO1" s="40">
        <v>46263</v>
      </c>
      <c r="LP1" s="40">
        <v>46264</v>
      </c>
      <c r="LQ1" s="40">
        <v>46265</v>
      </c>
      <c r="LR1" s="40">
        <v>46266</v>
      </c>
      <c r="LS1" s="40">
        <v>46267</v>
      </c>
      <c r="LT1" s="40">
        <v>46268</v>
      </c>
      <c r="LU1" s="40">
        <v>46269</v>
      </c>
      <c r="LV1" s="40">
        <v>46270</v>
      </c>
      <c r="LW1" s="40">
        <v>46271</v>
      </c>
      <c r="LX1" s="40">
        <v>46272</v>
      </c>
      <c r="LY1" s="40">
        <v>46273</v>
      </c>
      <c r="LZ1" s="40">
        <v>46274</v>
      </c>
      <c r="MA1" s="40">
        <v>46275</v>
      </c>
      <c r="MB1" s="40">
        <v>46276</v>
      </c>
      <c r="MC1" s="40">
        <v>46277</v>
      </c>
      <c r="MD1" s="40">
        <v>46278</v>
      </c>
      <c r="ME1" s="40">
        <v>46279</v>
      </c>
      <c r="MF1" s="40">
        <v>46280</v>
      </c>
      <c r="MG1" s="40">
        <v>46281</v>
      </c>
      <c r="MH1" s="40">
        <v>46282</v>
      </c>
      <c r="MI1" s="40">
        <v>46283</v>
      </c>
      <c r="MJ1" s="40">
        <v>46284</v>
      </c>
      <c r="MK1" s="40">
        <v>46285</v>
      </c>
      <c r="ML1" s="40">
        <v>46286</v>
      </c>
      <c r="MM1" s="40">
        <v>46287</v>
      </c>
      <c r="MN1" s="40">
        <v>46288</v>
      </c>
      <c r="MO1" s="40">
        <v>46289</v>
      </c>
      <c r="MP1" s="273">
        <v>46290</v>
      </c>
      <c r="MQ1" s="40">
        <v>46291</v>
      </c>
      <c r="MR1" s="40">
        <v>46292</v>
      </c>
      <c r="MS1" s="40">
        <v>46293</v>
      </c>
      <c r="MT1" s="40">
        <v>46294</v>
      </c>
      <c r="MU1" s="40">
        <v>46295</v>
      </c>
      <c r="MV1" s="273">
        <v>46296</v>
      </c>
      <c r="MW1" s="273">
        <v>46297</v>
      </c>
      <c r="MX1" s="273">
        <v>46298</v>
      </c>
      <c r="MY1" s="273">
        <v>46299</v>
      </c>
      <c r="MZ1" s="273">
        <v>46300</v>
      </c>
      <c r="NA1" s="273">
        <v>46301</v>
      </c>
      <c r="NB1" s="273">
        <v>46302</v>
      </c>
      <c r="NC1" s="40">
        <v>46303</v>
      </c>
      <c r="ND1" s="40">
        <v>46304</v>
      </c>
      <c r="NE1" s="40">
        <v>46305</v>
      </c>
      <c r="NF1" s="40">
        <v>46306</v>
      </c>
      <c r="NG1" s="40">
        <v>46307</v>
      </c>
      <c r="NH1" s="40">
        <v>46308</v>
      </c>
      <c r="NI1" s="40">
        <v>46309</v>
      </c>
      <c r="NJ1" s="40">
        <v>46310</v>
      </c>
      <c r="NK1" s="40">
        <v>46311</v>
      </c>
      <c r="NL1" s="40">
        <v>46312</v>
      </c>
      <c r="NM1" s="40">
        <v>46313</v>
      </c>
      <c r="NN1" s="40">
        <v>46314</v>
      </c>
      <c r="NO1" s="40">
        <v>46315</v>
      </c>
      <c r="NP1" s="40">
        <v>46316</v>
      </c>
      <c r="NQ1" s="40">
        <v>46317</v>
      </c>
      <c r="NR1" s="40">
        <v>46318</v>
      </c>
      <c r="NS1" s="40">
        <v>46319</v>
      </c>
      <c r="NT1" s="40">
        <v>46320</v>
      </c>
      <c r="NU1" s="40">
        <v>46321</v>
      </c>
      <c r="NV1" s="40">
        <v>46322</v>
      </c>
      <c r="NW1" s="40">
        <v>46323</v>
      </c>
      <c r="NX1" s="40">
        <v>46324</v>
      </c>
      <c r="NY1" s="40">
        <v>46325</v>
      </c>
      <c r="NZ1" s="40">
        <v>46326</v>
      </c>
      <c r="OA1" s="40">
        <v>46327</v>
      </c>
      <c r="OB1" s="40">
        <v>46328</v>
      </c>
      <c r="OC1" s="40">
        <v>46329</v>
      </c>
      <c r="OD1" s="40">
        <v>46330</v>
      </c>
      <c r="OE1" s="40">
        <v>46331</v>
      </c>
      <c r="OF1" s="40">
        <v>46332</v>
      </c>
      <c r="OG1" s="40">
        <v>46333</v>
      </c>
      <c r="OH1" s="40">
        <v>46334</v>
      </c>
      <c r="OI1" s="40">
        <v>46335</v>
      </c>
      <c r="OJ1" s="40">
        <v>46336</v>
      </c>
      <c r="OK1" s="40">
        <v>46337</v>
      </c>
      <c r="OL1" s="40">
        <v>46338</v>
      </c>
      <c r="OM1" s="40">
        <v>46339</v>
      </c>
      <c r="ON1" s="40">
        <v>46340</v>
      </c>
      <c r="OO1" s="40">
        <v>46341</v>
      </c>
      <c r="OP1" s="40">
        <v>46342</v>
      </c>
      <c r="OQ1" s="40">
        <v>46343</v>
      </c>
      <c r="OR1" s="40">
        <v>46344</v>
      </c>
      <c r="OS1" s="40">
        <v>46345</v>
      </c>
      <c r="OT1" s="40">
        <v>46346</v>
      </c>
      <c r="OU1" s="40">
        <v>46347</v>
      </c>
      <c r="OV1" s="40">
        <v>46348</v>
      </c>
      <c r="OW1" s="40">
        <v>46349</v>
      </c>
      <c r="OX1" s="40">
        <v>46350</v>
      </c>
      <c r="OY1" s="40">
        <v>46351</v>
      </c>
      <c r="OZ1" s="40">
        <v>46352</v>
      </c>
      <c r="PA1" s="40">
        <v>46353</v>
      </c>
      <c r="PB1" s="40">
        <v>46354</v>
      </c>
      <c r="PC1" s="40">
        <v>46355</v>
      </c>
      <c r="PD1" s="40">
        <v>46356</v>
      </c>
      <c r="PE1" s="40">
        <v>46357</v>
      </c>
      <c r="PF1" s="40">
        <v>46358</v>
      </c>
      <c r="PG1" s="40">
        <v>46359</v>
      </c>
      <c r="PH1" s="40">
        <v>46360</v>
      </c>
      <c r="PI1" s="40">
        <v>46361</v>
      </c>
      <c r="PJ1" s="40">
        <v>46362</v>
      </c>
      <c r="PK1" s="40">
        <v>46363</v>
      </c>
      <c r="PL1" s="40">
        <v>46364</v>
      </c>
      <c r="PM1" s="40">
        <v>46365</v>
      </c>
      <c r="PN1" s="40">
        <v>46366</v>
      </c>
      <c r="PO1" s="40">
        <v>46367</v>
      </c>
      <c r="PP1" s="40">
        <v>46368</v>
      </c>
      <c r="PQ1" s="40">
        <v>46369</v>
      </c>
      <c r="PR1" s="40">
        <v>46370</v>
      </c>
      <c r="PS1" s="40">
        <v>46371</v>
      </c>
      <c r="PT1" s="40">
        <v>46372</v>
      </c>
      <c r="PU1" s="40">
        <v>46373</v>
      </c>
      <c r="PV1" s="40">
        <v>46374</v>
      </c>
      <c r="PW1" s="40">
        <v>46375</v>
      </c>
      <c r="PX1" s="40">
        <v>46376</v>
      </c>
      <c r="PY1" s="40">
        <v>46377</v>
      </c>
      <c r="PZ1" s="40">
        <v>46378</v>
      </c>
      <c r="QA1" s="40">
        <v>46379</v>
      </c>
      <c r="QB1" s="40">
        <v>46380</v>
      </c>
      <c r="QC1" s="40">
        <v>46381</v>
      </c>
      <c r="QD1" s="40">
        <v>46382</v>
      </c>
      <c r="QE1" s="40">
        <v>46383</v>
      </c>
      <c r="QF1" s="40">
        <v>46384</v>
      </c>
      <c r="QG1" s="40">
        <v>46385</v>
      </c>
      <c r="QH1" s="40">
        <v>46386</v>
      </c>
      <c r="QI1" s="40">
        <v>46387</v>
      </c>
    </row>
    <row r="2" spans="1:451">
      <c r="C2" s="40"/>
      <c r="D2" s="40"/>
      <c r="E2" s="40"/>
      <c r="F2" s="41"/>
      <c r="G2" s="40"/>
      <c r="H2" s="40"/>
      <c r="I2" s="40"/>
      <c r="J2" s="40"/>
      <c r="K2" s="40"/>
      <c r="L2" s="41"/>
      <c r="M2" s="41"/>
      <c r="N2" s="40"/>
      <c r="O2" s="40"/>
      <c r="P2" s="40"/>
      <c r="Q2" s="40"/>
      <c r="R2" s="40"/>
      <c r="S2" s="41"/>
      <c r="T2" s="41"/>
      <c r="U2" s="40"/>
      <c r="V2" s="40"/>
      <c r="W2" s="40"/>
      <c r="X2" s="40"/>
      <c r="Y2" s="40"/>
      <c r="Z2" s="41"/>
      <c r="AA2" s="41"/>
      <c r="AB2" s="40"/>
      <c r="AC2" s="40"/>
      <c r="AD2" s="40"/>
      <c r="AE2" s="40"/>
      <c r="AF2" s="40"/>
      <c r="AG2" s="41"/>
      <c r="AH2" s="41"/>
      <c r="AI2" s="40"/>
      <c r="AJ2" s="40"/>
      <c r="AK2" s="40"/>
      <c r="AL2" s="40"/>
      <c r="AM2" s="40"/>
      <c r="AN2" s="41"/>
      <c r="AO2" s="41"/>
      <c r="AP2" s="40"/>
      <c r="AQ2" s="40"/>
      <c r="AR2" s="40"/>
      <c r="AS2" s="40"/>
      <c r="AT2" s="40"/>
      <c r="AU2" s="41"/>
      <c r="AV2" s="41"/>
      <c r="AW2" s="40"/>
      <c r="AX2" s="40"/>
      <c r="AY2" s="40"/>
      <c r="AZ2" s="40"/>
      <c r="BA2" s="40"/>
      <c r="BB2" s="41"/>
      <c r="BC2" s="41"/>
      <c r="BI2" s="42"/>
      <c r="BJ2" s="42"/>
      <c r="BP2" s="42"/>
      <c r="BQ2" s="42"/>
      <c r="BW2" s="42"/>
      <c r="BX2" s="42"/>
      <c r="CD2" s="42"/>
      <c r="CE2" s="42"/>
      <c r="CI2" s="274"/>
      <c r="CK2" s="42"/>
      <c r="CL2" s="42"/>
      <c r="CR2" s="42"/>
      <c r="CS2" s="42"/>
      <c r="CY2" s="42"/>
      <c r="CZ2" s="42"/>
      <c r="DF2" s="42"/>
      <c r="DG2" s="42"/>
      <c r="DM2" s="42"/>
      <c r="DN2" s="42"/>
      <c r="DT2" s="42"/>
      <c r="DU2" s="42"/>
      <c r="EA2" s="276"/>
      <c r="EB2" s="276"/>
      <c r="EC2" s="274"/>
      <c r="ED2" s="274"/>
      <c r="EE2" s="274"/>
      <c r="EF2" s="274"/>
      <c r="EG2" s="274"/>
      <c r="EH2" s="274"/>
      <c r="EI2" s="274"/>
      <c r="EJ2" s="274"/>
      <c r="EO2" s="42"/>
      <c r="EP2" s="42"/>
      <c r="EV2" s="42"/>
      <c r="EW2" s="42"/>
      <c r="FC2" s="42"/>
      <c r="FD2" s="42"/>
      <c r="FJ2" s="42"/>
      <c r="FK2" s="42"/>
      <c r="FQ2" s="42"/>
      <c r="FR2" s="42"/>
      <c r="FX2" s="42"/>
      <c r="FY2" s="42"/>
      <c r="FZ2" s="274"/>
      <c r="GE2" s="42"/>
      <c r="GF2" s="42"/>
      <c r="GL2" s="42"/>
      <c r="GM2" s="42"/>
      <c r="GS2" s="42"/>
      <c r="GT2" s="42"/>
      <c r="GY2" s="274"/>
      <c r="GZ2" s="42"/>
      <c r="HA2" s="42"/>
      <c r="HB2" s="274"/>
      <c r="HC2" s="274"/>
      <c r="HG2" s="42"/>
      <c r="HH2" s="42"/>
      <c r="HN2" s="42"/>
      <c r="HO2" s="42"/>
      <c r="HU2" s="42"/>
      <c r="HV2" s="42"/>
      <c r="IB2" s="42"/>
      <c r="IC2" s="42"/>
      <c r="II2" s="42"/>
      <c r="IJ2" s="42"/>
      <c r="IP2" s="42"/>
      <c r="IQ2" s="42"/>
      <c r="IV2" s="274"/>
      <c r="IW2" s="42"/>
      <c r="IX2" s="42"/>
      <c r="JD2" s="42"/>
      <c r="JE2" s="42"/>
      <c r="MP2" s="274"/>
      <c r="MV2" s="274"/>
      <c r="MW2" s="274"/>
      <c r="MX2" s="274"/>
      <c r="MY2" s="274"/>
      <c r="MZ2" s="274"/>
      <c r="NA2" s="274"/>
      <c r="NB2" s="274"/>
    </row>
    <row r="3" spans="1:451">
      <c r="A3" t="s">
        <v>3</v>
      </c>
      <c r="C3">
        <f t="array" ref="C3">IF(WEEKDAY(C$1,2)&gt;=6, 0, SUM( IF(WBS!$J$5:$J$2773=$A3, IF(C$1&gt;=WBS!$K$5:$K$2773, IF(C$1&lt;=WBS!$L$5:$L$2773, IF(WBS!$AU$5:$AU$2773 &gt;0, WBS!$I$5:$I$2773 / WBS!$AU$5:$AU$2773, 0), 0), 0), 0) ))</f>
        <v>0</v>
      </c>
      <c r="D3">
        <f t="array" ref="D3">IF(WEEKDAY(D$1,2)&gt;=6, 0, SUM( IF(WBS!$J$5:$J$2773=$A3, IF(D$1&gt;=WBS!$K$5:$K$2773, IF(D$1&lt;=WBS!$L$5:$L$2773, IF(WBS!$AU$5:$AU$2773 &gt;0, WBS!$I$5:$I$2773 / WBS!$AU$5:$AU$2773, 0), 0), 0), 0) ))</f>
        <v>0</v>
      </c>
      <c r="E3">
        <f t="array" ref="E3">IF(WEEKDAY(E$1,2)&gt;=6, 0, SUM( IF(WBS!$J$5:$J$2773=$A3, IF(E$1&gt;=WBS!$K$5:$K$2773, IF(E$1&lt;=WBS!$L$5:$L$2773, IF(WBS!$AU$5:$AU$2773 &gt;0, WBS!$I$5:$I$2773 / WBS!$AU$5:$AU$2773, 0), 0), 0), 0) ))</f>
        <v>0</v>
      </c>
      <c r="F3">
        <f t="array" ref="F3">IF(WEEKDAY(F$1,2)&gt;=6, 0, SUM( IF(WBS!$J$5:$J$2773=$A3, IF(F$1&gt;=WBS!$K$5:$K$2773, IF(F$1&lt;=WBS!$L$5:$L$2773, IF(WBS!$AU$5:$AU$2773 &gt;0, WBS!$I$5:$I$2773 / WBS!$AU$5:$AU$2773, 0), 0), 0), 0) ))</f>
        <v>0</v>
      </c>
      <c r="G3">
        <f t="array" ref="G3">IF(WEEKDAY(G$1,2)&gt;=6, 0, SUM( IF(WBS!$J$5:$J$2773=$A3, IF(G$1&gt;=WBS!$K$5:$K$2773, IF(G$1&lt;=WBS!$L$5:$L$2773, IF(WBS!$AU$5:$AU$2773 &gt;0, WBS!$I$5:$I$2773 / WBS!$AU$5:$AU$2773, 0), 0), 0), 0) ))</f>
        <v>0</v>
      </c>
      <c r="H3">
        <f t="array" ref="H3">IF(WEEKDAY(H$1,2)&gt;=6, 0, SUM( IF(WBS!$J$5:$J$2773=$A3, IF(H$1&gt;=WBS!$K$5:$K$2773, IF(H$1&lt;=WBS!$L$5:$L$2773, IF(WBS!$AU$5:$AU$2773 &gt;0, WBS!$I$5:$I$2773 / WBS!$AU$5:$AU$2773, 0), 0), 0), 0) ))</f>
        <v>0</v>
      </c>
      <c r="I3">
        <f t="array" ref="I3">IF(WEEKDAY(I$1,2)&gt;=6, 0, SUM( IF(WBS!$J$5:$J$2773=$A3, IF(I$1&gt;=WBS!$K$5:$K$2773, IF(I$1&lt;=WBS!$L$5:$L$2773, IF(WBS!$AU$5:$AU$2773 &gt;0, WBS!$I$5:$I$2773 / WBS!$AU$5:$AU$2773, 0), 0), 0), 0) ))</f>
        <v>0</v>
      </c>
      <c r="J3">
        <f t="array" ref="J3">IF(WEEKDAY(J$1,2)&gt;=6, 0, SUM( IF(WBS!$J$5:$J$2773=$A3, IF(J$1&gt;=WBS!$K$5:$K$2773, IF(J$1&lt;=WBS!$L$5:$L$2773, IF(WBS!$AU$5:$AU$2773 &gt;0, WBS!$I$5:$I$2773 / WBS!$AU$5:$AU$2773, 0), 0), 0), 0) ))</f>
        <v>0</v>
      </c>
      <c r="K3">
        <f t="array" ref="K3">IF(WEEKDAY(K$1,2)&gt;=6, 0, SUM( IF(WBS!$J$5:$J$2773=$A3, IF(K$1&gt;=WBS!$K$5:$K$2773, IF(K$1&lt;=WBS!$L$5:$L$2773, IF(WBS!$AU$5:$AU$2773 &gt;0, WBS!$I$5:$I$2773 / WBS!$AU$5:$AU$2773, 0), 0), 0), 0) ))</f>
        <v>0</v>
      </c>
      <c r="L3">
        <f t="array" ref="L3">IF(WEEKDAY(L$1,2)&gt;=6, 0, SUM( IF(WBS!$J$5:$J$2773=$A3, IF(L$1&gt;=WBS!$K$5:$K$2773, IF(L$1&lt;=WBS!$L$5:$L$2773, IF(WBS!$AU$5:$AU$2773 &gt;0, WBS!$I$5:$I$2773 / WBS!$AU$5:$AU$2773, 0), 0), 0), 0) ))</f>
        <v>0</v>
      </c>
      <c r="M3">
        <f t="array" ref="M3">IF(WEEKDAY(M$1,2)&gt;=6, 0, SUM( IF(WBS!$J$5:$J$2773=$A3, IF(M$1&gt;=WBS!$K$5:$K$2773, IF(M$1&lt;=WBS!$L$5:$L$2773, IF(WBS!$AU$5:$AU$2773 &gt;0, WBS!$I$5:$I$2773 / WBS!$AU$5:$AU$2773, 0), 0), 0), 0) ))</f>
        <v>0</v>
      </c>
      <c r="N3">
        <f t="array" ref="N3">IF(WEEKDAY(N$1,2)&gt;=6, 0, SUM( IF(WBS!$J$5:$J$2773=$A3, IF(N$1&gt;=WBS!$K$5:$K$2773, IF(N$1&lt;=WBS!$L$5:$L$2773, IF(WBS!$AU$5:$AU$2773 &gt;0, WBS!$I$5:$I$2773 / WBS!$AU$5:$AU$2773, 0), 0), 0), 0) ))</f>
        <v>0</v>
      </c>
      <c r="O3">
        <f t="array" ref="O3">IF(WEEKDAY(O$1,2)&gt;=6, 0, SUM( IF(WBS!$J$5:$J$2773=$A3, IF(O$1&gt;=WBS!$K$5:$K$2773, IF(O$1&lt;=WBS!$L$5:$L$2773, IF(WBS!$AU$5:$AU$2773 &gt;0, WBS!$I$5:$I$2773 / WBS!$AU$5:$AU$2773, 0), 0), 0), 0) ))</f>
        <v>0</v>
      </c>
      <c r="P3">
        <f t="array" ref="P3">IF(WEEKDAY(P$1,2)&gt;=6, 0, SUM( IF(WBS!$J$5:$J$2773=$A3, IF(P$1&gt;=WBS!$K$5:$K$2773, IF(P$1&lt;=WBS!$L$5:$L$2773, IF(WBS!$AU$5:$AU$2773 &gt;0, WBS!$I$5:$I$2773 / WBS!$AU$5:$AU$2773, 0), 0), 0), 0) ))</f>
        <v>0</v>
      </c>
      <c r="Q3">
        <f t="array" ref="Q3">IF(WEEKDAY(Q$1,2)&gt;=6, 0, SUM( IF(WBS!$J$5:$J$2773=$A3, IF(Q$1&gt;=WBS!$K$5:$K$2773, IF(Q$1&lt;=WBS!$L$5:$L$2773, IF(WBS!$AU$5:$AU$2773 &gt;0, WBS!$I$5:$I$2773 / WBS!$AU$5:$AU$2773, 0), 0), 0), 0) ))</f>
        <v>0</v>
      </c>
      <c r="R3">
        <f t="array" ref="R3">IF(WEEKDAY(R$1,2)&gt;=6, 0, SUM( IF(WBS!$J$5:$J$2773=$A3, IF(R$1&gt;=WBS!$K$5:$K$2773, IF(R$1&lt;=WBS!$L$5:$L$2773, IF(WBS!$AU$5:$AU$2773 &gt;0, WBS!$I$5:$I$2773 / WBS!$AU$5:$AU$2773, 0), 0), 0), 0) ))</f>
        <v>0</v>
      </c>
      <c r="S3">
        <f t="array" ref="S3">IF(WEEKDAY(S$1,2)&gt;=6, 0, SUM( IF(WBS!$J$5:$J$2773=$A3, IF(S$1&gt;=WBS!$K$5:$K$2773, IF(S$1&lt;=WBS!$L$5:$L$2773, IF(WBS!$AU$5:$AU$2773 &gt;0, WBS!$I$5:$I$2773 / WBS!$AU$5:$AU$2773, 0), 0), 0), 0) ))</f>
        <v>0</v>
      </c>
      <c r="T3">
        <f t="array" ref="T3">IF(WEEKDAY(T$1,2)&gt;=6, 0, SUM( IF(WBS!$J$5:$J$2773=$A3, IF(T$1&gt;=WBS!$K$5:$K$2773, IF(T$1&lt;=WBS!$L$5:$L$2773, IF(WBS!$AU$5:$AU$2773 &gt;0, WBS!$I$5:$I$2773 / WBS!$AU$5:$AU$2773, 0), 0), 0), 0) ))</f>
        <v>0</v>
      </c>
      <c r="U3">
        <f t="array" ref="U3">IF(WEEKDAY(U$1,2)&gt;=6, 0, SUM( IF(WBS!$J$5:$J$2773=$A3, IF(U$1&gt;=WBS!$K$5:$K$2773, IF(U$1&lt;=WBS!$L$5:$L$2773, IF(WBS!$AU$5:$AU$2773 &gt;0, WBS!$I$5:$I$2773 / WBS!$AU$5:$AU$2773, 0), 0), 0), 0) ))</f>
        <v>0</v>
      </c>
      <c r="V3">
        <f t="array" ref="V3">IF(WEEKDAY(V$1,2)&gt;=6, 0, SUM( IF(WBS!$J$5:$J$2773=$A3, IF(V$1&gt;=WBS!$K$5:$K$2773, IF(V$1&lt;=WBS!$L$5:$L$2773, IF(WBS!$AU$5:$AU$2773 &gt;0, WBS!$I$5:$I$2773 / WBS!$AU$5:$AU$2773, 0), 0), 0), 0) ))</f>
        <v>0</v>
      </c>
      <c r="W3">
        <f t="array" ref="W3">IF(WEEKDAY(W$1,2)&gt;=6, 0, SUM( IF(WBS!$J$5:$J$2773=$A3, IF(W$1&gt;=WBS!$K$5:$K$2773, IF(W$1&lt;=WBS!$L$5:$L$2773, IF(WBS!$AU$5:$AU$2773 &gt;0, WBS!$I$5:$I$2773 / WBS!$AU$5:$AU$2773, 0), 0), 0), 0) ))</f>
        <v>0</v>
      </c>
      <c r="X3">
        <f t="array" ref="X3">IF(WEEKDAY(X$1,2)&gt;=6, 0, SUM( IF(WBS!$J$5:$J$2773=$A3, IF(X$1&gt;=WBS!$K$5:$K$2773, IF(X$1&lt;=WBS!$L$5:$L$2773, IF(WBS!$AU$5:$AU$2773 &gt;0, WBS!$I$5:$I$2773 / WBS!$AU$5:$AU$2773, 0), 0), 0), 0) ))</f>
        <v>0</v>
      </c>
      <c r="Y3">
        <f t="array" ref="Y3">IF(WEEKDAY(Y$1,2)&gt;=6, 0, SUM( IF(WBS!$J$5:$J$2773=$A3, IF(Y$1&gt;=WBS!$K$5:$K$2773, IF(Y$1&lt;=WBS!$L$5:$L$2773, IF(WBS!$AU$5:$AU$2773 &gt;0, WBS!$I$5:$I$2773 / WBS!$AU$5:$AU$2773, 0), 0), 0), 0) ))</f>
        <v>0</v>
      </c>
      <c r="Z3">
        <f t="array" ref="Z3">IF(WEEKDAY(Z$1,2)&gt;=6, 0, SUM( IF(WBS!$J$5:$J$2773=$A3, IF(Z$1&gt;=WBS!$K$5:$K$2773, IF(Z$1&lt;=WBS!$L$5:$L$2773, IF(WBS!$AU$5:$AU$2773 &gt;0, WBS!$I$5:$I$2773 / WBS!$AU$5:$AU$2773, 0), 0), 0), 0) ))</f>
        <v>0</v>
      </c>
      <c r="AA3">
        <f t="array" ref="AA3">IF(WEEKDAY(AA$1,2)&gt;=6, 0, SUM( IF(WBS!$J$5:$J$2773=$A3, IF(AA$1&gt;=WBS!$K$5:$K$2773, IF(AA$1&lt;=WBS!$L$5:$L$2773, IF(WBS!$AU$5:$AU$2773 &gt;0, WBS!$I$5:$I$2773 / WBS!$AU$5:$AU$2773, 0), 0), 0), 0) ))</f>
        <v>0</v>
      </c>
      <c r="AB3">
        <f t="array" ref="AB3">IF(WEEKDAY(AB$1,2)&gt;=6, 0, SUM( IF(WBS!$J$5:$J$2773=$A3, IF(AB$1&gt;=WBS!$K$5:$K$2773, IF(AB$1&lt;=WBS!$L$5:$L$2773, IF(WBS!$AU$5:$AU$2773 &gt;0, WBS!$I$5:$I$2773 / WBS!$AU$5:$AU$2773, 0), 0), 0), 0) ))</f>
        <v>0</v>
      </c>
      <c r="AC3">
        <f t="array" ref="AC3">IF(WEEKDAY(AC$1,2)&gt;=6, 0, SUM( IF(WBS!$J$5:$J$2773=$A3, IF(AC$1&gt;=WBS!$K$5:$K$2773, IF(AC$1&lt;=WBS!$L$5:$L$2773, IF(WBS!$AU$5:$AU$2773 &gt;0, WBS!$I$5:$I$2773 / WBS!$AU$5:$AU$2773, 0), 0), 0), 0) ))</f>
        <v>0</v>
      </c>
      <c r="AD3">
        <f t="array" ref="AD3">IF(WEEKDAY(AD$1,2)&gt;=6, 0, SUM( IF(WBS!$J$5:$J$2773=$A3, IF(AD$1&gt;=WBS!$K$5:$K$2773, IF(AD$1&lt;=WBS!$L$5:$L$2773, IF(WBS!$AU$5:$AU$2773 &gt;0, WBS!$I$5:$I$2773 / WBS!$AU$5:$AU$2773, 0), 0), 0), 0) ))</f>
        <v>0</v>
      </c>
      <c r="AE3">
        <f t="array" ref="AE3">IF(WEEKDAY(AE$1,2)&gt;=6, 0, SUM( IF(WBS!$J$5:$J$2773=$A3, IF(AE$1&gt;=WBS!$K$5:$K$2773, IF(AE$1&lt;=WBS!$L$5:$L$2773, IF(WBS!$AU$5:$AU$2773 &gt;0, WBS!$I$5:$I$2773 / WBS!$AU$5:$AU$2773, 0), 0), 0), 0) ))</f>
        <v>0</v>
      </c>
      <c r="AF3">
        <f t="array" ref="AF3">IF(WEEKDAY(AF$1,2)&gt;=6, 0, SUM( IF(WBS!$J$5:$J$2773=$A3, IF(AF$1&gt;=WBS!$K$5:$K$2773, IF(AF$1&lt;=WBS!$L$5:$L$2773, IF(WBS!$AU$5:$AU$2773 &gt;0, WBS!$I$5:$I$2773 / WBS!$AU$5:$AU$2773, 0), 0), 0), 0) ))</f>
        <v>0</v>
      </c>
      <c r="AG3">
        <f t="array" ref="AG3">IF(WEEKDAY(AG$1,2)&gt;=6, 0, SUM( IF(WBS!$J$5:$J$2773=$A3, IF(AG$1&gt;=WBS!$K$5:$K$2773, IF(AG$1&lt;=WBS!$L$5:$L$2773, IF(WBS!$AU$5:$AU$2773 &gt;0, WBS!$I$5:$I$2773 / WBS!$AU$5:$AU$2773, 0), 0), 0), 0) ))</f>
        <v>0</v>
      </c>
      <c r="AH3">
        <f t="array" ref="AH3">IF(WEEKDAY(AH$1,2)&gt;=6, 0, SUM( IF(WBS!$J$5:$J$2773=$A3, IF(AH$1&gt;=WBS!$K$5:$K$2773, IF(AH$1&lt;=WBS!$L$5:$L$2773, IF(WBS!$AU$5:$AU$2773 &gt;0, WBS!$I$5:$I$2773 / WBS!$AU$5:$AU$2773, 0), 0), 0), 0) ))</f>
        <v>0</v>
      </c>
      <c r="AI3">
        <f t="array" ref="AI3">IF(WEEKDAY(AI$1,2)&gt;=6, 0, SUM( IF(WBS!$J$5:$J$2773=$A3, IF(AI$1&gt;=WBS!$K$5:$K$2773, IF(AI$1&lt;=WBS!$L$5:$L$2773, IF(WBS!$AU$5:$AU$2773 &gt;0, WBS!$I$5:$I$2773 / WBS!$AU$5:$AU$2773, 0), 0), 0), 0) ))</f>
        <v>0</v>
      </c>
      <c r="AJ3">
        <f t="array" ref="AJ3">IF(WEEKDAY(AJ$1,2)&gt;=6, 0, SUM( IF(WBS!$J$5:$J$2773=$A3, IF(AJ$1&gt;=WBS!$K$5:$K$2773, IF(AJ$1&lt;=WBS!$L$5:$L$2773, IF(WBS!$AU$5:$AU$2773 &gt;0, WBS!$I$5:$I$2773 / WBS!$AU$5:$AU$2773, 0), 0), 0), 0) ))</f>
        <v>0</v>
      </c>
      <c r="AK3">
        <f t="array" ref="AK3">IF(WEEKDAY(AK$1,2)&gt;=6, 0, SUM( IF(WBS!$J$5:$J$2773=$A3, IF(AK$1&gt;=WBS!$K$5:$K$2773, IF(AK$1&lt;=WBS!$L$5:$L$2773, IF(WBS!$AU$5:$AU$2773 &gt;0, WBS!$I$5:$I$2773 / WBS!$AU$5:$AU$2773, 0), 0), 0), 0) ))</f>
        <v>0</v>
      </c>
      <c r="AL3">
        <f t="array" ref="AL3">IF(WEEKDAY(AL$1,2)&gt;=6, 0, SUM( IF(WBS!$J$5:$J$2773=$A3, IF(AL$1&gt;=WBS!$K$5:$K$2773, IF(AL$1&lt;=WBS!$L$5:$L$2773, IF(WBS!$AU$5:$AU$2773 &gt;0, WBS!$I$5:$I$2773 / WBS!$AU$5:$AU$2773, 0), 0), 0), 0) ))</f>
        <v>0</v>
      </c>
      <c r="AM3">
        <f t="array" ref="AM3">IF(WEEKDAY(AM$1,2)&gt;=6, 0, SUM( IF(WBS!$J$5:$J$2773=$A3, IF(AM$1&gt;=WBS!$K$5:$K$2773, IF(AM$1&lt;=WBS!$L$5:$L$2773, IF(WBS!$AU$5:$AU$2773 &gt;0, WBS!$I$5:$I$2773 / WBS!$AU$5:$AU$2773, 0), 0), 0), 0) ))</f>
        <v>0</v>
      </c>
      <c r="AN3">
        <f t="array" ref="AN3">IF(WEEKDAY(AN$1,2)&gt;=6, 0, SUM( IF(WBS!$J$5:$J$2773=$A3, IF(AN$1&gt;=WBS!$K$5:$K$2773, IF(AN$1&lt;=WBS!$L$5:$L$2773, IF(WBS!$AU$5:$AU$2773 &gt;0, WBS!$I$5:$I$2773 / WBS!$AU$5:$AU$2773, 0), 0), 0), 0) ))</f>
        <v>0</v>
      </c>
      <c r="AO3">
        <f t="array" ref="AO3">IF(WEEKDAY(AO$1,2)&gt;=6, 0, SUM( IF(WBS!$J$5:$J$2773=$A3, IF(AO$1&gt;=WBS!$K$5:$K$2773, IF(AO$1&lt;=WBS!$L$5:$L$2773, IF(WBS!$AU$5:$AU$2773 &gt;0, WBS!$I$5:$I$2773 / WBS!$AU$5:$AU$2773, 0), 0), 0), 0) ))</f>
        <v>0</v>
      </c>
      <c r="AP3">
        <f t="array" ref="AP3">IF(WEEKDAY(AP$1,2)&gt;=6, 0, SUM( IF(WBS!$J$5:$J$2773=$A3, IF(AP$1&gt;=WBS!$K$5:$K$2773, IF(AP$1&lt;=WBS!$L$5:$L$2773, IF(WBS!$AU$5:$AU$2773 &gt;0, WBS!$I$5:$I$2773 / WBS!$AU$5:$AU$2773, 0), 0), 0), 0) ))</f>
        <v>0</v>
      </c>
      <c r="AQ3">
        <f t="array" ref="AQ3">IF(WEEKDAY(AQ$1,2)&gt;=6, 0, SUM( IF(WBS!$J$5:$J$2773=$A3, IF(AQ$1&gt;=WBS!$K$5:$K$2773, IF(AQ$1&lt;=WBS!$L$5:$L$2773, IF(WBS!$AU$5:$AU$2773 &gt;0, WBS!$I$5:$I$2773 / WBS!$AU$5:$AU$2773, 0), 0), 0), 0) ))</f>
        <v>0</v>
      </c>
      <c r="AR3">
        <f t="array" ref="AR3">IF(WEEKDAY(AR$1,2)&gt;=6, 0, SUM( IF(WBS!$J$5:$J$2773=$A3, IF(AR$1&gt;=WBS!$K$5:$K$2773, IF(AR$1&lt;=WBS!$L$5:$L$2773, IF(WBS!$AU$5:$AU$2773 &gt;0, WBS!$I$5:$I$2773 / WBS!$AU$5:$AU$2773, 0), 0), 0), 0) ))</f>
        <v>0</v>
      </c>
      <c r="AS3">
        <f t="array" ref="AS3">IF(WEEKDAY(AS$1,2)&gt;=6, 0, SUM( IF(WBS!$J$5:$J$2773=$A3, IF(AS$1&gt;=WBS!$K$5:$K$2773, IF(AS$1&lt;=WBS!$L$5:$L$2773, IF(WBS!$AU$5:$AU$2773 &gt;0, WBS!$I$5:$I$2773 / WBS!$AU$5:$AU$2773, 0), 0), 0), 0) ))</f>
        <v>0</v>
      </c>
      <c r="AT3">
        <f t="array" ref="AT3">IF(WEEKDAY(AT$1,2)&gt;=6, 0, SUM( IF(WBS!$J$5:$J$2773=$A3, IF(AT$1&gt;=WBS!$K$5:$K$2773, IF(AT$1&lt;=WBS!$L$5:$L$2773, IF(WBS!$AU$5:$AU$2773 &gt;0, WBS!$I$5:$I$2773 / WBS!$AU$5:$AU$2773, 0), 0), 0), 0) ))</f>
        <v>0</v>
      </c>
      <c r="AU3">
        <f t="array" ref="AU3">IF(WEEKDAY(AU$1,2)&gt;=6, 0, SUM( IF(WBS!$J$5:$J$2773=$A3, IF(AU$1&gt;=WBS!$K$5:$K$2773, IF(AU$1&lt;=WBS!$L$5:$L$2773, IF(WBS!$AU$5:$AU$2773 &gt;0, WBS!$I$5:$I$2773 / WBS!$AU$5:$AU$2773, 0), 0), 0), 0) ))</f>
        <v>0</v>
      </c>
      <c r="AV3">
        <f t="array" ref="AV3">IF(WEEKDAY(AV$1,2)&gt;=6, 0, SUM( IF(WBS!$J$5:$J$2773=$A3, IF(AV$1&gt;=WBS!$K$5:$K$2773, IF(AV$1&lt;=WBS!$L$5:$L$2773, IF(WBS!$AU$5:$AU$2773 &gt;0, WBS!$I$5:$I$2773 / WBS!$AU$5:$AU$2773, 0), 0), 0), 0) ))</f>
        <v>0</v>
      </c>
      <c r="AW3">
        <f t="array" ref="AW3">IF(WEEKDAY(AW$1,2)&gt;=6, 0, SUM( IF(WBS!$J$5:$J$2773=$A3, IF(AW$1&gt;=WBS!$K$5:$K$2773, IF(AW$1&lt;=WBS!$L$5:$L$2773, IF(WBS!$AU$5:$AU$2773 &gt;0, WBS!$I$5:$I$2773 / WBS!$AU$5:$AU$2773, 0), 0), 0), 0) ))</f>
        <v>0</v>
      </c>
      <c r="AX3">
        <f t="array" ref="AX3">IF(WEEKDAY(AX$1,2)&gt;=6, 0, SUM( IF(WBS!$J$5:$J$2773=$A3, IF(AX$1&gt;=WBS!$K$5:$K$2773, IF(AX$1&lt;=WBS!$L$5:$L$2773, IF(WBS!$AU$5:$AU$2773 &gt;0, WBS!$I$5:$I$2773 / WBS!$AU$5:$AU$2773, 0), 0), 0), 0) ))</f>
        <v>0</v>
      </c>
      <c r="AY3">
        <f t="array" ref="AY3">IF(WEEKDAY(AY$1,2)&gt;=6, 0, SUM( IF(WBS!$J$5:$J$2773=$A3, IF(AY$1&gt;=WBS!$K$5:$K$2773, IF(AY$1&lt;=WBS!$L$5:$L$2773, IF(WBS!$AU$5:$AU$2773 &gt;0, WBS!$I$5:$I$2773 / WBS!$AU$5:$AU$2773, 0), 0), 0), 0) ))</f>
        <v>0</v>
      </c>
      <c r="AZ3">
        <f t="array" ref="AZ3">IF(WEEKDAY(AZ$1,2)&gt;=6, 0, SUM( IF(WBS!$J$5:$J$2773=$A3, IF(AZ$1&gt;=WBS!$K$5:$K$2773, IF(AZ$1&lt;=WBS!$L$5:$L$2773, IF(WBS!$AU$5:$AU$2773 &gt;0, WBS!$I$5:$I$2773 / WBS!$AU$5:$AU$2773, 0), 0), 0), 0) ))</f>
        <v>0</v>
      </c>
      <c r="BA3">
        <f t="array" ref="BA3">IF(WEEKDAY(BA$1,2)&gt;=6, 0, SUM( IF(WBS!$J$5:$J$2773=$A3, IF(BA$1&gt;=WBS!$K$5:$K$2773, IF(BA$1&lt;=WBS!$L$5:$L$2773, IF(WBS!$AU$5:$AU$2773 &gt;0, WBS!$I$5:$I$2773 / WBS!$AU$5:$AU$2773, 0), 0), 0), 0) ))</f>
        <v>0</v>
      </c>
      <c r="BB3">
        <f t="array" ref="BB3">IF(WEEKDAY(BB$1,2)&gt;=6, 0, SUM( IF(WBS!$J$5:$J$2773=$A3, IF(BB$1&gt;=WBS!$K$5:$K$2773, IF(BB$1&lt;=WBS!$L$5:$L$2773, IF(WBS!$AU$5:$AU$2773 &gt;0, WBS!$I$5:$I$2773 / WBS!$AU$5:$AU$2773, 0), 0), 0), 0) ))</f>
        <v>0</v>
      </c>
      <c r="BC3">
        <f t="array" ref="BC3">IF(WEEKDAY(BC$1,2)&gt;=6, 0, SUM( IF(WBS!$J$5:$J$2773=$A3, IF(BC$1&gt;=WBS!$K$5:$K$2773, IF(BC$1&lt;=WBS!$L$5:$L$2773, IF(WBS!$AU$5:$AU$2773 &gt;0, WBS!$I$5:$I$2773 / WBS!$AU$5:$AU$2773, 0), 0), 0), 0) ))</f>
        <v>0</v>
      </c>
      <c r="BD3">
        <f t="array" ref="BD3">IF(WEEKDAY(BD$1,2)&gt;=6, 0, SUM( IF(WBS!$J$5:$J$2773=$A3, IF(BD$1&gt;=WBS!$K$5:$K$2773, IF(BD$1&lt;=WBS!$L$5:$L$2773, IF(WBS!$AU$5:$AU$2773 &gt;0, WBS!$I$5:$I$2773 / WBS!$AU$5:$AU$2773, 0), 0), 0), 0) ))</f>
        <v>0</v>
      </c>
      <c r="BE3">
        <f t="array" ref="BE3">IF(WEEKDAY(BE$1,2)&gt;=6, 0, SUM( IF(WBS!$J$5:$J$2773=$A3, IF(BE$1&gt;=WBS!$K$5:$K$2773, IF(BE$1&lt;=WBS!$L$5:$L$2773, IF(WBS!$AU$5:$AU$2773 &gt;0, WBS!$I$5:$I$2773 / WBS!$AU$5:$AU$2773, 0), 0), 0), 0) ))</f>
        <v>0</v>
      </c>
      <c r="BF3">
        <f t="array" ref="BF3">IF(WEEKDAY(BF$1,2)&gt;=6, 0, SUM( IF(WBS!$J$5:$J$2773=$A3, IF(BF$1&gt;=WBS!$K$5:$K$2773, IF(BF$1&lt;=WBS!$L$5:$L$2773, IF(WBS!$AU$5:$AU$2773 &gt;0, WBS!$I$5:$I$2773 / WBS!$AU$5:$AU$2773, 0), 0), 0), 0) ))</f>
        <v>0</v>
      </c>
      <c r="BG3">
        <f t="array" ref="BG3">IF(WEEKDAY(BG$1,2)&gt;=6, 0, SUM( IF(WBS!$J$5:$J$2773=$A3, IF(BG$1&gt;=WBS!$K$5:$K$2773, IF(BG$1&lt;=WBS!$L$5:$L$2773, IF(WBS!$AU$5:$AU$2773 &gt;0, WBS!$I$5:$I$2773 / WBS!$AU$5:$AU$2773, 0), 0), 0), 0) ))</f>
        <v>0</v>
      </c>
      <c r="BH3">
        <f t="array" ref="BH3">IF(WEEKDAY(BH$1,2)&gt;=6, 0, SUM( IF(WBS!$J$5:$J$2773=$A3, IF(BH$1&gt;=WBS!$K$5:$K$2773, IF(BH$1&lt;=WBS!$L$5:$L$2773, IF(WBS!$AU$5:$AU$2773 &gt;0, WBS!$I$5:$I$2773 / WBS!$AU$5:$AU$2773, 0), 0), 0), 0) ))</f>
        <v>0</v>
      </c>
      <c r="BI3" s="42">
        <f t="array" ref="BI3">IF(WEEKDAY(BI$1,2)&gt;=6, 0, SUM( IF(WBS!$J$5:$J$2773=$A3, IF(BI$1&gt;=WBS!$K$5:$K$2773, IF(BI$1&lt;=WBS!$L$5:$L$2773, IF(WBS!$AU$5:$AU$2773 &gt;0, WBS!$I$5:$I$2773 / WBS!$AU$5:$AU$2773, 0), 0), 0), 0) ))</f>
        <v>0</v>
      </c>
      <c r="BJ3" s="42">
        <f t="array" ref="BJ3">IF(WEEKDAY(BJ$1,2)&gt;=6, 0, SUM( IF(WBS!$J$5:$J$2773=$A3, IF(BJ$1&gt;=WBS!$K$5:$K$2773, IF(BJ$1&lt;=WBS!$L$5:$L$2773, IF(WBS!$AU$5:$AU$2773 &gt;0, WBS!$I$5:$I$2773 / WBS!$AU$5:$AU$2773, 0), 0), 0), 0) ))</f>
        <v>0</v>
      </c>
      <c r="BK3">
        <f t="array" ref="BK3">IF(WEEKDAY(BK$1,2)&gt;=6, 0, SUM( IF(WBS!$J$5:$J$2773=$A3, IF(BK$1&gt;=WBS!$K$5:$K$2773, IF(BK$1&lt;=WBS!$L$5:$L$2773, IF(WBS!$AU$5:$AU$2773 &gt;0, WBS!$I$5:$I$2773 / WBS!$AU$5:$AU$2773, 0), 0), 0), 0) ))</f>
        <v>0</v>
      </c>
      <c r="BL3">
        <f t="array" ref="BL3">IF(WEEKDAY(BL$1,2)&gt;=6, 0, SUM( IF(WBS!$J$5:$J$2773=$A3, IF(BL$1&gt;=WBS!$K$5:$K$2773, IF(BL$1&lt;=WBS!$L$5:$L$2773, IF(WBS!$AU$5:$AU$2773 &gt;0, WBS!$I$5:$I$2773 / WBS!$AU$5:$AU$2773, 0), 0), 0), 0) ))</f>
        <v>0</v>
      </c>
      <c r="BM3">
        <f t="array" ref="BM3">IF(WEEKDAY(BM$1,2)&gt;=6, 0, SUM( IF(WBS!$J$5:$J$2773=$A3, IF(BM$1&gt;=WBS!$K$5:$K$2773, IF(BM$1&lt;=WBS!$L$5:$L$2773, IF(WBS!$AU$5:$AU$2773 &gt;0, WBS!$I$5:$I$2773 / WBS!$AU$5:$AU$2773, 0), 0), 0), 0) ))</f>
        <v>0</v>
      </c>
      <c r="BN3">
        <f t="array" ref="BN3">IF(WEEKDAY(BN$1,2)&gt;=6, 0, SUM( IF(WBS!$J$5:$J$2773=$A3, IF(BN$1&gt;=WBS!$K$5:$K$2773, IF(BN$1&lt;=WBS!$L$5:$L$2773, IF(WBS!$AU$5:$AU$2773 &gt;0, WBS!$I$5:$I$2773 / WBS!$AU$5:$AU$2773, 0), 0), 0), 0) ))</f>
        <v>0</v>
      </c>
      <c r="BO3">
        <f t="array" ref="BO3">IF(WEEKDAY(BO$1,2)&gt;=6, 0, SUM( IF(WBS!$J$5:$J$2773=$A3, IF(BO$1&gt;=WBS!$K$5:$K$2773, IF(BO$1&lt;=WBS!$L$5:$L$2773, IF(WBS!$AU$5:$AU$2773 &gt;0, WBS!$I$5:$I$2773 / WBS!$AU$5:$AU$2773, 0), 0), 0), 0) ))</f>
        <v>0</v>
      </c>
      <c r="BP3" s="42">
        <f t="array" ref="BP3">IF(WEEKDAY(BP$1,2)&gt;=6, 0, SUM( IF(WBS!$J$5:$J$2773=$A3, IF(BP$1&gt;=WBS!$K$5:$K$2773, IF(BP$1&lt;=WBS!$L$5:$L$2773, IF(WBS!$AU$5:$AU$2773 &gt;0, WBS!$I$5:$I$2773 / WBS!$AU$5:$AU$2773, 0), 0), 0), 0) ))</f>
        <v>0</v>
      </c>
      <c r="BQ3" s="42">
        <f t="array" ref="BQ3">IF(WEEKDAY(BQ$1,2)&gt;=6, 0, SUM( IF(WBS!$J$5:$J$2773=$A3, IF(BQ$1&gt;=WBS!$K$5:$K$2773, IF(BQ$1&lt;=WBS!$L$5:$L$2773, IF(WBS!$AU$5:$AU$2773 &gt;0, WBS!$I$5:$I$2773 / WBS!$AU$5:$AU$2773, 0), 0), 0), 0) ))</f>
        <v>0</v>
      </c>
      <c r="BR3">
        <f t="array" ref="BR3">IF(WEEKDAY(BR$1,2)&gt;=6, 0, SUM( IF(WBS!$J$5:$J$2773=$A3, IF(BR$1&gt;=WBS!$K$5:$K$2773, IF(BR$1&lt;=WBS!$L$5:$L$2773, IF(WBS!$AU$5:$AU$2773 &gt;0, WBS!$I$5:$I$2773 / WBS!$AU$5:$AU$2773, 0), 0), 0), 0) ))</f>
        <v>0</v>
      </c>
      <c r="BS3">
        <f t="array" ref="BS3">IF(WEEKDAY(BS$1,2)&gt;=6, 0, SUM( IF(WBS!$J$5:$J$2773=$A3, IF(BS$1&gt;=WBS!$K$5:$K$2773, IF(BS$1&lt;=WBS!$L$5:$L$2773, IF(WBS!$AU$5:$AU$2773 &gt;0, WBS!$I$5:$I$2773 / WBS!$AU$5:$AU$2773, 0), 0), 0), 0) ))</f>
        <v>0</v>
      </c>
      <c r="BT3">
        <f t="array" ref="BT3">IF(WEEKDAY(BT$1,2)&gt;=6, 0, SUM( IF(WBS!$J$5:$J$2773=$A3, IF(BT$1&gt;=WBS!$K$5:$K$2773, IF(BT$1&lt;=WBS!$L$5:$L$2773, IF(WBS!$AU$5:$AU$2773 &gt;0, WBS!$I$5:$I$2773 / WBS!$AU$5:$AU$2773, 0), 0), 0), 0) ))</f>
        <v>0</v>
      </c>
      <c r="BU3">
        <f t="array" ref="BU3">IF(WEEKDAY(BU$1,2)&gt;=6, 0, SUM( IF(WBS!$J$5:$J$2773=$A3, IF(BU$1&gt;=WBS!$K$5:$K$2773, IF(BU$1&lt;=WBS!$L$5:$L$2773, IF(WBS!$AU$5:$AU$2773 &gt;0, WBS!$I$5:$I$2773 / WBS!$AU$5:$AU$2773, 0), 0), 0), 0) ))</f>
        <v>0</v>
      </c>
      <c r="BV3">
        <f t="array" ref="BV3">IF(WEEKDAY(BV$1,2)&gt;=6, 0, SUM( IF(WBS!$J$5:$J$2773=$A3, IF(BV$1&gt;=WBS!$K$5:$K$2773, IF(BV$1&lt;=WBS!$L$5:$L$2773, IF(WBS!$AU$5:$AU$2773 &gt;0, WBS!$I$5:$I$2773 / WBS!$AU$5:$AU$2773, 0), 0), 0), 0) ))</f>
        <v>0</v>
      </c>
      <c r="BW3" s="42">
        <f t="array" ref="BW3">IF(WEEKDAY(BW$1,2)&gt;=6, 0, SUM( IF(WBS!$J$5:$J$2773=$A3, IF(BW$1&gt;=WBS!$K$5:$K$2773, IF(BW$1&lt;=WBS!$L$5:$L$2773, IF(WBS!$AU$5:$AU$2773 &gt;0, WBS!$I$5:$I$2773 / WBS!$AU$5:$AU$2773, 0), 0), 0), 0) ))</f>
        <v>0</v>
      </c>
      <c r="BX3" s="42">
        <f t="array" ref="BX3">IF(WEEKDAY(BX$1,2)&gt;=6, 0, SUM( IF(WBS!$J$5:$J$2773=$A3, IF(BX$1&gt;=WBS!$K$5:$K$2773, IF(BX$1&lt;=WBS!$L$5:$L$2773, IF(WBS!$AU$5:$AU$2773 &gt;0, WBS!$I$5:$I$2773 / WBS!$AU$5:$AU$2773, 0), 0), 0), 0) ))</f>
        <v>0</v>
      </c>
      <c r="BY3">
        <f t="array" ref="BY3">IF(WEEKDAY(BY$1,2)&gt;=6, 0, SUM( IF(WBS!$J$5:$J$2773=$A3, IF(BY$1&gt;=WBS!$K$5:$K$2773, IF(BY$1&lt;=WBS!$L$5:$L$2773, IF(WBS!$AU$5:$AU$2773 &gt;0, WBS!$I$5:$I$2773 / WBS!$AU$5:$AU$2773, 0), 0), 0), 0) ))</f>
        <v>0</v>
      </c>
      <c r="BZ3">
        <f t="array" ref="BZ3">IF(WEEKDAY(BZ$1,2)&gt;=6, 0, SUM( IF(WBS!$J$5:$J$2773=$A3, IF(BZ$1&gt;=WBS!$K$5:$K$2773, IF(BZ$1&lt;=WBS!$L$5:$L$2773, IF(WBS!$AU$5:$AU$2773 &gt;0, WBS!$I$5:$I$2773 / WBS!$AU$5:$AU$2773, 0), 0), 0), 0) ))</f>
        <v>0</v>
      </c>
      <c r="CA3">
        <f t="array" ref="CA3">IF(WEEKDAY(CA$1,2)&gt;=6, 0, SUM( IF(WBS!$J$5:$J$2773=$A3, IF(CA$1&gt;=WBS!$K$5:$K$2773, IF(CA$1&lt;=WBS!$L$5:$L$2773, IF(WBS!$AU$5:$AU$2773 &gt;0, WBS!$I$5:$I$2773 / WBS!$AU$5:$AU$2773, 0), 0), 0), 0) ))</f>
        <v>0</v>
      </c>
      <c r="CB3">
        <f t="array" ref="CB3">IF(WEEKDAY(CB$1,2)&gt;=6, 0, SUM( IF(WBS!$J$5:$J$2773=$A3, IF(CB$1&gt;=WBS!$K$5:$K$2773, IF(CB$1&lt;=WBS!$L$5:$L$2773, IF(WBS!$AU$5:$AU$2773 &gt;0, WBS!$I$5:$I$2773 / WBS!$AU$5:$AU$2773, 0), 0), 0), 0) ))</f>
        <v>0</v>
      </c>
      <c r="CC3">
        <f t="array" ref="CC3">IF(WEEKDAY(CC$1,2)&gt;=6, 0, SUM( IF(WBS!$J$5:$J$2773=$A3, IF(CC$1&gt;=WBS!$K$5:$K$2773, IF(CC$1&lt;=WBS!$L$5:$L$2773, IF(WBS!$AU$5:$AU$2773 &gt;0, WBS!$I$5:$I$2773 / WBS!$AU$5:$AU$2773, 0), 0), 0), 0) ))</f>
        <v>0</v>
      </c>
      <c r="CD3" s="42">
        <f t="array" ref="CD3">IF(WEEKDAY(CD$1,2)&gt;=6, 0, SUM( IF(WBS!$J$5:$J$2773=$A3, IF(CD$1&gt;=WBS!$K$5:$K$2773, IF(CD$1&lt;=WBS!$L$5:$L$2773, IF(WBS!$AU$5:$AU$2773 &gt;0, WBS!$I$5:$I$2773 / WBS!$AU$5:$AU$2773, 0), 0), 0), 0) ))</f>
        <v>0</v>
      </c>
      <c r="CE3" s="42">
        <f t="array" ref="CE3">IF(WEEKDAY(CE$1,2)&gt;=6, 0, SUM( IF(WBS!$J$5:$J$2773=$A3, IF(CE$1&gt;=WBS!$K$5:$K$2773, IF(CE$1&lt;=WBS!$L$5:$L$2773, IF(WBS!$AU$5:$AU$2773 &gt;0, WBS!$I$5:$I$2773 / WBS!$AU$5:$AU$2773, 0), 0), 0), 0) ))</f>
        <v>0</v>
      </c>
      <c r="CF3">
        <f t="array" ref="CF3">IF(WEEKDAY(CF$1,2)&gt;=6, 0, SUM( IF(WBS!$J$5:$J$2773=$A3, IF(CF$1&gt;=WBS!$K$5:$K$2773, IF(CF$1&lt;=WBS!$L$5:$L$2773, IF(WBS!$AU$5:$AU$2773 &gt;0, WBS!$I$5:$I$2773 / WBS!$AU$5:$AU$2773, 0), 0), 0), 0) ))</f>
        <v>0</v>
      </c>
      <c r="CG3">
        <f t="array" ref="CG3">IF(WEEKDAY(CG$1,2)&gt;=6, 0, SUM( IF(WBS!$J$5:$J$2773=$A3, IF(CG$1&gt;=WBS!$K$5:$K$2773, IF(CG$1&lt;=WBS!$L$5:$L$2773, IF(WBS!$AU$5:$AU$2773 &gt;0, WBS!$I$5:$I$2773 / WBS!$AU$5:$AU$2773, 0), 0), 0), 0) ))</f>
        <v>0</v>
      </c>
      <c r="CH3">
        <f t="array" ref="CH3">IF(WEEKDAY(CH$1,2)&gt;=6, 0, SUM( IF(WBS!$J$5:$J$2773=$A3, IF(CH$1&gt;=WBS!$K$5:$K$2773, IF(CH$1&lt;=WBS!$L$5:$L$2773, IF(WBS!$AU$5:$AU$2773 &gt;0, WBS!$I$5:$I$2773 / WBS!$AU$5:$AU$2773, 0), 0), 0), 0) ))</f>
        <v>0</v>
      </c>
      <c r="CI3" s="274"/>
      <c r="CK3" s="42"/>
      <c r="CL3" s="42"/>
      <c r="CR3" s="42"/>
      <c r="CS3" s="42"/>
      <c r="CY3" s="42"/>
      <c r="CZ3" s="42"/>
      <c r="DF3" s="42"/>
      <c r="DG3" s="42"/>
      <c r="DM3" s="42"/>
      <c r="DN3" s="42"/>
      <c r="DT3" s="42"/>
      <c r="DU3" s="42"/>
      <c r="EA3" s="276"/>
      <c r="EB3" s="276"/>
      <c r="EC3" s="274"/>
      <c r="ED3" s="274"/>
      <c r="EE3" s="274"/>
      <c r="EF3" s="274"/>
      <c r="EG3" s="274"/>
      <c r="EH3" s="274"/>
      <c r="EI3" s="274"/>
      <c r="EJ3" s="274"/>
      <c r="EO3" s="42"/>
      <c r="EP3" s="42"/>
      <c r="EV3" s="42"/>
      <c r="EW3" s="42"/>
      <c r="FC3" s="42"/>
      <c r="FD3" s="42"/>
      <c r="FJ3" s="42"/>
      <c r="FK3" s="42"/>
      <c r="FQ3" s="42"/>
      <c r="FR3" s="42"/>
      <c r="FX3" s="42"/>
      <c r="FY3" s="42"/>
      <c r="FZ3" s="274"/>
      <c r="GE3" s="42"/>
      <c r="GF3" s="42"/>
      <c r="GL3" s="42"/>
      <c r="GM3" s="42"/>
      <c r="GS3" s="42"/>
      <c r="GT3" s="42"/>
      <c r="GY3" s="274"/>
      <c r="GZ3" s="42"/>
      <c r="HA3" s="42"/>
      <c r="HB3" s="274"/>
      <c r="HC3" s="274"/>
      <c r="HG3" s="42"/>
      <c r="HH3" s="42"/>
      <c r="HN3" s="42"/>
      <c r="HO3" s="42"/>
      <c r="HU3" s="42"/>
      <c r="HV3" s="42"/>
      <c r="IB3" s="42"/>
      <c r="IC3" s="42"/>
      <c r="II3" s="42"/>
      <c r="IJ3" s="42"/>
      <c r="IP3" s="42"/>
      <c r="IQ3" s="42"/>
      <c r="IV3" s="274"/>
      <c r="IW3" s="42"/>
      <c r="IX3" s="42"/>
      <c r="JD3" s="42"/>
      <c r="JE3" s="42"/>
      <c r="JK3" s="42"/>
      <c r="JL3" s="42"/>
      <c r="JR3" s="42"/>
      <c r="JS3" s="42"/>
      <c r="JY3" s="42"/>
      <c r="JZ3" s="42"/>
      <c r="KF3" s="42"/>
      <c r="KG3" s="42"/>
      <c r="KM3" s="42"/>
      <c r="KN3" s="42"/>
      <c r="KT3" s="42"/>
      <c r="KU3" s="42"/>
      <c r="LA3" s="42"/>
      <c r="LB3" s="42"/>
      <c r="LH3" s="42"/>
      <c r="LI3" s="42"/>
      <c r="LO3" s="42"/>
      <c r="LP3" s="42"/>
      <c r="LV3" s="42"/>
      <c r="LW3" s="42"/>
      <c r="MC3" s="42"/>
      <c r="MD3" s="42"/>
      <c r="MJ3" s="42"/>
      <c r="MK3" s="42"/>
      <c r="MP3" s="274"/>
      <c r="MQ3" s="42"/>
      <c r="MR3" s="276"/>
      <c r="MV3" s="274"/>
      <c r="MW3" s="274"/>
      <c r="MX3" s="42"/>
      <c r="MY3" s="42"/>
      <c r="MZ3" s="274"/>
      <c r="NA3" s="274"/>
      <c r="NB3" s="274"/>
      <c r="NE3" s="276"/>
      <c r="NF3" s="42"/>
      <c r="NL3" s="42"/>
      <c r="NM3" s="42"/>
      <c r="NS3" s="42"/>
      <c r="NT3" s="42"/>
      <c r="NZ3" s="42"/>
      <c r="OA3" s="42"/>
      <c r="OG3" s="42"/>
      <c r="OH3" s="42"/>
      <c r="ON3" s="42"/>
      <c r="OO3" s="42"/>
      <c r="OU3" s="42"/>
      <c r="OV3" s="42"/>
      <c r="PB3" s="42"/>
      <c r="PC3" s="42"/>
      <c r="PI3" s="42"/>
      <c r="PJ3" s="42"/>
      <c r="PP3" s="42"/>
      <c r="PQ3" s="42"/>
      <c r="PW3" s="42"/>
      <c r="PX3" s="42"/>
      <c r="QD3" s="42"/>
      <c r="QE3" s="42"/>
    </row>
    <row r="4" spans="1:451" s="44" customFormat="1">
      <c r="A4" s="44" t="s">
        <v>4</v>
      </c>
      <c r="B4" s="44" t="s">
        <v>85</v>
      </c>
      <c r="C4">
        <f t="array" ref="C4">IF(WEEKDAY(C$1,2)&gt;=6, 0, SUM( IF(WBS!$J$5:$J$2773=$A4, IF(C$1&gt;=WBS!$K$5:$K$2773, IF(C$1&lt;=WBS!$L$5:$L$2773, IF(WBS!$AU$5:$AU$2773 &gt;0, WBS!$I$5:$I$2773 / WBS!$AU$5:$AU$2773, 0), 0), 0), 0) ))</f>
        <v>0</v>
      </c>
      <c r="D4">
        <f t="array" ref="D4">IF(WEEKDAY(D$1,2)&gt;=6, 0, SUM( IF(WBS!$J$5:$J$2773=$A4, IF(D$1&gt;=WBS!$K$5:$K$2773, IF(D$1&lt;=WBS!$L$5:$L$2773, IF(WBS!$AU$5:$AU$2773 &gt;0, WBS!$I$5:$I$2773 / WBS!$AU$5:$AU$2773, 0), 0), 0), 0) ))</f>
        <v>0</v>
      </c>
      <c r="E4">
        <f t="array" ref="E4">IF(WEEKDAY(E$1,2)&gt;=6, 0, SUM( IF(WBS!$J$5:$J$2773=$A4, IF(E$1&gt;=WBS!$K$5:$K$2773, IF(E$1&lt;=WBS!$L$5:$L$2773, IF(WBS!$AU$5:$AU$2773 &gt;0, WBS!$I$5:$I$2773 / WBS!$AU$5:$AU$2773, 0), 0), 0), 0) ))</f>
        <v>0</v>
      </c>
      <c r="F4">
        <f t="array" ref="F4">IF(WEEKDAY(F$1,2)&gt;=6, 0, SUM( IF(WBS!$J$5:$J$2773=$A4, IF(F$1&gt;=WBS!$K$5:$K$2773, IF(F$1&lt;=WBS!$L$5:$L$2773, IF(WBS!$AU$5:$AU$2773 &gt;0, WBS!$I$5:$I$2773 / WBS!$AU$5:$AU$2773, 0), 0), 0), 0) ))</f>
        <v>0</v>
      </c>
      <c r="G4">
        <f t="array" ref="G4">IF(WEEKDAY(G$1,2)&gt;=6, 0, SUM( IF(WBS!$J$5:$J$2773=$A4, IF(G$1&gt;=WBS!$K$5:$K$2773, IF(G$1&lt;=WBS!$L$5:$L$2773, IF(WBS!$AU$5:$AU$2773 &gt;0, WBS!$I$5:$I$2773 / WBS!$AU$5:$AU$2773, 0), 0), 0), 0) ))</f>
        <v>0</v>
      </c>
      <c r="H4">
        <f t="array" ref="H4">IF(WEEKDAY(H$1,2)&gt;=6, 0, SUM( IF(WBS!$J$5:$J$2773=$A4, IF(H$1&gt;=WBS!$K$5:$K$2773, IF(H$1&lt;=WBS!$L$5:$L$2773, IF(WBS!$AU$5:$AU$2773 &gt;0, WBS!$I$5:$I$2773 / WBS!$AU$5:$AU$2773, 0), 0), 0), 0) ))</f>
        <v>0</v>
      </c>
      <c r="I4">
        <f t="array" ref="I4">IF(WEEKDAY(I$1,2)&gt;=6, 0, SUM( IF(WBS!$J$5:$J$2773=$A4, IF(I$1&gt;=WBS!$K$5:$K$2773, IF(I$1&lt;=WBS!$L$5:$L$2773, IF(WBS!$AU$5:$AU$2773 &gt;0, WBS!$I$5:$I$2773 / WBS!$AU$5:$AU$2773, 0), 0), 0), 0) ))</f>
        <v>0</v>
      </c>
      <c r="J4">
        <f t="array" ref="J4">IF(WEEKDAY(J$1,2)&gt;=6, 0, SUM( IF(WBS!$J$5:$J$2773=$A4, IF(J$1&gt;=WBS!$K$5:$K$2773, IF(J$1&lt;=WBS!$L$5:$L$2773, IF(WBS!$AU$5:$AU$2773 &gt;0, WBS!$I$5:$I$2773 / WBS!$AU$5:$AU$2773, 0), 0), 0), 0) ))</f>
        <v>0</v>
      </c>
      <c r="K4">
        <f t="array" ref="K4">IF(WEEKDAY(K$1,2)&gt;=6, 0, SUM( IF(WBS!$J$5:$J$2773=$A4, IF(K$1&gt;=WBS!$K$5:$K$2773, IF(K$1&lt;=WBS!$L$5:$L$2773, IF(WBS!$AU$5:$AU$2773 &gt;0, WBS!$I$5:$I$2773 / WBS!$AU$5:$AU$2773, 0), 0), 0), 0) ))</f>
        <v>0</v>
      </c>
      <c r="L4">
        <f t="array" ref="L4">IF(WEEKDAY(L$1,2)&gt;=6, 0, SUM( IF(WBS!$J$5:$J$2773=$A4, IF(L$1&gt;=WBS!$K$5:$K$2773, IF(L$1&lt;=WBS!$L$5:$L$2773, IF(WBS!$AU$5:$AU$2773 &gt;0, WBS!$I$5:$I$2773 / WBS!$AU$5:$AU$2773, 0), 0), 0), 0) ))</f>
        <v>0</v>
      </c>
      <c r="M4">
        <f t="array" ref="M4">IF(WEEKDAY(M$1,2)&gt;=6, 0, SUM( IF(WBS!$J$5:$J$2773=$A4, IF(M$1&gt;=WBS!$K$5:$K$2773, IF(M$1&lt;=WBS!$L$5:$L$2773, IF(WBS!$AU$5:$AU$2773 &gt;0, WBS!$I$5:$I$2773 / WBS!$AU$5:$AU$2773, 0), 0), 0), 0) ))</f>
        <v>0</v>
      </c>
      <c r="N4">
        <f t="array" ref="N4">IF(WEEKDAY(N$1,2)&gt;=6, 0, SUM( IF(WBS!$J$5:$J$2773=$A4, IF(N$1&gt;=WBS!$K$5:$K$2773, IF(N$1&lt;=WBS!$L$5:$L$2773, IF(WBS!$AU$5:$AU$2773 &gt;0, WBS!$I$5:$I$2773 / WBS!$AU$5:$AU$2773, 0), 0), 0), 0) ))</f>
        <v>0</v>
      </c>
      <c r="O4">
        <f t="array" ref="O4">IF(WEEKDAY(O$1,2)&gt;=6, 0, SUM( IF(WBS!$J$5:$J$2773=$A4, IF(O$1&gt;=WBS!$K$5:$K$2773, IF(O$1&lt;=WBS!$L$5:$L$2773, IF(WBS!$AU$5:$AU$2773 &gt;0, WBS!$I$5:$I$2773 / WBS!$AU$5:$AU$2773, 0), 0), 0), 0) ))</f>
        <v>0</v>
      </c>
      <c r="P4">
        <f t="array" ref="P4">IF(WEEKDAY(P$1,2)&gt;=6, 0, SUM( IF(WBS!$J$5:$J$2773=$A4, IF(P$1&gt;=WBS!$K$5:$K$2773, IF(P$1&lt;=WBS!$L$5:$L$2773, IF(WBS!$AU$5:$AU$2773 &gt;0, WBS!$I$5:$I$2773 / WBS!$AU$5:$AU$2773, 0), 0), 0), 0) ))</f>
        <v>0</v>
      </c>
      <c r="Q4">
        <f t="array" ref="Q4">IF(WEEKDAY(Q$1,2)&gt;=6, 0, SUM( IF(WBS!$J$5:$J$2773=$A4, IF(Q$1&gt;=WBS!$K$5:$K$2773, IF(Q$1&lt;=WBS!$L$5:$L$2773, IF(WBS!$AU$5:$AU$2773 &gt;0, WBS!$I$5:$I$2773 / WBS!$AU$5:$AU$2773, 0), 0), 0), 0) ))</f>
        <v>0</v>
      </c>
      <c r="R4">
        <f t="array" ref="R4">IF(WEEKDAY(R$1,2)&gt;=6, 0, SUM( IF(WBS!$J$5:$J$2773=$A4, IF(R$1&gt;=WBS!$K$5:$K$2773, IF(R$1&lt;=WBS!$L$5:$L$2773, IF(WBS!$AU$5:$AU$2773 &gt;0, WBS!$I$5:$I$2773 / WBS!$AU$5:$AU$2773, 0), 0), 0), 0) ))</f>
        <v>0</v>
      </c>
      <c r="S4">
        <f t="array" ref="S4">IF(WEEKDAY(S$1,2)&gt;=6, 0, SUM( IF(WBS!$J$5:$J$2773=$A4, IF(S$1&gt;=WBS!$K$5:$K$2773, IF(S$1&lt;=WBS!$L$5:$L$2773, IF(WBS!$AU$5:$AU$2773 &gt;0, WBS!$I$5:$I$2773 / WBS!$AU$5:$AU$2773, 0), 0), 0), 0) ))</f>
        <v>0</v>
      </c>
      <c r="T4">
        <f t="array" ref="T4">IF(WEEKDAY(T$1,2)&gt;=6, 0, SUM( IF(WBS!$J$5:$J$2773=$A4, IF(T$1&gt;=WBS!$K$5:$K$2773, IF(T$1&lt;=WBS!$L$5:$L$2773, IF(WBS!$AU$5:$AU$2773 &gt;0, WBS!$I$5:$I$2773 / WBS!$AU$5:$AU$2773, 0), 0), 0), 0) ))</f>
        <v>0</v>
      </c>
      <c r="U4">
        <f t="array" ref="U4">IF(WEEKDAY(U$1,2)&gt;=6, 0, SUM( IF(WBS!$J$5:$J$2773=$A4, IF(U$1&gt;=WBS!$K$5:$K$2773, IF(U$1&lt;=WBS!$L$5:$L$2773, IF(WBS!$AU$5:$AU$2773 &gt;0, WBS!$I$5:$I$2773 / WBS!$AU$5:$AU$2773, 0), 0), 0), 0) ))</f>
        <v>0</v>
      </c>
      <c r="V4">
        <f t="array" ref="V4">IF(WEEKDAY(V$1,2)&gt;=6, 0, SUM( IF(WBS!$J$5:$J$2773=$A4, IF(V$1&gt;=WBS!$K$5:$K$2773, IF(V$1&lt;=WBS!$L$5:$L$2773, IF(WBS!$AU$5:$AU$2773 &gt;0, WBS!$I$5:$I$2773 / WBS!$AU$5:$AU$2773, 0), 0), 0), 0) ))</f>
        <v>0</v>
      </c>
      <c r="W4">
        <f t="array" ref="W4">IF(WEEKDAY(W$1,2)&gt;=6, 0, SUM( IF(WBS!$J$5:$J$2773=$A4, IF(W$1&gt;=WBS!$K$5:$K$2773, IF(W$1&lt;=WBS!$L$5:$L$2773, IF(WBS!$AU$5:$AU$2773 &gt;0, WBS!$I$5:$I$2773 / WBS!$AU$5:$AU$2773, 0), 0), 0), 0) ))</f>
        <v>0</v>
      </c>
      <c r="X4">
        <f t="array" ref="X4">IF(WEEKDAY(X$1,2)&gt;=6, 0, SUM( IF(WBS!$J$5:$J$2773=$A4, IF(X$1&gt;=WBS!$K$5:$K$2773, IF(X$1&lt;=WBS!$L$5:$L$2773, IF(WBS!$AU$5:$AU$2773 &gt;0, WBS!$I$5:$I$2773 / WBS!$AU$5:$AU$2773, 0), 0), 0), 0) ))</f>
        <v>0</v>
      </c>
      <c r="Y4">
        <f t="array" ref="Y4">IF(WEEKDAY(Y$1,2)&gt;=6, 0, SUM( IF(WBS!$J$5:$J$2773=$A4, IF(Y$1&gt;=WBS!$K$5:$K$2773, IF(Y$1&lt;=WBS!$L$5:$L$2773, IF(WBS!$AU$5:$AU$2773 &gt;0, WBS!$I$5:$I$2773 / WBS!$AU$5:$AU$2773, 0), 0), 0), 0) ))</f>
        <v>0</v>
      </c>
      <c r="Z4">
        <f t="array" ref="Z4">IF(WEEKDAY(Z$1,2)&gt;=6, 0, SUM( IF(WBS!$J$5:$J$2773=$A4, IF(Z$1&gt;=WBS!$K$5:$K$2773, IF(Z$1&lt;=WBS!$L$5:$L$2773, IF(WBS!$AU$5:$AU$2773 &gt;0, WBS!$I$5:$I$2773 / WBS!$AU$5:$AU$2773, 0), 0), 0), 0) ))</f>
        <v>0</v>
      </c>
      <c r="AA4">
        <f t="array" ref="AA4">IF(WEEKDAY(AA$1,2)&gt;=6, 0, SUM( IF(WBS!$J$5:$J$2773=$A4, IF(AA$1&gt;=WBS!$K$5:$K$2773, IF(AA$1&lt;=WBS!$L$5:$L$2773, IF(WBS!$AU$5:$AU$2773 &gt;0, WBS!$I$5:$I$2773 / WBS!$AU$5:$AU$2773, 0), 0), 0), 0) ))</f>
        <v>0</v>
      </c>
      <c r="AB4">
        <f t="array" ref="AB4">IF(WEEKDAY(AB$1,2)&gt;=6, 0, SUM( IF(WBS!$J$5:$J$2773=$A4, IF(AB$1&gt;=WBS!$K$5:$K$2773, IF(AB$1&lt;=WBS!$L$5:$L$2773, IF(WBS!$AU$5:$AU$2773 &gt;0, WBS!$I$5:$I$2773 / WBS!$AU$5:$AU$2773, 0), 0), 0), 0) ))</f>
        <v>0</v>
      </c>
      <c r="AC4">
        <f t="array" ref="AC4">IF(WEEKDAY(AC$1,2)&gt;=6, 0, SUM( IF(WBS!$J$5:$J$2773=$A4, IF(AC$1&gt;=WBS!$K$5:$K$2773, IF(AC$1&lt;=WBS!$L$5:$L$2773, IF(WBS!$AU$5:$AU$2773 &gt;0, WBS!$I$5:$I$2773 / WBS!$AU$5:$AU$2773, 0), 0), 0), 0) ))</f>
        <v>0</v>
      </c>
      <c r="AD4">
        <f t="array" ref="AD4">IF(WEEKDAY(AD$1,2)&gt;=6, 0, SUM( IF(WBS!$J$5:$J$2773=$A4, IF(AD$1&gt;=WBS!$K$5:$K$2773, IF(AD$1&lt;=WBS!$L$5:$L$2773, IF(WBS!$AU$5:$AU$2773 &gt;0, WBS!$I$5:$I$2773 / WBS!$AU$5:$AU$2773, 0), 0), 0), 0) ))</f>
        <v>0</v>
      </c>
      <c r="AE4">
        <f t="array" ref="AE4">IF(WEEKDAY(AE$1,2)&gt;=6, 0, SUM( IF(WBS!$J$5:$J$2773=$A4, IF(AE$1&gt;=WBS!$K$5:$K$2773, IF(AE$1&lt;=WBS!$L$5:$L$2773, IF(WBS!$AU$5:$AU$2773 &gt;0, WBS!$I$5:$I$2773 / WBS!$AU$5:$AU$2773, 0), 0), 0), 0) ))</f>
        <v>0</v>
      </c>
      <c r="AF4">
        <f t="array" ref="AF4">IF(WEEKDAY(AF$1,2)&gt;=6, 0, SUM( IF(WBS!$J$5:$J$2773=$A4, IF(AF$1&gt;=WBS!$K$5:$K$2773, IF(AF$1&lt;=WBS!$L$5:$L$2773, IF(WBS!$AU$5:$AU$2773 &gt;0, WBS!$I$5:$I$2773 / WBS!$AU$5:$AU$2773, 0), 0), 0), 0) ))</f>
        <v>0</v>
      </c>
      <c r="AG4">
        <f t="array" ref="AG4">IF(WEEKDAY(AG$1,2)&gt;=6, 0, SUM( IF(WBS!$J$5:$J$2773=$A4, IF(AG$1&gt;=WBS!$K$5:$K$2773, IF(AG$1&lt;=WBS!$L$5:$L$2773, IF(WBS!$AU$5:$AU$2773 &gt;0, WBS!$I$5:$I$2773 / WBS!$AU$5:$AU$2773, 0), 0), 0), 0) ))</f>
        <v>0</v>
      </c>
      <c r="AH4">
        <f t="array" ref="AH4">IF(WEEKDAY(AH$1,2)&gt;=6, 0, SUM( IF(WBS!$J$5:$J$2773=$A4, IF(AH$1&gt;=WBS!$K$5:$K$2773, IF(AH$1&lt;=WBS!$L$5:$L$2773, IF(WBS!$AU$5:$AU$2773 &gt;0, WBS!$I$5:$I$2773 / WBS!$AU$5:$AU$2773, 0), 0), 0), 0) ))</f>
        <v>0</v>
      </c>
      <c r="AI4">
        <f t="array" ref="AI4">IF(WEEKDAY(AI$1,2)&gt;=6, 0, SUM( IF(WBS!$J$5:$J$2773=$A4, IF(AI$1&gt;=WBS!$K$5:$K$2773, IF(AI$1&lt;=WBS!$L$5:$L$2773, IF(WBS!$AU$5:$AU$2773 &gt;0, WBS!$I$5:$I$2773 / WBS!$AU$5:$AU$2773, 0), 0), 0), 0) ))</f>
        <v>0</v>
      </c>
      <c r="AJ4">
        <f t="array" ref="AJ4">IF(WEEKDAY(AJ$1,2)&gt;=6, 0, SUM( IF(WBS!$J$5:$J$2773=$A4, IF(AJ$1&gt;=WBS!$K$5:$K$2773, IF(AJ$1&lt;=WBS!$L$5:$L$2773, IF(WBS!$AU$5:$AU$2773 &gt;0, WBS!$I$5:$I$2773 / WBS!$AU$5:$AU$2773, 0), 0), 0), 0) ))</f>
        <v>0</v>
      </c>
      <c r="AK4">
        <f t="array" ref="AK4">IF(WEEKDAY(AK$1,2)&gt;=6, 0, SUM( IF(WBS!$J$5:$J$2773=$A4, IF(AK$1&gt;=WBS!$K$5:$K$2773, IF(AK$1&lt;=WBS!$L$5:$L$2773, IF(WBS!$AU$5:$AU$2773 &gt;0, WBS!$I$5:$I$2773 / WBS!$AU$5:$AU$2773, 0), 0), 0), 0) ))</f>
        <v>0</v>
      </c>
      <c r="AL4">
        <f t="array" ref="AL4">IF(WEEKDAY(AL$1,2)&gt;=6, 0, SUM( IF(WBS!$J$5:$J$2773=$A4, IF(AL$1&gt;=WBS!$K$5:$K$2773, IF(AL$1&lt;=WBS!$L$5:$L$2773, IF(WBS!$AU$5:$AU$2773 &gt;0, WBS!$I$5:$I$2773 / WBS!$AU$5:$AU$2773, 0), 0), 0), 0) ))</f>
        <v>0</v>
      </c>
      <c r="AM4">
        <f t="array" ref="AM4">IF(WEEKDAY(AM$1,2)&gt;=6, 0, SUM( IF(WBS!$J$5:$J$2773=$A4, IF(AM$1&gt;=WBS!$K$5:$K$2773, IF(AM$1&lt;=WBS!$L$5:$L$2773, IF(WBS!$AU$5:$AU$2773 &gt;0, WBS!$I$5:$I$2773 / WBS!$AU$5:$AU$2773, 0), 0), 0), 0) ))</f>
        <v>0</v>
      </c>
      <c r="AN4">
        <f t="array" ref="AN4">IF(WEEKDAY(AN$1,2)&gt;=6, 0, SUM( IF(WBS!$J$5:$J$2773=$A4, IF(AN$1&gt;=WBS!$K$5:$K$2773, IF(AN$1&lt;=WBS!$L$5:$L$2773, IF(WBS!$AU$5:$AU$2773 &gt;0, WBS!$I$5:$I$2773 / WBS!$AU$5:$AU$2773, 0), 0), 0), 0) ))</f>
        <v>0</v>
      </c>
      <c r="AO4">
        <f t="array" ref="AO4">IF(WEEKDAY(AO$1,2)&gt;=6, 0, SUM( IF(WBS!$J$5:$J$2773=$A4, IF(AO$1&gt;=WBS!$K$5:$K$2773, IF(AO$1&lt;=WBS!$L$5:$L$2773, IF(WBS!$AU$5:$AU$2773 &gt;0, WBS!$I$5:$I$2773 / WBS!$AU$5:$AU$2773, 0), 0), 0), 0) ))</f>
        <v>0</v>
      </c>
      <c r="AP4">
        <f t="array" ref="AP4">IF(WEEKDAY(AP$1,2)&gt;=6, 0, SUM( IF(WBS!$J$5:$J$2773=$A4, IF(AP$1&gt;=WBS!$K$5:$K$2773, IF(AP$1&lt;=WBS!$L$5:$L$2773, IF(WBS!$AU$5:$AU$2773 &gt;0, WBS!$I$5:$I$2773 / WBS!$AU$5:$AU$2773, 0), 0), 0), 0) ))</f>
        <v>0</v>
      </c>
      <c r="AQ4">
        <f t="array" ref="AQ4">IF(WEEKDAY(AQ$1,2)&gt;=6, 0, SUM( IF(WBS!$J$5:$J$2773=$A4, IF(AQ$1&gt;=WBS!$K$5:$K$2773, IF(AQ$1&lt;=WBS!$L$5:$L$2773, IF(WBS!$AU$5:$AU$2773 &gt;0, WBS!$I$5:$I$2773 / WBS!$AU$5:$AU$2773, 0), 0), 0), 0) ))</f>
        <v>0</v>
      </c>
      <c r="AR4">
        <f t="array" ref="AR4">IF(WEEKDAY(AR$1,2)&gt;=6, 0, SUM( IF(WBS!$J$5:$J$2773=$A4, IF(AR$1&gt;=WBS!$K$5:$K$2773, IF(AR$1&lt;=WBS!$L$5:$L$2773, IF(WBS!$AU$5:$AU$2773 &gt;0, WBS!$I$5:$I$2773 / WBS!$AU$5:$AU$2773, 0), 0), 0), 0) ))</f>
        <v>0</v>
      </c>
      <c r="AS4">
        <f t="array" ref="AS4">IF(WEEKDAY(AS$1,2)&gt;=6, 0, SUM( IF(WBS!$J$5:$J$2773=$A4, IF(AS$1&gt;=WBS!$K$5:$K$2773, IF(AS$1&lt;=WBS!$L$5:$L$2773, IF(WBS!$AU$5:$AU$2773 &gt;0, WBS!$I$5:$I$2773 / WBS!$AU$5:$AU$2773, 0), 0), 0), 0) ))</f>
        <v>0</v>
      </c>
      <c r="AT4">
        <f t="array" ref="AT4">IF(WEEKDAY(AT$1,2)&gt;=6, 0, SUM( IF(WBS!$J$5:$J$2773=$A4, IF(AT$1&gt;=WBS!$K$5:$K$2773, IF(AT$1&lt;=WBS!$L$5:$L$2773, IF(WBS!$AU$5:$AU$2773 &gt;0, WBS!$I$5:$I$2773 / WBS!$AU$5:$AU$2773, 0), 0), 0), 0) ))</f>
        <v>0</v>
      </c>
      <c r="AU4">
        <f t="array" ref="AU4">IF(WEEKDAY(AU$1,2)&gt;=6, 0, SUM( IF(WBS!$J$5:$J$2773=$A4, IF(AU$1&gt;=WBS!$K$5:$K$2773, IF(AU$1&lt;=WBS!$L$5:$L$2773, IF(WBS!$AU$5:$AU$2773 &gt;0, WBS!$I$5:$I$2773 / WBS!$AU$5:$AU$2773, 0), 0), 0), 0) ))</f>
        <v>0</v>
      </c>
      <c r="AV4">
        <f t="array" ref="AV4">IF(WEEKDAY(AV$1,2)&gt;=6, 0, SUM( IF(WBS!$J$5:$J$2773=$A4, IF(AV$1&gt;=WBS!$K$5:$K$2773, IF(AV$1&lt;=WBS!$L$5:$L$2773, IF(WBS!$AU$5:$AU$2773 &gt;0, WBS!$I$5:$I$2773 / WBS!$AU$5:$AU$2773, 0), 0), 0), 0) ))</f>
        <v>0</v>
      </c>
      <c r="AW4">
        <f t="array" ref="AW4">IF(WEEKDAY(AW$1,2)&gt;=6, 0, SUM( IF(WBS!$J$5:$J$2773=$A4, IF(AW$1&gt;=WBS!$K$5:$K$2773, IF(AW$1&lt;=WBS!$L$5:$L$2773, IF(WBS!$AU$5:$AU$2773 &gt;0, WBS!$I$5:$I$2773 / WBS!$AU$5:$AU$2773, 0), 0), 0), 0) ))</f>
        <v>0</v>
      </c>
      <c r="AX4">
        <f t="array" ref="AX4">IF(WEEKDAY(AX$1,2)&gt;=6, 0, SUM( IF(WBS!$J$5:$J$2773=$A4, IF(AX$1&gt;=WBS!$K$5:$K$2773, IF(AX$1&lt;=WBS!$L$5:$L$2773, IF(WBS!$AU$5:$AU$2773 &gt;0, WBS!$I$5:$I$2773 / WBS!$AU$5:$AU$2773, 0), 0), 0), 0) ))</f>
        <v>0</v>
      </c>
      <c r="AY4">
        <f t="array" ref="AY4">IF(WEEKDAY(AY$1,2)&gt;=6, 0, SUM( IF(WBS!$J$5:$J$2773=$A4, IF(AY$1&gt;=WBS!$K$5:$K$2773, IF(AY$1&lt;=WBS!$L$5:$L$2773, IF(WBS!$AU$5:$AU$2773 &gt;0, WBS!$I$5:$I$2773 / WBS!$AU$5:$AU$2773, 0), 0), 0), 0) ))</f>
        <v>0</v>
      </c>
      <c r="AZ4">
        <f t="array" ref="AZ4">IF(WEEKDAY(AZ$1,2)&gt;=6, 0, SUM( IF(WBS!$J$5:$J$2773=$A4, IF(AZ$1&gt;=WBS!$K$5:$K$2773, IF(AZ$1&lt;=WBS!$L$5:$L$2773, IF(WBS!$AU$5:$AU$2773 &gt;0, WBS!$I$5:$I$2773 / WBS!$AU$5:$AU$2773, 0), 0), 0), 0) ))</f>
        <v>0</v>
      </c>
      <c r="BA4">
        <f t="array" ref="BA4">IF(WEEKDAY(BA$1,2)&gt;=6, 0, SUM( IF(WBS!$J$5:$J$2773=$A4, IF(BA$1&gt;=WBS!$K$5:$K$2773, IF(BA$1&lt;=WBS!$L$5:$L$2773, IF(WBS!$AU$5:$AU$2773 &gt;0, WBS!$I$5:$I$2773 / WBS!$AU$5:$AU$2773, 0), 0), 0), 0) ))</f>
        <v>0</v>
      </c>
      <c r="BB4">
        <f t="array" ref="BB4">IF(WEEKDAY(BB$1,2)&gt;=6, 0, SUM( IF(WBS!$J$5:$J$2773=$A4, IF(BB$1&gt;=WBS!$K$5:$K$2773, IF(BB$1&lt;=WBS!$L$5:$L$2773, IF(WBS!$AU$5:$AU$2773 &gt;0, WBS!$I$5:$I$2773 / WBS!$AU$5:$AU$2773, 0), 0), 0), 0) ))</f>
        <v>0</v>
      </c>
      <c r="BC4">
        <f t="array" ref="BC4">IF(WEEKDAY(BC$1,2)&gt;=6, 0, SUM( IF(WBS!$J$5:$J$2773=$A4, IF(BC$1&gt;=WBS!$K$5:$K$2773, IF(BC$1&lt;=WBS!$L$5:$L$2773, IF(WBS!$AU$5:$AU$2773 &gt;0, WBS!$I$5:$I$2773 / WBS!$AU$5:$AU$2773, 0), 0), 0), 0) ))</f>
        <v>0</v>
      </c>
      <c r="BD4">
        <f t="array" ref="BD4">IF(WEEKDAY(BD$1,2)&gt;=6, 0, SUM( IF(WBS!$J$5:$J$2773=$A4, IF(BD$1&gt;=WBS!$K$5:$K$2773, IF(BD$1&lt;=WBS!$L$5:$L$2773, IF(WBS!$AU$5:$AU$2773 &gt;0, WBS!$I$5:$I$2773 / WBS!$AU$5:$AU$2773, 0), 0), 0), 0) ))</f>
        <v>0</v>
      </c>
      <c r="BE4">
        <f t="array" ref="BE4">IF(WEEKDAY(BE$1,2)&gt;=6, 0, SUM( IF(WBS!$J$5:$J$2773=$A4, IF(BE$1&gt;=WBS!$K$5:$K$2773, IF(BE$1&lt;=WBS!$L$5:$L$2773, IF(WBS!$AU$5:$AU$2773 &gt;0, WBS!$I$5:$I$2773 / WBS!$AU$5:$AU$2773, 0), 0), 0), 0) ))</f>
        <v>0</v>
      </c>
      <c r="BF4">
        <f t="array" ref="BF4">IF(WEEKDAY(BF$1,2)&gt;=6, 0, SUM( IF(WBS!$J$5:$J$2773=$A4, IF(BF$1&gt;=WBS!$K$5:$K$2773, IF(BF$1&lt;=WBS!$L$5:$L$2773, IF(WBS!$AU$5:$AU$2773 &gt;0, WBS!$I$5:$I$2773 / WBS!$AU$5:$AU$2773, 0), 0), 0), 0) ))</f>
        <v>0</v>
      </c>
      <c r="BG4">
        <f t="array" ref="BG4">IF(WEEKDAY(BG$1,2)&gt;=6, 0, SUM( IF(WBS!$J$5:$J$2773=$A4, IF(BG$1&gt;=WBS!$K$5:$K$2773, IF(BG$1&lt;=WBS!$L$5:$L$2773, IF(WBS!$AU$5:$AU$2773 &gt;0, WBS!$I$5:$I$2773 / WBS!$AU$5:$AU$2773, 0), 0), 0), 0) ))</f>
        <v>0</v>
      </c>
      <c r="BH4">
        <f t="array" ref="BH4">IF(WEEKDAY(BH$1,2)&gt;=6, 0, SUM( IF(WBS!$J$5:$J$2773=$A4, IF(BH$1&gt;=WBS!$K$5:$K$2773, IF(BH$1&lt;=WBS!$L$5:$L$2773, IF(WBS!$AU$5:$AU$2773 &gt;0, WBS!$I$5:$I$2773 / WBS!$AU$5:$AU$2773, 0), 0), 0), 0) ))</f>
        <v>0</v>
      </c>
      <c r="BI4" s="42">
        <f t="array" ref="BI4">IF(WEEKDAY(BI$1,2)&gt;=6, 0, SUM( IF(WBS!$J$5:$J$2773=$A4, IF(BI$1&gt;=WBS!$K$5:$K$2773, IF(BI$1&lt;=WBS!$L$5:$L$2773, IF(WBS!$AU$5:$AU$2773 &gt;0, WBS!$I$5:$I$2773 / WBS!$AU$5:$AU$2773, 0), 0), 0), 0) ))</f>
        <v>0</v>
      </c>
      <c r="BJ4" s="42">
        <f t="array" ref="BJ4">IF(WEEKDAY(BJ$1,2)&gt;=6, 0, SUM( IF(WBS!$J$5:$J$2773=$A4, IF(BJ$1&gt;=WBS!$K$5:$K$2773, IF(BJ$1&lt;=WBS!$L$5:$L$2773, IF(WBS!$AU$5:$AU$2773 &gt;0, WBS!$I$5:$I$2773 / WBS!$AU$5:$AU$2773, 0), 0), 0), 0) ))</f>
        <v>0</v>
      </c>
      <c r="BK4">
        <f t="array" ref="BK4">IF(WEEKDAY(BK$1,2)&gt;=6, 0, SUM( IF(WBS!$J$5:$J$2773=$A4, IF(BK$1&gt;=WBS!$K$5:$K$2773, IF(BK$1&lt;=WBS!$L$5:$L$2773, IF(WBS!$AU$5:$AU$2773 &gt;0, WBS!$I$5:$I$2773 / WBS!$AU$5:$AU$2773, 0), 0), 0), 0) ))</f>
        <v>0</v>
      </c>
      <c r="BL4">
        <f t="array" ref="BL4">IF(WEEKDAY(BL$1,2)&gt;=6, 0, SUM( IF(WBS!$J$5:$J$2773=$A4, IF(BL$1&gt;=WBS!$K$5:$K$2773, IF(BL$1&lt;=WBS!$L$5:$L$2773, IF(WBS!$AU$5:$AU$2773 &gt;0, WBS!$I$5:$I$2773 / WBS!$AU$5:$AU$2773, 0), 0), 0), 0) ))</f>
        <v>0</v>
      </c>
      <c r="BM4">
        <f t="array" ref="BM4">IF(WEEKDAY(BM$1,2)&gt;=6, 0, SUM( IF(WBS!$J$5:$J$2773=$A4, IF(BM$1&gt;=WBS!$K$5:$K$2773, IF(BM$1&lt;=WBS!$L$5:$L$2773, IF(WBS!$AU$5:$AU$2773 &gt;0, WBS!$I$5:$I$2773 / WBS!$AU$5:$AU$2773, 0), 0), 0), 0) ))</f>
        <v>0</v>
      </c>
      <c r="BN4">
        <f t="array" ref="BN4">IF(WEEKDAY(BN$1,2)&gt;=6, 0, SUM( IF(WBS!$J$5:$J$2773=$A4, IF(BN$1&gt;=WBS!$K$5:$K$2773, IF(BN$1&lt;=WBS!$L$5:$L$2773, IF(WBS!$AU$5:$AU$2773 &gt;0, WBS!$I$5:$I$2773 / WBS!$AU$5:$AU$2773, 0), 0), 0), 0) ))</f>
        <v>0</v>
      </c>
      <c r="BO4">
        <f t="array" ref="BO4">IF(WEEKDAY(BO$1,2)&gt;=6, 0, SUM( IF(WBS!$J$5:$J$2773=$A4, IF(BO$1&gt;=WBS!$K$5:$K$2773, IF(BO$1&lt;=WBS!$L$5:$L$2773, IF(WBS!$AU$5:$AU$2773 &gt;0, WBS!$I$5:$I$2773 / WBS!$AU$5:$AU$2773, 0), 0), 0), 0) ))</f>
        <v>0</v>
      </c>
      <c r="BP4" s="42">
        <f t="array" ref="BP4">IF(WEEKDAY(BP$1,2)&gt;=6, 0, SUM( IF(WBS!$J$5:$J$2773=$A4, IF(BP$1&gt;=WBS!$K$5:$K$2773, IF(BP$1&lt;=WBS!$L$5:$L$2773, IF(WBS!$AU$5:$AU$2773 &gt;0, WBS!$I$5:$I$2773 / WBS!$AU$5:$AU$2773, 0), 0), 0), 0) ))</f>
        <v>0</v>
      </c>
      <c r="BQ4" s="42">
        <f t="array" ref="BQ4">IF(WEEKDAY(BQ$1,2)&gt;=6, 0, SUM( IF(WBS!$J$5:$J$2773=$A4, IF(BQ$1&gt;=WBS!$K$5:$K$2773, IF(BQ$1&lt;=WBS!$L$5:$L$2773, IF(WBS!$AU$5:$AU$2773 &gt;0, WBS!$I$5:$I$2773 / WBS!$AU$5:$AU$2773, 0), 0), 0), 0) ))</f>
        <v>0</v>
      </c>
      <c r="BR4">
        <f t="array" ref="BR4">IF(WEEKDAY(BR$1,2)&gt;=6, 0, SUM( IF(WBS!$J$5:$J$2773=$A4, IF(BR$1&gt;=WBS!$K$5:$K$2773, IF(BR$1&lt;=WBS!$L$5:$L$2773, IF(WBS!$AU$5:$AU$2773 &gt;0, WBS!$I$5:$I$2773 / WBS!$AU$5:$AU$2773, 0), 0), 0), 0) ))</f>
        <v>0</v>
      </c>
      <c r="BS4">
        <f t="array" ref="BS4">IF(WEEKDAY(BS$1,2)&gt;=6, 0, SUM( IF(WBS!$J$5:$J$2773=$A4, IF(BS$1&gt;=WBS!$K$5:$K$2773, IF(BS$1&lt;=WBS!$L$5:$L$2773, IF(WBS!$AU$5:$AU$2773 &gt;0, WBS!$I$5:$I$2773 / WBS!$AU$5:$AU$2773, 0), 0), 0), 0) ))</f>
        <v>0</v>
      </c>
      <c r="BT4">
        <f t="array" ref="BT4">IF(WEEKDAY(BT$1,2)&gt;=6, 0, SUM( IF(WBS!$J$5:$J$2773=$A4, IF(BT$1&gt;=WBS!$K$5:$K$2773, IF(BT$1&lt;=WBS!$L$5:$L$2773, IF(WBS!$AU$5:$AU$2773 &gt;0, WBS!$I$5:$I$2773 / WBS!$AU$5:$AU$2773, 0), 0), 0), 0) ))</f>
        <v>0</v>
      </c>
      <c r="BU4">
        <f t="array" ref="BU4">IF(WEEKDAY(BU$1,2)&gt;=6, 0, SUM( IF(WBS!$J$5:$J$2773=$A4, IF(BU$1&gt;=WBS!$K$5:$K$2773, IF(BU$1&lt;=WBS!$L$5:$L$2773, IF(WBS!$AU$5:$AU$2773 &gt;0, WBS!$I$5:$I$2773 / WBS!$AU$5:$AU$2773, 0), 0), 0), 0) ))</f>
        <v>0</v>
      </c>
      <c r="BV4">
        <f t="array" ref="BV4">IF(WEEKDAY(BV$1,2)&gt;=6, 0, SUM( IF(WBS!$J$5:$J$2773=$A4, IF(BV$1&gt;=WBS!$K$5:$K$2773, IF(BV$1&lt;=WBS!$L$5:$L$2773, IF(WBS!$AU$5:$AU$2773 &gt;0, WBS!$I$5:$I$2773 / WBS!$AU$5:$AU$2773, 0), 0), 0), 0) ))</f>
        <v>0</v>
      </c>
      <c r="BW4" s="42">
        <f t="array" ref="BW4">IF(WEEKDAY(BW$1,2)&gt;=6, 0, SUM( IF(WBS!$J$5:$J$2773=$A4, IF(BW$1&gt;=WBS!$K$5:$K$2773, IF(BW$1&lt;=WBS!$L$5:$L$2773, IF(WBS!$AU$5:$AU$2773 &gt;0, WBS!$I$5:$I$2773 / WBS!$AU$5:$AU$2773, 0), 0), 0), 0) ))</f>
        <v>0</v>
      </c>
      <c r="BX4" s="42">
        <f t="array" ref="BX4">IF(WEEKDAY(BX$1,2)&gt;=6, 0, SUM( IF(WBS!$J$5:$J$2773=$A4, IF(BX$1&gt;=WBS!$K$5:$K$2773, IF(BX$1&lt;=WBS!$L$5:$L$2773, IF(WBS!$AU$5:$AU$2773 &gt;0, WBS!$I$5:$I$2773 / WBS!$AU$5:$AU$2773, 0), 0), 0), 0) ))</f>
        <v>0</v>
      </c>
      <c r="BY4">
        <f t="array" ref="BY4">IF(WEEKDAY(BY$1,2)&gt;=6, 0, SUM( IF(WBS!$J$5:$J$2773=$A4, IF(BY$1&gt;=WBS!$K$5:$K$2773, IF(BY$1&lt;=WBS!$L$5:$L$2773, IF(WBS!$AU$5:$AU$2773 &gt;0, WBS!$I$5:$I$2773 / WBS!$AU$5:$AU$2773, 0), 0), 0), 0) ))</f>
        <v>0</v>
      </c>
      <c r="BZ4">
        <f t="array" ref="BZ4">IF(WEEKDAY(BZ$1,2)&gt;=6, 0, SUM( IF(WBS!$J$5:$J$2773=$A4, IF(BZ$1&gt;=WBS!$K$5:$K$2773, IF(BZ$1&lt;=WBS!$L$5:$L$2773, IF(WBS!$AU$5:$AU$2773 &gt;0, WBS!$I$5:$I$2773 / WBS!$AU$5:$AU$2773, 0), 0), 0), 0) ))</f>
        <v>0</v>
      </c>
      <c r="CA4">
        <f t="array" ref="CA4">IF(WEEKDAY(CA$1,2)&gt;=6, 0, SUM( IF(WBS!$J$5:$J$2773=$A4, IF(CA$1&gt;=WBS!$K$5:$K$2773, IF(CA$1&lt;=WBS!$L$5:$L$2773, IF(WBS!$AU$5:$AU$2773 &gt;0, WBS!$I$5:$I$2773 / WBS!$AU$5:$AU$2773, 0), 0), 0), 0) ))</f>
        <v>0</v>
      </c>
      <c r="CB4">
        <f t="array" ref="CB4">IF(WEEKDAY(CB$1,2)&gt;=6, 0, SUM( IF(WBS!$J$5:$J$2773=$A4, IF(CB$1&gt;=WBS!$K$5:$K$2773, IF(CB$1&lt;=WBS!$L$5:$L$2773, IF(WBS!$AU$5:$AU$2773 &gt;0, WBS!$I$5:$I$2773 / WBS!$AU$5:$AU$2773, 0), 0), 0), 0) ))</f>
        <v>0</v>
      </c>
      <c r="CC4">
        <f t="array" ref="CC4">IF(WEEKDAY(CC$1,2)&gt;=6, 0, SUM( IF(WBS!$J$5:$J$2773=$A4, IF(CC$1&gt;=WBS!$K$5:$K$2773, IF(CC$1&lt;=WBS!$L$5:$L$2773, IF(WBS!$AU$5:$AU$2773 &gt;0, WBS!$I$5:$I$2773 / WBS!$AU$5:$AU$2773, 0), 0), 0), 0) ))</f>
        <v>0</v>
      </c>
      <c r="CD4" s="42">
        <f t="array" ref="CD4">IF(WEEKDAY(CD$1,2)&gt;=6, 0, SUM( IF(WBS!$J$5:$J$2773=$A4, IF(CD$1&gt;=WBS!$K$5:$K$2773, IF(CD$1&lt;=WBS!$L$5:$L$2773, IF(WBS!$AU$5:$AU$2773 &gt;0, WBS!$I$5:$I$2773 / WBS!$AU$5:$AU$2773, 0), 0), 0), 0) ))</f>
        <v>0</v>
      </c>
      <c r="CE4" s="42">
        <f t="array" ref="CE4">IF(WEEKDAY(CE$1,2)&gt;=6, 0, SUM( IF(WBS!$J$5:$J$2773=$A4, IF(CE$1&gt;=WBS!$K$5:$K$2773, IF(CE$1&lt;=WBS!$L$5:$L$2773, IF(WBS!$AU$5:$AU$2773 &gt;0, WBS!$I$5:$I$2773 / WBS!$AU$5:$AU$2773, 0), 0), 0), 0) ))</f>
        <v>0</v>
      </c>
      <c r="CF4">
        <f t="array" ref="CF4">IF(WEEKDAY(CF$1,2)&gt;=6, 0, SUM( IF(WBS!$J$5:$J$2773=$A4, IF(CF$1&gt;=WBS!$K$5:$K$2773, IF(CF$1&lt;=WBS!$L$5:$L$2773, IF(WBS!$AU$5:$AU$2773 &gt;0, WBS!$I$5:$I$2773 / WBS!$AU$5:$AU$2773, 0), 0), 0), 0) ))</f>
        <v>0</v>
      </c>
      <c r="CG4">
        <f t="array" ref="CG4">IF(WEEKDAY(CG$1,2)&gt;=6, 0, SUM( IF(WBS!$J$5:$J$2773=$A4, IF(CG$1&gt;=WBS!$K$5:$K$2773, IF(CG$1&lt;=WBS!$L$5:$L$2773, IF(WBS!$AU$5:$AU$2773 &gt;0, WBS!$I$5:$I$2773 / WBS!$AU$5:$AU$2773, 0), 0), 0), 0) ))</f>
        <v>0</v>
      </c>
      <c r="CH4">
        <f t="array" ref="CH4">IF(WEEKDAY(CH$1,2)&gt;=6, 0, SUM( IF(WBS!$J$5:$J$2773=$A4, IF(CH$1&gt;=WBS!$K$5:$K$2773, IF(CH$1&lt;=WBS!$L$5:$L$2773, IF(WBS!$AU$5:$AU$2773 &gt;0, WBS!$I$5:$I$2773 / WBS!$AU$5:$AU$2773, 0), 0), 0), 0) ))</f>
        <v>0</v>
      </c>
      <c r="CI4" s="274"/>
      <c r="CJ4"/>
      <c r="CK4" s="42"/>
      <c r="CL4" s="42"/>
      <c r="CM4"/>
      <c r="CN4"/>
      <c r="CO4"/>
      <c r="CP4"/>
      <c r="CQ4"/>
      <c r="CR4" s="42"/>
      <c r="CS4" s="42"/>
      <c r="CT4"/>
      <c r="CU4"/>
      <c r="CV4"/>
      <c r="CW4"/>
      <c r="CX4"/>
      <c r="CY4" s="42"/>
      <c r="CZ4" s="42"/>
      <c r="DA4"/>
      <c r="DB4"/>
      <c r="DC4"/>
      <c r="DD4"/>
      <c r="DE4"/>
      <c r="DF4" s="42"/>
      <c r="DG4" s="42"/>
      <c r="DH4"/>
      <c r="DI4"/>
      <c r="DJ4"/>
      <c r="DK4"/>
      <c r="DL4"/>
      <c r="DM4" s="42"/>
      <c r="DN4" s="42"/>
      <c r="DO4"/>
      <c r="DP4"/>
      <c r="DQ4"/>
      <c r="DR4"/>
      <c r="DS4"/>
      <c r="DT4" s="42"/>
      <c r="DU4" s="42"/>
      <c r="DV4"/>
      <c r="DW4"/>
      <c r="DX4"/>
      <c r="DY4"/>
      <c r="DZ4"/>
      <c r="EA4" s="276"/>
      <c r="EB4" s="276"/>
      <c r="EC4" s="274"/>
      <c r="ED4" s="274"/>
      <c r="EE4" s="274"/>
      <c r="EF4" s="274"/>
      <c r="EG4" s="274"/>
      <c r="EH4" s="274"/>
      <c r="EI4" s="274"/>
      <c r="EJ4" s="274"/>
      <c r="EK4"/>
      <c r="EL4"/>
      <c r="EM4"/>
      <c r="EN4"/>
      <c r="EO4" s="42"/>
      <c r="EP4" s="42"/>
      <c r="EQ4"/>
      <c r="ER4"/>
      <c r="ES4"/>
      <c r="ET4"/>
      <c r="EU4"/>
      <c r="EV4" s="42"/>
      <c r="EW4" s="42"/>
      <c r="EX4"/>
      <c r="EY4"/>
      <c r="EZ4"/>
      <c r="FA4"/>
      <c r="FB4"/>
      <c r="FC4" s="42"/>
      <c r="FD4" s="42"/>
      <c r="FE4"/>
      <c r="FF4"/>
      <c r="FG4"/>
      <c r="FH4"/>
      <c r="FI4"/>
      <c r="FJ4" s="42"/>
      <c r="FK4" s="42"/>
      <c r="FL4"/>
      <c r="FM4"/>
      <c r="FN4"/>
      <c r="FO4"/>
      <c r="FP4"/>
      <c r="FQ4" s="42"/>
      <c r="FR4" s="42"/>
      <c r="FS4"/>
      <c r="FT4"/>
      <c r="FU4"/>
      <c r="FV4"/>
      <c r="FW4"/>
      <c r="FX4" s="42"/>
      <c r="FY4" s="42"/>
      <c r="FZ4" s="274"/>
      <c r="GA4"/>
      <c r="GB4"/>
      <c r="GC4"/>
      <c r="GD4"/>
      <c r="GE4" s="42"/>
      <c r="GF4" s="42"/>
      <c r="GG4"/>
      <c r="GH4"/>
      <c r="GI4"/>
      <c r="GJ4"/>
      <c r="GK4"/>
      <c r="GL4" s="42"/>
      <c r="GM4" s="42"/>
      <c r="GN4"/>
      <c r="GO4"/>
      <c r="GP4"/>
      <c r="GQ4"/>
      <c r="GR4"/>
      <c r="GS4" s="42"/>
      <c r="GT4" s="42"/>
      <c r="GU4"/>
      <c r="GV4"/>
      <c r="GW4"/>
      <c r="GX4"/>
      <c r="GY4" s="274"/>
      <c r="GZ4" s="42"/>
      <c r="HA4" s="42"/>
      <c r="HB4" s="274"/>
      <c r="HC4" s="274"/>
      <c r="HD4"/>
      <c r="HE4"/>
      <c r="HF4"/>
      <c r="HG4" s="42"/>
      <c r="HH4" s="42"/>
      <c r="HI4"/>
      <c r="HJ4"/>
      <c r="HK4"/>
      <c r="HL4"/>
      <c r="HM4"/>
      <c r="HN4" s="42"/>
      <c r="HO4" s="42"/>
      <c r="HP4"/>
      <c r="HQ4"/>
      <c r="HR4"/>
      <c r="HS4"/>
      <c r="HT4"/>
      <c r="HU4" s="42"/>
      <c r="HV4" s="42"/>
      <c r="HW4"/>
      <c r="HX4"/>
      <c r="HY4"/>
      <c r="HZ4"/>
      <c r="IA4"/>
      <c r="IB4" s="42"/>
      <c r="IC4" s="42"/>
      <c r="ID4"/>
      <c r="IE4"/>
      <c r="IF4"/>
      <c r="IG4"/>
      <c r="IH4"/>
      <c r="II4" s="42"/>
      <c r="IJ4" s="42"/>
      <c r="IK4"/>
      <c r="IL4"/>
      <c r="IM4"/>
      <c r="IN4"/>
      <c r="IO4"/>
      <c r="IP4" s="42"/>
      <c r="IQ4" s="42"/>
      <c r="IR4"/>
      <c r="IS4"/>
      <c r="IT4"/>
      <c r="IU4"/>
      <c r="IV4" s="274"/>
      <c r="IW4" s="42"/>
      <c r="IX4" s="42"/>
      <c r="IY4"/>
      <c r="IZ4"/>
      <c r="JA4"/>
      <c r="JB4"/>
      <c r="JC4"/>
      <c r="JD4" s="42"/>
      <c r="JE4" s="42"/>
      <c r="JF4"/>
      <c r="JG4"/>
      <c r="JH4"/>
      <c r="JI4"/>
      <c r="JJ4"/>
      <c r="JK4" s="42"/>
      <c r="JL4" s="42"/>
      <c r="JM4"/>
      <c r="JN4"/>
      <c r="JO4"/>
      <c r="JP4"/>
      <c r="JQ4"/>
      <c r="JR4" s="42"/>
      <c r="JS4" s="42"/>
      <c r="JT4"/>
      <c r="JU4"/>
      <c r="JV4"/>
      <c r="JW4"/>
      <c r="JX4"/>
      <c r="JY4" s="42"/>
      <c r="JZ4" s="42"/>
      <c r="KA4"/>
      <c r="KB4"/>
      <c r="KC4"/>
      <c r="KD4"/>
      <c r="KE4"/>
      <c r="KF4" s="42"/>
      <c r="KG4" s="42"/>
      <c r="KH4"/>
      <c r="KI4"/>
      <c r="KJ4"/>
      <c r="KK4"/>
      <c r="KL4"/>
      <c r="KM4" s="42"/>
      <c r="KN4" s="42"/>
      <c r="KO4"/>
      <c r="KP4"/>
      <c r="KQ4"/>
      <c r="KR4"/>
      <c r="KS4"/>
      <c r="KT4" s="42"/>
      <c r="KU4" s="42"/>
      <c r="KV4"/>
      <c r="KW4"/>
      <c r="KX4"/>
      <c r="KY4"/>
      <c r="KZ4"/>
      <c r="LA4" s="42"/>
      <c r="LB4" s="42"/>
      <c r="LC4"/>
      <c r="LD4"/>
      <c r="LE4"/>
      <c r="LF4"/>
      <c r="LG4"/>
      <c r="LH4" s="42"/>
      <c r="LI4" s="42"/>
      <c r="LJ4"/>
      <c r="LK4"/>
      <c r="LL4"/>
      <c r="LM4"/>
      <c r="LN4"/>
      <c r="LO4" s="42"/>
      <c r="LP4" s="42"/>
      <c r="LQ4"/>
      <c r="LR4"/>
      <c r="LS4"/>
      <c r="LT4"/>
      <c r="LU4"/>
      <c r="LV4" s="42"/>
      <c r="LW4" s="42"/>
      <c r="LX4"/>
      <c r="LY4"/>
      <c r="LZ4"/>
      <c r="MA4"/>
      <c r="MB4"/>
      <c r="MC4" s="42"/>
      <c r="MD4" s="42"/>
      <c r="ME4"/>
      <c r="MF4"/>
      <c r="MG4"/>
      <c r="MH4"/>
      <c r="MI4"/>
      <c r="MJ4" s="42"/>
      <c r="MK4" s="42"/>
      <c r="ML4"/>
      <c r="MM4"/>
      <c r="MN4"/>
      <c r="MO4"/>
      <c r="MP4" s="274"/>
      <c r="MQ4" s="42"/>
      <c r="MR4" s="276"/>
      <c r="MS4"/>
      <c r="MT4"/>
      <c r="MU4"/>
      <c r="MV4" s="274"/>
      <c r="MW4" s="274"/>
      <c r="MX4" s="42"/>
      <c r="MY4" s="42"/>
      <c r="MZ4" s="274"/>
      <c r="NA4" s="274"/>
      <c r="NB4" s="274"/>
      <c r="NC4"/>
      <c r="ND4"/>
      <c r="NE4" s="276"/>
      <c r="NF4" s="42"/>
      <c r="NG4"/>
      <c r="NH4"/>
      <c r="NI4"/>
      <c r="NJ4"/>
      <c r="NK4"/>
      <c r="NL4" s="42"/>
      <c r="NM4" s="42"/>
      <c r="NN4"/>
      <c r="NO4"/>
      <c r="NP4"/>
      <c r="NQ4"/>
      <c r="NR4"/>
      <c r="NS4" s="42"/>
      <c r="NT4" s="42"/>
      <c r="NU4"/>
      <c r="NV4"/>
      <c r="NW4"/>
      <c r="NX4"/>
      <c r="NY4"/>
      <c r="NZ4" s="42"/>
      <c r="OA4" s="42"/>
      <c r="OB4"/>
      <c r="OC4"/>
      <c r="OD4"/>
      <c r="OE4"/>
      <c r="OF4"/>
      <c r="OG4" s="42"/>
      <c r="OH4" s="42"/>
      <c r="OI4"/>
      <c r="OJ4"/>
      <c r="OK4"/>
      <c r="OL4"/>
      <c r="OM4"/>
      <c r="ON4" s="42"/>
      <c r="OO4" s="42"/>
      <c r="OP4"/>
      <c r="OQ4"/>
      <c r="OR4"/>
      <c r="OS4"/>
      <c r="OT4"/>
      <c r="OU4" s="42"/>
      <c r="OV4" s="42"/>
      <c r="OW4"/>
      <c r="OX4"/>
      <c r="OY4"/>
      <c r="OZ4"/>
      <c r="PA4"/>
      <c r="PB4" s="42"/>
      <c r="PC4" s="42"/>
      <c r="PD4"/>
      <c r="PE4"/>
      <c r="PF4"/>
      <c r="PG4"/>
      <c r="PH4"/>
      <c r="PI4" s="42"/>
      <c r="PJ4" s="42"/>
      <c r="PK4"/>
      <c r="PL4"/>
      <c r="PM4"/>
      <c r="PN4"/>
      <c r="PO4"/>
      <c r="PP4" s="42"/>
      <c r="PQ4" s="42"/>
      <c r="PR4"/>
      <c r="PS4"/>
      <c r="PT4"/>
      <c r="PU4"/>
      <c r="PV4"/>
      <c r="PW4" s="42"/>
      <c r="PX4" s="42"/>
      <c r="PY4"/>
      <c r="PZ4"/>
      <c r="QA4"/>
      <c r="QB4"/>
      <c r="QC4"/>
      <c r="QD4" s="42"/>
      <c r="QE4" s="42"/>
      <c r="QF4"/>
      <c r="QG4"/>
      <c r="QH4"/>
      <c r="QI4"/>
    </row>
    <row r="5" spans="1:451">
      <c r="A5" t="s">
        <v>5</v>
      </c>
      <c r="B5" t="s">
        <v>81</v>
      </c>
      <c r="C5">
        <f t="array" ref="C5">IF(WEEKDAY(C$1,2)&gt;=6, 0, SUM( IF(WBS!$J$5:$J$2773=$A5, IF(C$1&gt;=WBS!$K$5:$K$2773, IF(C$1&lt;=WBS!$L$5:$L$2773, IF(WBS!$AU$5:$AU$2773 &gt;0, WBS!$I$5:$I$2773 / WBS!$AU$5:$AU$2773, 0), 0), 0), 0) ))</f>
        <v>0</v>
      </c>
      <c r="D5">
        <f t="array" ref="D5">IF(WEEKDAY(D$1,2)&gt;=6, 0, SUM( IF(WBS!$J$5:$J$2773=$A5, IF(D$1&gt;=WBS!$K$5:$K$2773, IF(D$1&lt;=WBS!$L$5:$L$2773, IF(WBS!$AU$5:$AU$2773 &gt;0, WBS!$I$5:$I$2773 / WBS!$AU$5:$AU$2773, 0), 0), 0), 0) ))</f>
        <v>0</v>
      </c>
      <c r="E5">
        <f t="array" ref="E5">IF(WEEKDAY(E$1,2)&gt;=6, 0, SUM( IF(WBS!$J$5:$J$2773=$A5, IF(E$1&gt;=WBS!$K$5:$K$2773, IF(E$1&lt;=WBS!$L$5:$L$2773, IF(WBS!$AU$5:$AU$2773 &gt;0, WBS!$I$5:$I$2773 / WBS!$AU$5:$AU$2773, 0), 0), 0), 0) ))</f>
        <v>0</v>
      </c>
      <c r="F5">
        <f t="array" ref="F5">IF(WEEKDAY(F$1,2)&gt;=6, 0, SUM( IF(WBS!$J$5:$J$2773=$A5, IF(F$1&gt;=WBS!$K$5:$K$2773, IF(F$1&lt;=WBS!$L$5:$L$2773, IF(WBS!$AU$5:$AU$2773 &gt;0, WBS!$I$5:$I$2773 / WBS!$AU$5:$AU$2773, 0), 0), 0), 0) ))</f>
        <v>0</v>
      </c>
      <c r="G5">
        <f t="array" ref="G5">IF(WEEKDAY(G$1,2)&gt;=6, 0, SUM( IF(WBS!$J$5:$J$2773=$A5, IF(G$1&gt;=WBS!$K$5:$K$2773, IF(G$1&lt;=WBS!$L$5:$L$2773, IF(WBS!$AU$5:$AU$2773 &gt;0, WBS!$I$5:$I$2773 / WBS!$AU$5:$AU$2773, 0), 0), 0), 0) ))</f>
        <v>0</v>
      </c>
      <c r="H5">
        <f t="array" ref="H5">IF(WEEKDAY(H$1,2)&gt;=6, 0, SUM( IF(WBS!$J$5:$J$2773=$A5, IF(H$1&gt;=WBS!$K$5:$K$2773, IF(H$1&lt;=WBS!$L$5:$L$2773, IF(WBS!$AU$5:$AU$2773 &gt;0, WBS!$I$5:$I$2773 / WBS!$AU$5:$AU$2773, 0), 0), 0), 0) ))</f>
        <v>0</v>
      </c>
      <c r="I5">
        <f t="array" ref="I5">IF(WEEKDAY(I$1,2)&gt;=6, 0, SUM( IF(WBS!$J$5:$J$2773=$A5, IF(I$1&gt;=WBS!$K$5:$K$2773, IF(I$1&lt;=WBS!$L$5:$L$2773, IF(WBS!$AU$5:$AU$2773 &gt;0, WBS!$I$5:$I$2773 / WBS!$AU$5:$AU$2773, 0), 0), 0), 0) ))</f>
        <v>0</v>
      </c>
      <c r="J5">
        <f t="array" ref="J5">IF(WEEKDAY(J$1,2)&gt;=6, 0, SUM( IF(WBS!$J$5:$J$2773=$A5, IF(J$1&gt;=WBS!$K$5:$K$2773, IF(J$1&lt;=WBS!$L$5:$L$2773, IF(WBS!$AU$5:$AU$2773 &gt;0, WBS!$I$5:$I$2773 / WBS!$AU$5:$AU$2773, 0), 0), 0), 0) ))</f>
        <v>0</v>
      </c>
      <c r="K5">
        <f t="array" ref="K5">IF(WEEKDAY(K$1,2)&gt;=6, 0, SUM( IF(WBS!$J$5:$J$2773=$A5, IF(K$1&gt;=WBS!$K$5:$K$2773, IF(K$1&lt;=WBS!$L$5:$L$2773, IF(WBS!$AU$5:$AU$2773 &gt;0, WBS!$I$5:$I$2773 / WBS!$AU$5:$AU$2773, 0), 0), 0), 0) ))</f>
        <v>0</v>
      </c>
      <c r="L5">
        <f t="array" ref="L5">IF(WEEKDAY(L$1,2)&gt;=6, 0, SUM( IF(WBS!$J$5:$J$2773=$A5, IF(L$1&gt;=WBS!$K$5:$K$2773, IF(L$1&lt;=WBS!$L$5:$L$2773, IF(WBS!$AU$5:$AU$2773 &gt;0, WBS!$I$5:$I$2773 / WBS!$AU$5:$AU$2773, 0), 0), 0), 0) ))</f>
        <v>0</v>
      </c>
      <c r="M5">
        <f t="array" ref="M5">IF(WEEKDAY(M$1,2)&gt;=6, 0, SUM( IF(WBS!$J$5:$J$2773=$A5, IF(M$1&gt;=WBS!$K$5:$K$2773, IF(M$1&lt;=WBS!$L$5:$L$2773, IF(WBS!$AU$5:$AU$2773 &gt;0, WBS!$I$5:$I$2773 / WBS!$AU$5:$AU$2773, 0), 0), 0), 0) ))</f>
        <v>0</v>
      </c>
      <c r="N5">
        <f t="array" ref="N5">IF(WEEKDAY(N$1,2)&gt;=6, 0, SUM( IF(WBS!$J$5:$J$2773=$A5, IF(N$1&gt;=WBS!$K$5:$K$2773, IF(N$1&lt;=WBS!$L$5:$L$2773, IF(WBS!$AU$5:$AU$2773 &gt;0, WBS!$I$5:$I$2773 / WBS!$AU$5:$AU$2773, 0), 0), 0), 0) ))</f>
        <v>0</v>
      </c>
      <c r="O5">
        <f t="array" ref="O5">IF(WEEKDAY(O$1,2)&gt;=6, 0, SUM( IF(WBS!$J$5:$J$2773=$A5, IF(O$1&gt;=WBS!$K$5:$K$2773, IF(O$1&lt;=WBS!$L$5:$L$2773, IF(WBS!$AU$5:$AU$2773 &gt;0, WBS!$I$5:$I$2773 / WBS!$AU$5:$AU$2773, 0), 0), 0), 0) ))</f>
        <v>0</v>
      </c>
      <c r="P5">
        <f t="array" ref="P5">IF(WEEKDAY(P$1,2)&gt;=6, 0, SUM( IF(WBS!$J$5:$J$2773=$A5, IF(P$1&gt;=WBS!$K$5:$K$2773, IF(P$1&lt;=WBS!$L$5:$L$2773, IF(WBS!$AU$5:$AU$2773 &gt;0, WBS!$I$5:$I$2773 / WBS!$AU$5:$AU$2773, 0), 0), 0), 0) ))</f>
        <v>0</v>
      </c>
      <c r="Q5">
        <f t="array" ref="Q5">IF(WEEKDAY(Q$1,2)&gt;=6, 0, SUM( IF(WBS!$J$5:$J$2773=$A5, IF(Q$1&gt;=WBS!$K$5:$K$2773, IF(Q$1&lt;=WBS!$L$5:$L$2773, IF(WBS!$AU$5:$AU$2773 &gt;0, WBS!$I$5:$I$2773 / WBS!$AU$5:$AU$2773, 0), 0), 0), 0) ))</f>
        <v>0</v>
      </c>
      <c r="R5">
        <f t="array" ref="R5">IF(WEEKDAY(R$1,2)&gt;=6, 0, SUM( IF(WBS!$J$5:$J$2773=$A5, IF(R$1&gt;=WBS!$K$5:$K$2773, IF(R$1&lt;=WBS!$L$5:$L$2773, IF(WBS!$AU$5:$AU$2773 &gt;0, WBS!$I$5:$I$2773 / WBS!$AU$5:$AU$2773, 0), 0), 0), 0) ))</f>
        <v>0</v>
      </c>
      <c r="S5">
        <f t="array" ref="S5">IF(WEEKDAY(S$1,2)&gt;=6, 0, SUM( IF(WBS!$J$5:$J$2773=$A5, IF(S$1&gt;=WBS!$K$5:$K$2773, IF(S$1&lt;=WBS!$L$5:$L$2773, IF(WBS!$AU$5:$AU$2773 &gt;0, WBS!$I$5:$I$2773 / WBS!$AU$5:$AU$2773, 0), 0), 0), 0) ))</f>
        <v>0</v>
      </c>
      <c r="T5">
        <f t="array" ref="T5">IF(WEEKDAY(T$1,2)&gt;=6, 0, SUM( IF(WBS!$J$5:$J$2773=$A5, IF(T$1&gt;=WBS!$K$5:$K$2773, IF(T$1&lt;=WBS!$L$5:$L$2773, IF(WBS!$AU$5:$AU$2773 &gt;0, WBS!$I$5:$I$2773 / WBS!$AU$5:$AU$2773, 0), 0), 0), 0) ))</f>
        <v>0</v>
      </c>
      <c r="U5">
        <f t="array" ref="U5">IF(WEEKDAY(U$1,2)&gt;=6, 0, SUM( IF(WBS!$J$5:$J$2773=$A5, IF(U$1&gt;=WBS!$K$5:$K$2773, IF(U$1&lt;=WBS!$L$5:$L$2773, IF(WBS!$AU$5:$AU$2773 &gt;0, WBS!$I$5:$I$2773 / WBS!$AU$5:$AU$2773, 0), 0), 0), 0) ))</f>
        <v>0</v>
      </c>
      <c r="V5">
        <f t="array" ref="V5">IF(WEEKDAY(V$1,2)&gt;=6, 0, SUM( IF(WBS!$J$5:$J$2773=$A5, IF(V$1&gt;=WBS!$K$5:$K$2773, IF(V$1&lt;=WBS!$L$5:$L$2773, IF(WBS!$AU$5:$AU$2773 &gt;0, WBS!$I$5:$I$2773 / WBS!$AU$5:$AU$2773, 0), 0), 0), 0) ))</f>
        <v>0</v>
      </c>
      <c r="W5">
        <f t="array" ref="W5">IF(WEEKDAY(W$1,2)&gt;=6, 0, SUM( IF(WBS!$J$5:$J$2773=$A5, IF(W$1&gt;=WBS!$K$5:$K$2773, IF(W$1&lt;=WBS!$L$5:$L$2773, IF(WBS!$AU$5:$AU$2773 &gt;0, WBS!$I$5:$I$2773 / WBS!$AU$5:$AU$2773, 0), 0), 0), 0) ))</f>
        <v>0</v>
      </c>
      <c r="X5">
        <f t="array" ref="X5">IF(WEEKDAY(X$1,2)&gt;=6, 0, SUM( IF(WBS!$J$5:$J$2773=$A5, IF(X$1&gt;=WBS!$K$5:$K$2773, IF(X$1&lt;=WBS!$L$5:$L$2773, IF(WBS!$AU$5:$AU$2773 &gt;0, WBS!$I$5:$I$2773 / WBS!$AU$5:$AU$2773, 0), 0), 0), 0) ))</f>
        <v>0</v>
      </c>
      <c r="Y5">
        <f t="array" ref="Y5">IF(WEEKDAY(Y$1,2)&gt;=6, 0, SUM( IF(WBS!$J$5:$J$2773=$A5, IF(Y$1&gt;=WBS!$K$5:$K$2773, IF(Y$1&lt;=WBS!$L$5:$L$2773, IF(WBS!$AU$5:$AU$2773 &gt;0, WBS!$I$5:$I$2773 / WBS!$AU$5:$AU$2773, 0), 0), 0), 0) ))</f>
        <v>0</v>
      </c>
      <c r="Z5">
        <f t="array" ref="Z5">IF(WEEKDAY(Z$1,2)&gt;=6, 0, SUM( IF(WBS!$J$5:$J$2773=$A5, IF(Z$1&gt;=WBS!$K$5:$K$2773, IF(Z$1&lt;=WBS!$L$5:$L$2773, IF(WBS!$AU$5:$AU$2773 &gt;0, WBS!$I$5:$I$2773 / WBS!$AU$5:$AU$2773, 0), 0), 0), 0) ))</f>
        <v>0</v>
      </c>
      <c r="AA5">
        <f t="array" ref="AA5">IF(WEEKDAY(AA$1,2)&gt;=6, 0, SUM( IF(WBS!$J$5:$J$2773=$A5, IF(AA$1&gt;=WBS!$K$5:$K$2773, IF(AA$1&lt;=WBS!$L$5:$L$2773, IF(WBS!$AU$5:$AU$2773 &gt;0, WBS!$I$5:$I$2773 / WBS!$AU$5:$AU$2773, 0), 0), 0), 0) ))</f>
        <v>0</v>
      </c>
      <c r="AB5">
        <f t="array" ref="AB5">IF(WEEKDAY(AB$1,2)&gt;=6, 0, SUM( IF(WBS!$J$5:$J$2773=$A5, IF(AB$1&gt;=WBS!$K$5:$K$2773, IF(AB$1&lt;=WBS!$L$5:$L$2773, IF(WBS!$AU$5:$AU$2773 &gt;0, WBS!$I$5:$I$2773 / WBS!$AU$5:$AU$2773, 0), 0), 0), 0) ))</f>
        <v>0</v>
      </c>
      <c r="AC5">
        <f t="array" ref="AC5">IF(WEEKDAY(AC$1,2)&gt;=6, 0, SUM( IF(WBS!$J$5:$J$2773=$A5, IF(AC$1&gt;=WBS!$K$5:$K$2773, IF(AC$1&lt;=WBS!$L$5:$L$2773, IF(WBS!$AU$5:$AU$2773 &gt;0, WBS!$I$5:$I$2773 / WBS!$AU$5:$AU$2773, 0), 0), 0), 0) ))</f>
        <v>0</v>
      </c>
      <c r="AD5">
        <f t="array" ref="AD5">IF(WEEKDAY(AD$1,2)&gt;=6, 0, SUM( IF(WBS!$J$5:$J$2773=$A5, IF(AD$1&gt;=WBS!$K$5:$K$2773, IF(AD$1&lt;=WBS!$L$5:$L$2773, IF(WBS!$AU$5:$AU$2773 &gt;0, WBS!$I$5:$I$2773 / WBS!$AU$5:$AU$2773, 0), 0), 0), 0) ))</f>
        <v>0</v>
      </c>
      <c r="AE5">
        <f t="array" ref="AE5">IF(WEEKDAY(AE$1,2)&gt;=6, 0, SUM( IF(WBS!$J$5:$J$2773=$A5, IF(AE$1&gt;=WBS!$K$5:$K$2773, IF(AE$1&lt;=WBS!$L$5:$L$2773, IF(WBS!$AU$5:$AU$2773 &gt;0, WBS!$I$5:$I$2773 / WBS!$AU$5:$AU$2773, 0), 0), 0), 0) ))</f>
        <v>0</v>
      </c>
      <c r="AF5">
        <f t="array" ref="AF5">IF(WEEKDAY(AF$1,2)&gt;=6, 0, SUM( IF(WBS!$J$5:$J$2773=$A5, IF(AF$1&gt;=WBS!$K$5:$K$2773, IF(AF$1&lt;=WBS!$L$5:$L$2773, IF(WBS!$AU$5:$AU$2773 &gt;0, WBS!$I$5:$I$2773 / WBS!$AU$5:$AU$2773, 0), 0), 0), 0) ))</f>
        <v>0</v>
      </c>
      <c r="AG5">
        <f t="array" ref="AG5">IF(WEEKDAY(AG$1,2)&gt;=6, 0, SUM( IF(WBS!$J$5:$J$2773=$A5, IF(AG$1&gt;=WBS!$K$5:$K$2773, IF(AG$1&lt;=WBS!$L$5:$L$2773, IF(WBS!$AU$5:$AU$2773 &gt;0, WBS!$I$5:$I$2773 / WBS!$AU$5:$AU$2773, 0), 0), 0), 0) ))</f>
        <v>0</v>
      </c>
      <c r="AH5">
        <f t="array" ref="AH5">IF(WEEKDAY(AH$1,2)&gt;=6, 0, SUM( IF(WBS!$J$5:$J$2773=$A5, IF(AH$1&gt;=WBS!$K$5:$K$2773, IF(AH$1&lt;=WBS!$L$5:$L$2773, IF(WBS!$AU$5:$AU$2773 &gt;0, WBS!$I$5:$I$2773 / WBS!$AU$5:$AU$2773, 0), 0), 0), 0) ))</f>
        <v>0</v>
      </c>
      <c r="AI5">
        <f t="array" ref="AI5">IF(WEEKDAY(AI$1,2)&gt;=6, 0, SUM( IF(WBS!$J$5:$J$2773=$A5, IF(AI$1&gt;=WBS!$K$5:$K$2773, IF(AI$1&lt;=WBS!$L$5:$L$2773, IF(WBS!$AU$5:$AU$2773 &gt;0, WBS!$I$5:$I$2773 / WBS!$AU$5:$AU$2773, 0), 0), 0), 0) ))</f>
        <v>0</v>
      </c>
      <c r="AJ5">
        <f t="array" ref="AJ5">IF(WEEKDAY(AJ$1,2)&gt;=6, 0, SUM( IF(WBS!$J$5:$J$2773=$A5, IF(AJ$1&gt;=WBS!$K$5:$K$2773, IF(AJ$1&lt;=WBS!$L$5:$L$2773, IF(WBS!$AU$5:$AU$2773 &gt;0, WBS!$I$5:$I$2773 / WBS!$AU$5:$AU$2773, 0), 0), 0), 0) ))</f>
        <v>0</v>
      </c>
      <c r="AK5">
        <f t="array" ref="AK5">IF(WEEKDAY(AK$1,2)&gt;=6, 0, SUM( IF(WBS!$J$5:$J$2773=$A5, IF(AK$1&gt;=WBS!$K$5:$K$2773, IF(AK$1&lt;=WBS!$L$5:$L$2773, IF(WBS!$AU$5:$AU$2773 &gt;0, WBS!$I$5:$I$2773 / WBS!$AU$5:$AU$2773, 0), 0), 0), 0) ))</f>
        <v>0</v>
      </c>
      <c r="AL5">
        <f t="array" ref="AL5">IF(WEEKDAY(AL$1,2)&gt;=6, 0, SUM( IF(WBS!$J$5:$J$2773=$A5, IF(AL$1&gt;=WBS!$K$5:$K$2773, IF(AL$1&lt;=WBS!$L$5:$L$2773, IF(WBS!$AU$5:$AU$2773 &gt;0, WBS!$I$5:$I$2773 / WBS!$AU$5:$AU$2773, 0), 0), 0), 0) ))</f>
        <v>0</v>
      </c>
      <c r="AM5">
        <f t="array" ref="AM5">IF(WEEKDAY(AM$1,2)&gt;=6, 0, SUM( IF(WBS!$J$5:$J$2773=$A5, IF(AM$1&gt;=WBS!$K$5:$K$2773, IF(AM$1&lt;=WBS!$L$5:$L$2773, IF(WBS!$AU$5:$AU$2773 &gt;0, WBS!$I$5:$I$2773 / WBS!$AU$5:$AU$2773, 0), 0), 0), 0) ))</f>
        <v>0</v>
      </c>
      <c r="AN5">
        <f t="array" ref="AN5">IF(WEEKDAY(AN$1,2)&gt;=6, 0, SUM( IF(WBS!$J$5:$J$2773=$A5, IF(AN$1&gt;=WBS!$K$5:$K$2773, IF(AN$1&lt;=WBS!$L$5:$L$2773, IF(WBS!$AU$5:$AU$2773 &gt;0, WBS!$I$5:$I$2773 / WBS!$AU$5:$AU$2773, 0), 0), 0), 0) ))</f>
        <v>0</v>
      </c>
      <c r="AO5">
        <f t="array" ref="AO5">IF(WEEKDAY(AO$1,2)&gt;=6, 0, SUM( IF(WBS!$J$5:$J$2773=$A5, IF(AO$1&gt;=WBS!$K$5:$K$2773, IF(AO$1&lt;=WBS!$L$5:$L$2773, IF(WBS!$AU$5:$AU$2773 &gt;0, WBS!$I$5:$I$2773 / WBS!$AU$5:$AU$2773, 0), 0), 0), 0) ))</f>
        <v>0</v>
      </c>
      <c r="AP5">
        <f t="array" ref="AP5">IF(WEEKDAY(AP$1,2)&gt;=6, 0, SUM( IF(WBS!$J$5:$J$2773=$A5, IF(AP$1&gt;=WBS!$K$5:$K$2773, IF(AP$1&lt;=WBS!$L$5:$L$2773, IF(WBS!$AU$5:$AU$2773 &gt;0, WBS!$I$5:$I$2773 / WBS!$AU$5:$AU$2773, 0), 0), 0), 0) ))</f>
        <v>0</v>
      </c>
      <c r="AQ5">
        <f t="array" ref="AQ5">IF(WEEKDAY(AQ$1,2)&gt;=6, 0, SUM( IF(WBS!$J$5:$J$2773=$A5, IF(AQ$1&gt;=WBS!$K$5:$K$2773, IF(AQ$1&lt;=WBS!$L$5:$L$2773, IF(WBS!$AU$5:$AU$2773 &gt;0, WBS!$I$5:$I$2773 / WBS!$AU$5:$AU$2773, 0), 0), 0), 0) ))</f>
        <v>0</v>
      </c>
      <c r="AR5">
        <f t="array" ref="AR5">IF(WEEKDAY(AR$1,2)&gt;=6, 0, SUM( IF(WBS!$J$5:$J$2773=$A5, IF(AR$1&gt;=WBS!$K$5:$K$2773, IF(AR$1&lt;=WBS!$L$5:$L$2773, IF(WBS!$AU$5:$AU$2773 &gt;0, WBS!$I$5:$I$2773 / WBS!$AU$5:$AU$2773, 0), 0), 0), 0) ))</f>
        <v>0</v>
      </c>
      <c r="AS5">
        <f t="array" ref="AS5">IF(WEEKDAY(AS$1,2)&gt;=6, 0, SUM( IF(WBS!$J$5:$J$2773=$A5, IF(AS$1&gt;=WBS!$K$5:$K$2773, IF(AS$1&lt;=WBS!$L$5:$L$2773, IF(WBS!$AU$5:$AU$2773 &gt;0, WBS!$I$5:$I$2773 / WBS!$AU$5:$AU$2773, 0), 0), 0), 0) ))</f>
        <v>0</v>
      </c>
      <c r="AT5">
        <f t="array" ref="AT5">IF(WEEKDAY(AT$1,2)&gt;=6, 0, SUM( IF(WBS!$J$5:$J$2773=$A5, IF(AT$1&gt;=WBS!$K$5:$K$2773, IF(AT$1&lt;=WBS!$L$5:$L$2773, IF(WBS!$AU$5:$AU$2773 &gt;0, WBS!$I$5:$I$2773 / WBS!$AU$5:$AU$2773, 0), 0), 0), 0) ))</f>
        <v>0</v>
      </c>
      <c r="AU5">
        <f t="array" ref="AU5">IF(WEEKDAY(AU$1,2)&gt;=6, 0, SUM( IF(WBS!$J$5:$J$2773=$A5, IF(AU$1&gt;=WBS!$K$5:$K$2773, IF(AU$1&lt;=WBS!$L$5:$L$2773, IF(WBS!$AU$5:$AU$2773 &gt;0, WBS!$I$5:$I$2773 / WBS!$AU$5:$AU$2773, 0), 0), 0), 0) ))</f>
        <v>0</v>
      </c>
      <c r="AV5">
        <f t="array" ref="AV5">IF(WEEKDAY(AV$1,2)&gt;=6, 0, SUM( IF(WBS!$J$5:$J$2773=$A5, IF(AV$1&gt;=WBS!$K$5:$K$2773, IF(AV$1&lt;=WBS!$L$5:$L$2773, IF(WBS!$AU$5:$AU$2773 &gt;0, WBS!$I$5:$I$2773 / WBS!$AU$5:$AU$2773, 0), 0), 0), 0) ))</f>
        <v>0</v>
      </c>
      <c r="AW5">
        <f t="array" ref="AW5">IF(WEEKDAY(AW$1,2)&gt;=6, 0, SUM( IF(WBS!$J$5:$J$2773=$A5, IF(AW$1&gt;=WBS!$K$5:$K$2773, IF(AW$1&lt;=WBS!$L$5:$L$2773, IF(WBS!$AU$5:$AU$2773 &gt;0, WBS!$I$5:$I$2773 / WBS!$AU$5:$AU$2773, 0), 0), 0), 0) ))</f>
        <v>0</v>
      </c>
      <c r="AX5">
        <f t="array" ref="AX5">IF(WEEKDAY(AX$1,2)&gt;=6, 0, SUM( IF(WBS!$J$5:$J$2773=$A5, IF(AX$1&gt;=WBS!$K$5:$K$2773, IF(AX$1&lt;=WBS!$L$5:$L$2773, IF(WBS!$AU$5:$AU$2773 &gt;0, WBS!$I$5:$I$2773 / WBS!$AU$5:$AU$2773, 0), 0), 0), 0) ))</f>
        <v>0</v>
      </c>
      <c r="AY5">
        <f t="array" ref="AY5">IF(WEEKDAY(AY$1,2)&gt;=6, 0, SUM( IF(WBS!$J$5:$J$2773=$A5, IF(AY$1&gt;=WBS!$K$5:$K$2773, IF(AY$1&lt;=WBS!$L$5:$L$2773, IF(WBS!$AU$5:$AU$2773 &gt;0, WBS!$I$5:$I$2773 / WBS!$AU$5:$AU$2773, 0), 0), 0), 0) ))</f>
        <v>0</v>
      </c>
      <c r="AZ5">
        <f t="array" ref="AZ5">IF(WEEKDAY(AZ$1,2)&gt;=6, 0, SUM( IF(WBS!$J$5:$J$2773=$A5, IF(AZ$1&gt;=WBS!$K$5:$K$2773, IF(AZ$1&lt;=WBS!$L$5:$L$2773, IF(WBS!$AU$5:$AU$2773 &gt;0, WBS!$I$5:$I$2773 / WBS!$AU$5:$AU$2773, 0), 0), 0), 0) ))</f>
        <v>0</v>
      </c>
      <c r="BA5">
        <f t="array" ref="BA5">IF(WEEKDAY(BA$1,2)&gt;=6, 0, SUM( IF(WBS!$J$5:$J$2773=$A5, IF(BA$1&gt;=WBS!$K$5:$K$2773, IF(BA$1&lt;=WBS!$L$5:$L$2773, IF(WBS!$AU$5:$AU$2773 &gt;0, WBS!$I$5:$I$2773 / WBS!$AU$5:$AU$2773, 0), 0), 0), 0) ))</f>
        <v>0</v>
      </c>
      <c r="BB5">
        <f t="array" ref="BB5">IF(WEEKDAY(BB$1,2)&gt;=6, 0, SUM( IF(WBS!$J$5:$J$2773=$A5, IF(BB$1&gt;=WBS!$K$5:$K$2773, IF(BB$1&lt;=WBS!$L$5:$L$2773, IF(WBS!$AU$5:$AU$2773 &gt;0, WBS!$I$5:$I$2773 / WBS!$AU$5:$AU$2773, 0), 0), 0), 0) ))</f>
        <v>0</v>
      </c>
      <c r="BC5">
        <f t="array" ref="BC5">IF(WEEKDAY(BC$1,2)&gt;=6, 0, SUM( IF(WBS!$J$5:$J$2773=$A5, IF(BC$1&gt;=WBS!$K$5:$K$2773, IF(BC$1&lt;=WBS!$L$5:$L$2773, IF(WBS!$AU$5:$AU$2773 &gt;0, WBS!$I$5:$I$2773 / WBS!$AU$5:$AU$2773, 0), 0), 0), 0) ))</f>
        <v>0</v>
      </c>
      <c r="BD5">
        <f t="array" ref="BD5">IF(WEEKDAY(BD$1,2)&gt;=6, 0, SUM( IF(WBS!$J$5:$J$2773=$A5, IF(BD$1&gt;=WBS!$K$5:$K$2773, IF(BD$1&lt;=WBS!$L$5:$L$2773, IF(WBS!$AU$5:$AU$2773 &gt;0, WBS!$I$5:$I$2773 / WBS!$AU$5:$AU$2773, 0), 0), 0), 0) ))</f>
        <v>0</v>
      </c>
      <c r="BE5">
        <f t="array" ref="BE5">IF(WEEKDAY(BE$1,2)&gt;=6, 0, SUM( IF(WBS!$J$5:$J$2773=$A5, IF(BE$1&gt;=WBS!$K$5:$K$2773, IF(BE$1&lt;=WBS!$L$5:$L$2773, IF(WBS!$AU$5:$AU$2773 &gt;0, WBS!$I$5:$I$2773 / WBS!$AU$5:$AU$2773, 0), 0), 0), 0) ))</f>
        <v>0</v>
      </c>
      <c r="BF5">
        <f t="array" ref="BF5">IF(WEEKDAY(BF$1,2)&gt;=6, 0, SUM( IF(WBS!$J$5:$J$2773=$A5, IF(BF$1&gt;=WBS!$K$5:$K$2773, IF(BF$1&lt;=WBS!$L$5:$L$2773, IF(WBS!$AU$5:$AU$2773 &gt;0, WBS!$I$5:$I$2773 / WBS!$AU$5:$AU$2773, 0), 0), 0), 0) ))</f>
        <v>0</v>
      </c>
      <c r="BG5">
        <f t="array" ref="BG5">IF(WEEKDAY(BG$1,2)&gt;=6, 0, SUM( IF(WBS!$J$5:$J$2773=$A5, IF(BG$1&gt;=WBS!$K$5:$K$2773, IF(BG$1&lt;=WBS!$L$5:$L$2773, IF(WBS!$AU$5:$AU$2773 &gt;0, WBS!$I$5:$I$2773 / WBS!$AU$5:$AU$2773, 0), 0), 0), 0) ))</f>
        <v>0</v>
      </c>
      <c r="BH5">
        <f t="array" ref="BH5">IF(WEEKDAY(BH$1,2)&gt;=6, 0, SUM( IF(WBS!$J$5:$J$2773=$A5, IF(BH$1&gt;=WBS!$K$5:$K$2773, IF(BH$1&lt;=WBS!$L$5:$L$2773, IF(WBS!$AU$5:$AU$2773 &gt;0, WBS!$I$5:$I$2773 / WBS!$AU$5:$AU$2773, 0), 0), 0), 0) ))</f>
        <v>0</v>
      </c>
      <c r="BI5" s="42">
        <f t="array" ref="BI5">IF(WEEKDAY(BI$1,2)&gt;=6, 0, SUM( IF(WBS!$J$5:$J$2773=$A5, IF(BI$1&gt;=WBS!$K$5:$K$2773, IF(BI$1&lt;=WBS!$L$5:$L$2773, IF(WBS!$AU$5:$AU$2773 &gt;0, WBS!$I$5:$I$2773 / WBS!$AU$5:$AU$2773, 0), 0), 0), 0) ))</f>
        <v>0</v>
      </c>
      <c r="BJ5" s="42">
        <f t="array" ref="BJ5">IF(WEEKDAY(BJ$1,2)&gt;=6, 0, SUM( IF(WBS!$J$5:$J$2773=$A5, IF(BJ$1&gt;=WBS!$K$5:$K$2773, IF(BJ$1&lt;=WBS!$L$5:$L$2773, IF(WBS!$AU$5:$AU$2773 &gt;0, WBS!$I$5:$I$2773 / WBS!$AU$5:$AU$2773, 0), 0), 0), 0) ))</f>
        <v>0</v>
      </c>
      <c r="BK5">
        <f t="array" ref="BK5">IF(WEEKDAY(BK$1,2)&gt;=6, 0, SUM( IF(WBS!$J$5:$J$2773=$A5, IF(BK$1&gt;=WBS!$K$5:$K$2773, IF(BK$1&lt;=WBS!$L$5:$L$2773, IF(WBS!$AU$5:$AU$2773 &gt;0, WBS!$I$5:$I$2773 / WBS!$AU$5:$AU$2773, 0), 0), 0), 0) ))</f>
        <v>0</v>
      </c>
      <c r="BL5">
        <f t="array" ref="BL5">IF(WEEKDAY(BL$1,2)&gt;=6, 0, SUM( IF(WBS!$J$5:$J$2773=$A5, IF(BL$1&gt;=WBS!$K$5:$K$2773, IF(BL$1&lt;=WBS!$L$5:$L$2773, IF(WBS!$AU$5:$AU$2773 &gt;0, WBS!$I$5:$I$2773 / WBS!$AU$5:$AU$2773, 0), 0), 0), 0) ))</f>
        <v>0</v>
      </c>
      <c r="BM5">
        <f t="array" ref="BM5">IF(WEEKDAY(BM$1,2)&gt;=6, 0, SUM( IF(WBS!$J$5:$J$2773=$A5, IF(BM$1&gt;=WBS!$K$5:$K$2773, IF(BM$1&lt;=WBS!$L$5:$L$2773, IF(WBS!$AU$5:$AU$2773 &gt;0, WBS!$I$5:$I$2773 / WBS!$AU$5:$AU$2773, 0), 0), 0), 0) ))</f>
        <v>0</v>
      </c>
      <c r="BN5">
        <f t="array" ref="BN5">IF(WEEKDAY(BN$1,2)&gt;=6, 0, SUM( IF(WBS!$J$5:$J$2773=$A5, IF(BN$1&gt;=WBS!$K$5:$K$2773, IF(BN$1&lt;=WBS!$L$5:$L$2773, IF(WBS!$AU$5:$AU$2773 &gt;0, WBS!$I$5:$I$2773 / WBS!$AU$5:$AU$2773, 0), 0), 0), 0) ))</f>
        <v>0</v>
      </c>
      <c r="BO5">
        <f t="array" ref="BO5">IF(WEEKDAY(BO$1,2)&gt;=6, 0, SUM( IF(WBS!$J$5:$J$2773=$A5, IF(BO$1&gt;=WBS!$K$5:$K$2773, IF(BO$1&lt;=WBS!$L$5:$L$2773, IF(WBS!$AU$5:$AU$2773 &gt;0, WBS!$I$5:$I$2773 / WBS!$AU$5:$AU$2773, 0), 0), 0), 0) ))</f>
        <v>0</v>
      </c>
      <c r="BP5" s="42">
        <f t="array" ref="BP5">IF(WEEKDAY(BP$1,2)&gt;=6, 0, SUM( IF(WBS!$J$5:$J$2773=$A5, IF(BP$1&gt;=WBS!$K$5:$K$2773, IF(BP$1&lt;=WBS!$L$5:$L$2773, IF(WBS!$AU$5:$AU$2773 &gt;0, WBS!$I$5:$I$2773 / WBS!$AU$5:$AU$2773, 0), 0), 0), 0) ))</f>
        <v>0</v>
      </c>
      <c r="BQ5" s="42">
        <f t="array" ref="BQ5">IF(WEEKDAY(BQ$1,2)&gt;=6, 0, SUM( IF(WBS!$J$5:$J$2773=$A5, IF(BQ$1&gt;=WBS!$K$5:$K$2773, IF(BQ$1&lt;=WBS!$L$5:$L$2773, IF(WBS!$AU$5:$AU$2773 &gt;0, WBS!$I$5:$I$2773 / WBS!$AU$5:$AU$2773, 0), 0), 0), 0) ))</f>
        <v>0</v>
      </c>
      <c r="BR5">
        <f t="array" ref="BR5">IF(WEEKDAY(BR$1,2)&gt;=6, 0, SUM( IF(WBS!$J$5:$J$2773=$A5, IF(BR$1&gt;=WBS!$K$5:$K$2773, IF(BR$1&lt;=WBS!$L$5:$L$2773, IF(WBS!$AU$5:$AU$2773 &gt;0, WBS!$I$5:$I$2773 / WBS!$AU$5:$AU$2773, 0), 0), 0), 0) ))</f>
        <v>0</v>
      </c>
      <c r="BS5">
        <f t="array" ref="BS5">IF(WEEKDAY(BS$1,2)&gt;=6, 0, SUM( IF(WBS!$J$5:$J$2773=$A5, IF(BS$1&gt;=WBS!$K$5:$K$2773, IF(BS$1&lt;=WBS!$L$5:$L$2773, IF(WBS!$AU$5:$AU$2773 &gt;0, WBS!$I$5:$I$2773 / WBS!$AU$5:$AU$2773, 0), 0), 0), 0) ))</f>
        <v>0</v>
      </c>
      <c r="BT5">
        <f t="array" ref="BT5">IF(WEEKDAY(BT$1,2)&gt;=6, 0, SUM( IF(WBS!$J$5:$J$2773=$A5, IF(BT$1&gt;=WBS!$K$5:$K$2773, IF(BT$1&lt;=WBS!$L$5:$L$2773, IF(WBS!$AU$5:$AU$2773 &gt;0, WBS!$I$5:$I$2773 / WBS!$AU$5:$AU$2773, 0), 0), 0), 0) ))</f>
        <v>0</v>
      </c>
      <c r="BU5">
        <f t="array" ref="BU5">IF(WEEKDAY(BU$1,2)&gt;=6, 0, SUM( IF(WBS!$J$5:$J$2773=$A5, IF(BU$1&gt;=WBS!$K$5:$K$2773, IF(BU$1&lt;=WBS!$L$5:$L$2773, IF(WBS!$AU$5:$AU$2773 &gt;0, WBS!$I$5:$I$2773 / WBS!$AU$5:$AU$2773, 0), 0), 0), 0) ))</f>
        <v>0</v>
      </c>
      <c r="BV5">
        <f t="array" ref="BV5">IF(WEEKDAY(BV$1,2)&gt;=6, 0, SUM( IF(WBS!$J$5:$J$2773=$A5, IF(BV$1&gt;=WBS!$K$5:$K$2773, IF(BV$1&lt;=WBS!$L$5:$L$2773, IF(WBS!$AU$5:$AU$2773 &gt;0, WBS!$I$5:$I$2773 / WBS!$AU$5:$AU$2773, 0), 0), 0), 0) ))</f>
        <v>0</v>
      </c>
      <c r="BW5" s="42">
        <f t="array" ref="BW5">IF(WEEKDAY(BW$1,2)&gt;=6, 0, SUM( IF(WBS!$J$5:$J$2773=$A5, IF(BW$1&gt;=WBS!$K$5:$K$2773, IF(BW$1&lt;=WBS!$L$5:$L$2773, IF(WBS!$AU$5:$AU$2773 &gt;0, WBS!$I$5:$I$2773 / WBS!$AU$5:$AU$2773, 0), 0), 0), 0) ))</f>
        <v>0</v>
      </c>
      <c r="BX5" s="42">
        <f t="array" ref="BX5">IF(WEEKDAY(BX$1,2)&gt;=6, 0, SUM( IF(WBS!$J$5:$J$2773=$A5, IF(BX$1&gt;=WBS!$K$5:$K$2773, IF(BX$1&lt;=WBS!$L$5:$L$2773, IF(WBS!$AU$5:$AU$2773 &gt;0, WBS!$I$5:$I$2773 / WBS!$AU$5:$AU$2773, 0), 0), 0), 0) ))</f>
        <v>0</v>
      </c>
      <c r="BY5">
        <f t="array" ref="BY5">IF(WEEKDAY(BY$1,2)&gt;=6, 0, SUM( IF(WBS!$J$5:$J$2773=$A5, IF(BY$1&gt;=WBS!$K$5:$K$2773, IF(BY$1&lt;=WBS!$L$5:$L$2773, IF(WBS!$AU$5:$AU$2773 &gt;0, WBS!$I$5:$I$2773 / WBS!$AU$5:$AU$2773, 0), 0), 0), 0) ))</f>
        <v>0</v>
      </c>
      <c r="BZ5">
        <f t="array" ref="BZ5">IF(WEEKDAY(BZ$1,2)&gt;=6, 0, SUM( IF(WBS!$J$5:$J$2773=$A5, IF(BZ$1&gt;=WBS!$K$5:$K$2773, IF(BZ$1&lt;=WBS!$L$5:$L$2773, IF(WBS!$AU$5:$AU$2773 &gt;0, WBS!$I$5:$I$2773 / WBS!$AU$5:$AU$2773, 0), 0), 0), 0) ))</f>
        <v>0</v>
      </c>
      <c r="CA5">
        <f t="array" ref="CA5">IF(WEEKDAY(CA$1,2)&gt;=6, 0, SUM( IF(WBS!$J$5:$J$2773=$A5, IF(CA$1&gt;=WBS!$K$5:$K$2773, IF(CA$1&lt;=WBS!$L$5:$L$2773, IF(WBS!$AU$5:$AU$2773 &gt;0, WBS!$I$5:$I$2773 / WBS!$AU$5:$AU$2773, 0), 0), 0), 0) ))</f>
        <v>0</v>
      </c>
      <c r="CB5">
        <f t="array" ref="CB5">IF(WEEKDAY(CB$1,2)&gt;=6, 0, SUM( IF(WBS!$J$5:$J$2773=$A5, IF(CB$1&gt;=WBS!$K$5:$K$2773, IF(CB$1&lt;=WBS!$L$5:$L$2773, IF(WBS!$AU$5:$AU$2773 &gt;0, WBS!$I$5:$I$2773 / WBS!$AU$5:$AU$2773, 0), 0), 0), 0) ))</f>
        <v>0</v>
      </c>
      <c r="CC5">
        <f t="array" ref="CC5">IF(WEEKDAY(CC$1,2)&gt;=6, 0, SUM( IF(WBS!$J$5:$J$2773=$A5, IF(CC$1&gt;=WBS!$K$5:$K$2773, IF(CC$1&lt;=WBS!$L$5:$L$2773, IF(WBS!$AU$5:$AU$2773 &gt;0, WBS!$I$5:$I$2773 / WBS!$AU$5:$AU$2773, 0), 0), 0), 0) ))</f>
        <v>0</v>
      </c>
      <c r="CD5" s="42">
        <f t="array" ref="CD5">IF(WEEKDAY(CD$1,2)&gt;=6, 0, SUM( IF(WBS!$J$5:$J$2773=$A5, IF(CD$1&gt;=WBS!$K$5:$K$2773, IF(CD$1&lt;=WBS!$L$5:$L$2773, IF(WBS!$AU$5:$AU$2773 &gt;0, WBS!$I$5:$I$2773 / WBS!$AU$5:$AU$2773, 0), 0), 0), 0) ))</f>
        <v>0</v>
      </c>
      <c r="CE5" s="42">
        <f t="array" ref="CE5">IF(WEEKDAY(CE$1,2)&gt;=6, 0, SUM( IF(WBS!$J$5:$J$2773=$A5, IF(CE$1&gt;=WBS!$K$5:$K$2773, IF(CE$1&lt;=WBS!$L$5:$L$2773, IF(WBS!$AU$5:$AU$2773 &gt;0, WBS!$I$5:$I$2773 / WBS!$AU$5:$AU$2773, 0), 0), 0), 0) ))</f>
        <v>0</v>
      </c>
      <c r="CF5">
        <f t="array" ref="CF5">IF(WEEKDAY(CF$1,2)&gt;=6, 0, SUM( IF(WBS!$J$5:$J$2773=$A5, IF(CF$1&gt;=WBS!$K$5:$K$2773, IF(CF$1&lt;=WBS!$L$5:$L$2773, IF(WBS!$AU$5:$AU$2773 &gt;0, WBS!$I$5:$I$2773 / WBS!$AU$5:$AU$2773, 0), 0), 0), 0) ))</f>
        <v>0</v>
      </c>
      <c r="CG5">
        <f t="array" ref="CG5">IF(WEEKDAY(CG$1,2)&gt;=6, 0, SUM( IF(WBS!$J$5:$J$2773=$A5, IF(CG$1&gt;=WBS!$K$5:$K$2773, IF(CG$1&lt;=WBS!$L$5:$L$2773, IF(WBS!$AU$5:$AU$2773 &gt;0, WBS!$I$5:$I$2773 / WBS!$AU$5:$AU$2773, 0), 0), 0), 0) ))</f>
        <v>0</v>
      </c>
      <c r="CH5">
        <f t="array" ref="CH5">IF(WEEKDAY(CH$1,2)&gt;=6, 0, SUM( IF(WBS!$J$5:$J$2773=$A5, IF(CH$1&gt;=WBS!$K$5:$K$2773, IF(CH$1&lt;=WBS!$L$5:$L$2773, IF(WBS!$AU$5:$AU$2773 &gt;0, WBS!$I$5:$I$2773 / WBS!$AU$5:$AU$2773, 0), 0), 0), 0) ))</f>
        <v>0</v>
      </c>
      <c r="CI5" s="274"/>
      <c r="CK5" s="42"/>
      <c r="CL5" s="42"/>
      <c r="CR5" s="42"/>
      <c r="CS5" s="42"/>
      <c r="CY5" s="42"/>
      <c r="CZ5" s="42"/>
      <c r="DF5" s="42"/>
      <c r="DG5" s="42"/>
      <c r="DM5" s="42"/>
      <c r="DN5" s="42"/>
      <c r="DT5" s="42"/>
      <c r="DU5" s="42"/>
      <c r="EA5" s="276"/>
      <c r="EB5" s="276"/>
      <c r="EC5" s="274"/>
      <c r="ED5" s="274"/>
      <c r="EE5" s="274"/>
      <c r="EF5" s="274"/>
      <c r="EG5" s="274"/>
      <c r="EH5" s="274"/>
      <c r="EI5" s="274"/>
      <c r="EJ5" s="274"/>
      <c r="EO5" s="42"/>
      <c r="EP5" s="42"/>
      <c r="EV5" s="42"/>
      <c r="EW5" s="42"/>
      <c r="FC5" s="42"/>
      <c r="FD5" s="42"/>
      <c r="FJ5" s="42"/>
      <c r="FK5" s="42"/>
      <c r="FQ5" s="42"/>
      <c r="FR5" s="42"/>
      <c r="FX5" s="42"/>
      <c r="FY5" s="42"/>
      <c r="FZ5" s="274"/>
      <c r="GE5" s="42"/>
      <c r="GF5" s="42"/>
      <c r="GL5" s="42"/>
      <c r="GM5" s="42"/>
      <c r="GS5" s="42"/>
      <c r="GT5" s="42"/>
      <c r="GY5" s="274"/>
      <c r="GZ5" s="42"/>
      <c r="HA5" s="42"/>
      <c r="HB5" s="274"/>
      <c r="HC5" s="274"/>
      <c r="HG5" s="42"/>
      <c r="HH5" s="42"/>
      <c r="HN5" s="42"/>
      <c r="HO5" s="42"/>
      <c r="HU5" s="42"/>
      <c r="HV5" s="42"/>
      <c r="IB5" s="42"/>
      <c r="IC5" s="42"/>
      <c r="II5" s="42"/>
      <c r="IJ5" s="42"/>
      <c r="IP5" s="42"/>
      <c r="IQ5" s="42"/>
      <c r="IV5" s="274"/>
      <c r="IW5" s="42"/>
      <c r="IX5" s="42"/>
      <c r="JD5" s="42"/>
      <c r="JE5" s="42"/>
      <c r="JK5" s="42"/>
      <c r="JL5" s="42"/>
      <c r="JR5" s="42"/>
      <c r="JS5" s="42"/>
      <c r="JY5" s="42"/>
      <c r="JZ5" s="42"/>
      <c r="KF5" s="42"/>
      <c r="KG5" s="42"/>
      <c r="KM5" s="42"/>
      <c r="KN5" s="42"/>
      <c r="KT5" s="42"/>
      <c r="KU5" s="42"/>
      <c r="LA5" s="42"/>
      <c r="LB5" s="42"/>
      <c r="LH5" s="42"/>
      <c r="LI5" s="42"/>
      <c r="LO5" s="42"/>
      <c r="LP5" s="42"/>
      <c r="LV5" s="42"/>
      <c r="LW5" s="42"/>
      <c r="MC5" s="42"/>
      <c r="MD5" s="42"/>
      <c r="MJ5" s="42"/>
      <c r="MK5" s="42"/>
      <c r="MP5" s="274"/>
      <c r="MQ5" s="42"/>
      <c r="MR5" s="276"/>
      <c r="MV5" s="274"/>
      <c r="MW5" s="274"/>
      <c r="MX5" s="42"/>
      <c r="MY5" s="42"/>
      <c r="MZ5" s="274"/>
      <c r="NA5" s="274"/>
      <c r="NB5" s="274"/>
      <c r="NE5" s="276"/>
      <c r="NF5" s="42"/>
      <c r="NL5" s="42"/>
      <c r="NM5" s="42"/>
      <c r="NS5" s="42"/>
      <c r="NT5" s="42"/>
      <c r="NZ5" s="42"/>
      <c r="OA5" s="42"/>
      <c r="OG5" s="42"/>
      <c r="OH5" s="42"/>
      <c r="ON5" s="42"/>
      <c r="OO5" s="42"/>
      <c r="OU5" s="42"/>
      <c r="OV5" s="42"/>
      <c r="PB5" s="42"/>
      <c r="PC5" s="42"/>
      <c r="PI5" s="42"/>
      <c r="PJ5" s="42"/>
      <c r="PP5" s="42"/>
      <c r="PQ5" s="42"/>
      <c r="PW5" s="42"/>
      <c r="PX5" s="42"/>
      <c r="QD5" s="42"/>
      <c r="QE5" s="42"/>
    </row>
    <row r="6" spans="1:451">
      <c r="A6" t="s">
        <v>6</v>
      </c>
      <c r="B6" t="s">
        <v>81</v>
      </c>
      <c r="C6">
        <f t="array" ref="C6">IF(WEEKDAY(C$1,2)&gt;=6, 0, SUM( IF(WBS!$J$5:$J$2773=$A6, IF(C$1&gt;=WBS!$K$5:$K$2773, IF(C$1&lt;=WBS!$L$5:$L$2773, IF(WBS!$AU$5:$AU$2773 &gt;0, WBS!$I$5:$I$2773 / WBS!$AU$5:$AU$2773, 0), 0), 0), 0) ))</f>
        <v>0</v>
      </c>
      <c r="D6">
        <f t="array" ref="D6">IF(WEEKDAY(D$1,2)&gt;=6, 0, SUM( IF(WBS!$J$5:$J$2773=$A6, IF(D$1&gt;=WBS!$K$5:$K$2773, IF(D$1&lt;=WBS!$L$5:$L$2773, IF(WBS!$AU$5:$AU$2773 &gt;0, WBS!$I$5:$I$2773 / WBS!$AU$5:$AU$2773, 0), 0), 0), 0) ))</f>
        <v>0</v>
      </c>
      <c r="E6">
        <f t="array" ref="E6">IF(WEEKDAY(E$1,2)&gt;=6, 0, SUM( IF(WBS!$J$5:$J$2773=$A6, IF(E$1&gt;=WBS!$K$5:$K$2773, IF(E$1&lt;=WBS!$L$5:$L$2773, IF(WBS!$AU$5:$AU$2773 &gt;0, WBS!$I$5:$I$2773 / WBS!$AU$5:$AU$2773, 0), 0), 0), 0) ))</f>
        <v>0</v>
      </c>
      <c r="F6">
        <f t="array" ref="F6">IF(WEEKDAY(F$1,2)&gt;=6, 0, SUM( IF(WBS!$J$5:$J$2773=$A6, IF(F$1&gt;=WBS!$K$5:$K$2773, IF(F$1&lt;=WBS!$L$5:$L$2773, IF(WBS!$AU$5:$AU$2773 &gt;0, WBS!$I$5:$I$2773 / WBS!$AU$5:$AU$2773, 0), 0), 0), 0) ))</f>
        <v>0</v>
      </c>
      <c r="G6">
        <f t="array" ref="G6">IF(WEEKDAY(G$1,2)&gt;=6, 0, SUM( IF(WBS!$J$5:$J$2773=$A6, IF(G$1&gt;=WBS!$K$5:$K$2773, IF(G$1&lt;=WBS!$L$5:$L$2773, IF(WBS!$AU$5:$AU$2773 &gt;0, WBS!$I$5:$I$2773 / WBS!$AU$5:$AU$2773, 0), 0), 0), 0) ))</f>
        <v>0</v>
      </c>
      <c r="H6">
        <f t="array" ref="H6">IF(WEEKDAY(H$1,2)&gt;=6, 0, SUM( IF(WBS!$J$5:$J$2773=$A6, IF(H$1&gt;=WBS!$K$5:$K$2773, IF(H$1&lt;=WBS!$L$5:$L$2773, IF(WBS!$AU$5:$AU$2773 &gt;0, WBS!$I$5:$I$2773 / WBS!$AU$5:$AU$2773, 0), 0), 0), 0) ))</f>
        <v>0</v>
      </c>
      <c r="I6">
        <f t="array" ref="I6">IF(WEEKDAY(I$1,2)&gt;=6, 0, SUM( IF(WBS!$J$5:$J$2773=$A6, IF(I$1&gt;=WBS!$K$5:$K$2773, IF(I$1&lt;=WBS!$L$5:$L$2773, IF(WBS!$AU$5:$AU$2773 &gt;0, WBS!$I$5:$I$2773 / WBS!$AU$5:$AU$2773, 0), 0), 0), 0) ))</f>
        <v>0</v>
      </c>
      <c r="J6">
        <f t="array" ref="J6">IF(WEEKDAY(J$1,2)&gt;=6, 0, SUM( IF(WBS!$J$5:$J$2773=$A6, IF(J$1&gt;=WBS!$K$5:$K$2773, IF(J$1&lt;=WBS!$L$5:$L$2773, IF(WBS!$AU$5:$AU$2773 &gt;0, WBS!$I$5:$I$2773 / WBS!$AU$5:$AU$2773, 0), 0), 0), 0) ))</f>
        <v>0</v>
      </c>
      <c r="K6">
        <f t="array" ref="K6">IF(WEEKDAY(K$1,2)&gt;=6, 0, SUM( IF(WBS!$J$5:$J$2773=$A6, IF(K$1&gt;=WBS!$K$5:$K$2773, IF(K$1&lt;=WBS!$L$5:$L$2773, IF(WBS!$AU$5:$AU$2773 &gt;0, WBS!$I$5:$I$2773 / WBS!$AU$5:$AU$2773, 0), 0), 0), 0) ))</f>
        <v>0</v>
      </c>
      <c r="L6">
        <f t="array" ref="L6">IF(WEEKDAY(L$1,2)&gt;=6, 0, SUM( IF(WBS!$J$5:$J$2773=$A6, IF(L$1&gt;=WBS!$K$5:$K$2773, IF(L$1&lt;=WBS!$L$5:$L$2773, IF(WBS!$AU$5:$AU$2773 &gt;0, WBS!$I$5:$I$2773 / WBS!$AU$5:$AU$2773, 0), 0), 0), 0) ))</f>
        <v>0</v>
      </c>
      <c r="M6">
        <f t="array" ref="M6">IF(WEEKDAY(M$1,2)&gt;=6, 0, SUM( IF(WBS!$J$5:$J$2773=$A6, IF(M$1&gt;=WBS!$K$5:$K$2773, IF(M$1&lt;=WBS!$L$5:$L$2773, IF(WBS!$AU$5:$AU$2773 &gt;0, WBS!$I$5:$I$2773 / WBS!$AU$5:$AU$2773, 0), 0), 0), 0) ))</f>
        <v>0</v>
      </c>
      <c r="N6">
        <f t="array" ref="N6">IF(WEEKDAY(N$1,2)&gt;=6, 0, SUM( IF(WBS!$J$5:$J$2773=$A6, IF(N$1&gt;=WBS!$K$5:$K$2773, IF(N$1&lt;=WBS!$L$5:$L$2773, IF(WBS!$AU$5:$AU$2773 &gt;0, WBS!$I$5:$I$2773 / WBS!$AU$5:$AU$2773, 0), 0), 0), 0) ))</f>
        <v>0</v>
      </c>
      <c r="O6">
        <f t="array" ref="O6">IF(WEEKDAY(O$1,2)&gt;=6, 0, SUM( IF(WBS!$J$5:$J$2773=$A6, IF(O$1&gt;=WBS!$K$5:$K$2773, IF(O$1&lt;=WBS!$L$5:$L$2773, IF(WBS!$AU$5:$AU$2773 &gt;0, WBS!$I$5:$I$2773 / WBS!$AU$5:$AU$2773, 0), 0), 0), 0) ))</f>
        <v>0</v>
      </c>
      <c r="P6">
        <f t="array" ref="P6">IF(WEEKDAY(P$1,2)&gt;=6, 0, SUM( IF(WBS!$J$5:$J$2773=$A6, IF(P$1&gt;=WBS!$K$5:$K$2773, IF(P$1&lt;=WBS!$L$5:$L$2773, IF(WBS!$AU$5:$AU$2773 &gt;0, WBS!$I$5:$I$2773 / WBS!$AU$5:$AU$2773, 0), 0), 0), 0) ))</f>
        <v>0</v>
      </c>
      <c r="Q6">
        <f t="array" ref="Q6">IF(WEEKDAY(Q$1,2)&gt;=6, 0, SUM( IF(WBS!$J$5:$J$2773=$A6, IF(Q$1&gt;=WBS!$K$5:$K$2773, IF(Q$1&lt;=WBS!$L$5:$L$2773, IF(WBS!$AU$5:$AU$2773 &gt;0, WBS!$I$5:$I$2773 / WBS!$AU$5:$AU$2773, 0), 0), 0), 0) ))</f>
        <v>0</v>
      </c>
      <c r="R6">
        <f t="array" ref="R6">IF(WEEKDAY(R$1,2)&gt;=6, 0, SUM( IF(WBS!$J$5:$J$2773=$A6, IF(R$1&gt;=WBS!$K$5:$K$2773, IF(R$1&lt;=WBS!$L$5:$L$2773, IF(WBS!$AU$5:$AU$2773 &gt;0, WBS!$I$5:$I$2773 / WBS!$AU$5:$AU$2773, 0), 0), 0), 0) ))</f>
        <v>0</v>
      </c>
      <c r="S6">
        <f t="array" ref="S6">IF(WEEKDAY(S$1,2)&gt;=6, 0, SUM( IF(WBS!$J$5:$J$2773=$A6, IF(S$1&gt;=WBS!$K$5:$K$2773, IF(S$1&lt;=WBS!$L$5:$L$2773, IF(WBS!$AU$5:$AU$2773 &gt;0, WBS!$I$5:$I$2773 / WBS!$AU$5:$AU$2773, 0), 0), 0), 0) ))</f>
        <v>0</v>
      </c>
      <c r="T6">
        <f t="array" ref="T6">IF(WEEKDAY(T$1,2)&gt;=6, 0, SUM( IF(WBS!$J$5:$J$2773=$A6, IF(T$1&gt;=WBS!$K$5:$K$2773, IF(T$1&lt;=WBS!$L$5:$L$2773, IF(WBS!$AU$5:$AU$2773 &gt;0, WBS!$I$5:$I$2773 / WBS!$AU$5:$AU$2773, 0), 0), 0), 0) ))</f>
        <v>0</v>
      </c>
      <c r="U6">
        <f t="array" ref="U6">IF(WEEKDAY(U$1,2)&gt;=6, 0, SUM( IF(WBS!$J$5:$J$2773=$A6, IF(U$1&gt;=WBS!$K$5:$K$2773, IF(U$1&lt;=WBS!$L$5:$L$2773, IF(WBS!$AU$5:$AU$2773 &gt;0, WBS!$I$5:$I$2773 / WBS!$AU$5:$AU$2773, 0), 0), 0), 0) ))</f>
        <v>0</v>
      </c>
      <c r="V6">
        <f t="array" ref="V6">IF(WEEKDAY(V$1,2)&gt;=6, 0, SUM( IF(WBS!$J$5:$J$2773=$A6, IF(V$1&gt;=WBS!$K$5:$K$2773, IF(V$1&lt;=WBS!$L$5:$L$2773, IF(WBS!$AU$5:$AU$2773 &gt;0, WBS!$I$5:$I$2773 / WBS!$AU$5:$AU$2773, 0), 0), 0), 0) ))</f>
        <v>0</v>
      </c>
      <c r="W6">
        <f t="array" ref="W6">IF(WEEKDAY(W$1,2)&gt;=6, 0, SUM( IF(WBS!$J$5:$J$2773=$A6, IF(W$1&gt;=WBS!$K$5:$K$2773, IF(W$1&lt;=WBS!$L$5:$L$2773, IF(WBS!$AU$5:$AU$2773 &gt;0, WBS!$I$5:$I$2773 / WBS!$AU$5:$AU$2773, 0), 0), 0), 0) ))</f>
        <v>0</v>
      </c>
      <c r="X6">
        <f t="array" ref="X6">IF(WEEKDAY(X$1,2)&gt;=6, 0, SUM( IF(WBS!$J$5:$J$2773=$A6, IF(X$1&gt;=WBS!$K$5:$K$2773, IF(X$1&lt;=WBS!$L$5:$L$2773, IF(WBS!$AU$5:$AU$2773 &gt;0, WBS!$I$5:$I$2773 / WBS!$AU$5:$AU$2773, 0), 0), 0), 0) ))</f>
        <v>0</v>
      </c>
      <c r="Y6">
        <f t="array" ref="Y6">IF(WEEKDAY(Y$1,2)&gt;=6, 0, SUM( IF(WBS!$J$5:$J$2773=$A6, IF(Y$1&gt;=WBS!$K$5:$K$2773, IF(Y$1&lt;=WBS!$L$5:$L$2773, IF(WBS!$AU$5:$AU$2773 &gt;0, WBS!$I$5:$I$2773 / WBS!$AU$5:$AU$2773, 0), 0), 0), 0) ))</f>
        <v>0</v>
      </c>
      <c r="Z6">
        <f t="array" ref="Z6">IF(WEEKDAY(Z$1,2)&gt;=6, 0, SUM( IF(WBS!$J$5:$J$2773=$A6, IF(Z$1&gt;=WBS!$K$5:$K$2773, IF(Z$1&lt;=WBS!$L$5:$L$2773, IF(WBS!$AU$5:$AU$2773 &gt;0, WBS!$I$5:$I$2773 / WBS!$AU$5:$AU$2773, 0), 0), 0), 0) ))</f>
        <v>0</v>
      </c>
      <c r="AA6">
        <f t="array" ref="AA6">IF(WEEKDAY(AA$1,2)&gt;=6, 0, SUM( IF(WBS!$J$5:$J$2773=$A6, IF(AA$1&gt;=WBS!$K$5:$K$2773, IF(AA$1&lt;=WBS!$L$5:$L$2773, IF(WBS!$AU$5:$AU$2773 &gt;0, WBS!$I$5:$I$2773 / WBS!$AU$5:$AU$2773, 0), 0), 0), 0) ))</f>
        <v>0</v>
      </c>
      <c r="AB6">
        <f t="array" ref="AB6">IF(WEEKDAY(AB$1,2)&gt;=6, 0, SUM( IF(WBS!$J$5:$J$2773=$A6, IF(AB$1&gt;=WBS!$K$5:$K$2773, IF(AB$1&lt;=WBS!$L$5:$L$2773, IF(WBS!$AU$5:$AU$2773 &gt;0, WBS!$I$5:$I$2773 / WBS!$AU$5:$AU$2773, 0), 0), 0), 0) ))</f>
        <v>0</v>
      </c>
      <c r="AC6">
        <f t="array" ref="AC6">IF(WEEKDAY(AC$1,2)&gt;=6, 0, SUM( IF(WBS!$J$5:$J$2773=$A6, IF(AC$1&gt;=WBS!$K$5:$K$2773, IF(AC$1&lt;=WBS!$L$5:$L$2773, IF(WBS!$AU$5:$AU$2773 &gt;0, WBS!$I$5:$I$2773 / WBS!$AU$5:$AU$2773, 0), 0), 0), 0) ))</f>
        <v>0</v>
      </c>
      <c r="AD6">
        <f t="array" ref="AD6">IF(WEEKDAY(AD$1,2)&gt;=6, 0, SUM( IF(WBS!$J$5:$J$2773=$A6, IF(AD$1&gt;=WBS!$K$5:$K$2773, IF(AD$1&lt;=WBS!$L$5:$L$2773, IF(WBS!$AU$5:$AU$2773 &gt;0, WBS!$I$5:$I$2773 / WBS!$AU$5:$AU$2773, 0), 0), 0), 0) ))</f>
        <v>0</v>
      </c>
      <c r="AE6">
        <f t="array" ref="AE6">IF(WEEKDAY(AE$1,2)&gt;=6, 0, SUM( IF(WBS!$J$5:$J$2773=$A6, IF(AE$1&gt;=WBS!$K$5:$K$2773, IF(AE$1&lt;=WBS!$L$5:$L$2773, IF(WBS!$AU$5:$AU$2773 &gt;0, WBS!$I$5:$I$2773 / WBS!$AU$5:$AU$2773, 0), 0), 0), 0) ))</f>
        <v>0</v>
      </c>
      <c r="AF6">
        <f t="array" ref="AF6">IF(WEEKDAY(AF$1,2)&gt;=6, 0, SUM( IF(WBS!$J$5:$J$2773=$A6, IF(AF$1&gt;=WBS!$K$5:$K$2773, IF(AF$1&lt;=WBS!$L$5:$L$2773, IF(WBS!$AU$5:$AU$2773 &gt;0, WBS!$I$5:$I$2773 / WBS!$AU$5:$AU$2773, 0), 0), 0), 0) ))</f>
        <v>0</v>
      </c>
      <c r="AG6">
        <f t="array" ref="AG6">IF(WEEKDAY(AG$1,2)&gt;=6, 0, SUM( IF(WBS!$J$5:$J$2773=$A6, IF(AG$1&gt;=WBS!$K$5:$K$2773, IF(AG$1&lt;=WBS!$L$5:$L$2773, IF(WBS!$AU$5:$AU$2773 &gt;0, WBS!$I$5:$I$2773 / WBS!$AU$5:$AU$2773, 0), 0), 0), 0) ))</f>
        <v>0</v>
      </c>
      <c r="AH6">
        <f t="array" ref="AH6">IF(WEEKDAY(AH$1,2)&gt;=6, 0, SUM( IF(WBS!$J$5:$J$2773=$A6, IF(AH$1&gt;=WBS!$K$5:$K$2773, IF(AH$1&lt;=WBS!$L$5:$L$2773, IF(WBS!$AU$5:$AU$2773 &gt;0, WBS!$I$5:$I$2773 / WBS!$AU$5:$AU$2773, 0), 0), 0), 0) ))</f>
        <v>0</v>
      </c>
      <c r="AI6">
        <f t="array" ref="AI6">IF(WEEKDAY(AI$1,2)&gt;=6, 0, SUM( IF(WBS!$J$5:$J$2773=$A6, IF(AI$1&gt;=WBS!$K$5:$K$2773, IF(AI$1&lt;=WBS!$L$5:$L$2773, IF(WBS!$AU$5:$AU$2773 &gt;0, WBS!$I$5:$I$2773 / WBS!$AU$5:$AU$2773, 0), 0), 0), 0) ))</f>
        <v>0</v>
      </c>
      <c r="AJ6">
        <f t="array" ref="AJ6">IF(WEEKDAY(AJ$1,2)&gt;=6, 0, SUM( IF(WBS!$J$5:$J$2773=$A6, IF(AJ$1&gt;=WBS!$K$5:$K$2773, IF(AJ$1&lt;=WBS!$L$5:$L$2773, IF(WBS!$AU$5:$AU$2773 &gt;0, WBS!$I$5:$I$2773 / WBS!$AU$5:$AU$2773, 0), 0), 0), 0) ))</f>
        <v>0</v>
      </c>
      <c r="AK6">
        <f t="array" ref="AK6">IF(WEEKDAY(AK$1,2)&gt;=6, 0, SUM( IF(WBS!$J$5:$J$2773=$A6, IF(AK$1&gt;=WBS!$K$5:$K$2773, IF(AK$1&lt;=WBS!$L$5:$L$2773, IF(WBS!$AU$5:$AU$2773 &gt;0, WBS!$I$5:$I$2773 / WBS!$AU$5:$AU$2773, 0), 0), 0), 0) ))</f>
        <v>0</v>
      </c>
      <c r="AL6">
        <f t="array" ref="AL6">IF(WEEKDAY(AL$1,2)&gt;=6, 0, SUM( IF(WBS!$J$5:$J$2773=$A6, IF(AL$1&gt;=WBS!$K$5:$K$2773, IF(AL$1&lt;=WBS!$L$5:$L$2773, IF(WBS!$AU$5:$AU$2773 &gt;0, WBS!$I$5:$I$2773 / WBS!$AU$5:$AU$2773, 0), 0), 0), 0) ))</f>
        <v>0</v>
      </c>
      <c r="AM6">
        <f t="array" ref="AM6">IF(WEEKDAY(AM$1,2)&gt;=6, 0, SUM( IF(WBS!$J$5:$J$2773=$A6, IF(AM$1&gt;=WBS!$K$5:$K$2773, IF(AM$1&lt;=WBS!$L$5:$L$2773, IF(WBS!$AU$5:$AU$2773 &gt;0, WBS!$I$5:$I$2773 / WBS!$AU$5:$AU$2773, 0), 0), 0), 0) ))</f>
        <v>0</v>
      </c>
      <c r="AN6">
        <f t="array" ref="AN6">IF(WEEKDAY(AN$1,2)&gt;=6, 0, SUM( IF(WBS!$J$5:$J$2773=$A6, IF(AN$1&gt;=WBS!$K$5:$K$2773, IF(AN$1&lt;=WBS!$L$5:$L$2773, IF(WBS!$AU$5:$AU$2773 &gt;0, WBS!$I$5:$I$2773 / WBS!$AU$5:$AU$2773, 0), 0), 0), 0) ))</f>
        <v>0</v>
      </c>
      <c r="AO6">
        <f t="array" ref="AO6">IF(WEEKDAY(AO$1,2)&gt;=6, 0, SUM( IF(WBS!$J$5:$J$2773=$A6, IF(AO$1&gt;=WBS!$K$5:$K$2773, IF(AO$1&lt;=WBS!$L$5:$L$2773, IF(WBS!$AU$5:$AU$2773 &gt;0, WBS!$I$5:$I$2773 / WBS!$AU$5:$AU$2773, 0), 0), 0), 0) ))</f>
        <v>0</v>
      </c>
      <c r="AP6">
        <f t="array" ref="AP6">IF(WEEKDAY(AP$1,2)&gt;=6, 0, SUM( IF(WBS!$J$5:$J$2773=$A6, IF(AP$1&gt;=WBS!$K$5:$K$2773, IF(AP$1&lt;=WBS!$L$5:$L$2773, IF(WBS!$AU$5:$AU$2773 &gt;0, WBS!$I$5:$I$2773 / WBS!$AU$5:$AU$2773, 0), 0), 0), 0) ))</f>
        <v>0</v>
      </c>
      <c r="AQ6">
        <f t="array" ref="AQ6">IF(WEEKDAY(AQ$1,2)&gt;=6, 0, SUM( IF(WBS!$J$5:$J$2773=$A6, IF(AQ$1&gt;=WBS!$K$5:$K$2773, IF(AQ$1&lt;=WBS!$L$5:$L$2773, IF(WBS!$AU$5:$AU$2773 &gt;0, WBS!$I$5:$I$2773 / WBS!$AU$5:$AU$2773, 0), 0), 0), 0) ))</f>
        <v>0</v>
      </c>
      <c r="AR6">
        <f t="array" ref="AR6">IF(WEEKDAY(AR$1,2)&gt;=6, 0, SUM( IF(WBS!$J$5:$J$2773=$A6, IF(AR$1&gt;=WBS!$K$5:$K$2773, IF(AR$1&lt;=WBS!$L$5:$L$2773, IF(WBS!$AU$5:$AU$2773 &gt;0, WBS!$I$5:$I$2773 / WBS!$AU$5:$AU$2773, 0), 0), 0), 0) ))</f>
        <v>0</v>
      </c>
      <c r="AS6">
        <f t="array" ref="AS6">IF(WEEKDAY(AS$1,2)&gt;=6, 0, SUM( IF(WBS!$J$5:$J$2773=$A6, IF(AS$1&gt;=WBS!$K$5:$K$2773, IF(AS$1&lt;=WBS!$L$5:$L$2773, IF(WBS!$AU$5:$AU$2773 &gt;0, WBS!$I$5:$I$2773 / WBS!$AU$5:$AU$2773, 0), 0), 0), 0) ))</f>
        <v>0</v>
      </c>
      <c r="AT6">
        <f t="array" ref="AT6">IF(WEEKDAY(AT$1,2)&gt;=6, 0, SUM( IF(WBS!$J$5:$J$2773=$A6, IF(AT$1&gt;=WBS!$K$5:$K$2773, IF(AT$1&lt;=WBS!$L$5:$L$2773, IF(WBS!$AU$5:$AU$2773 &gt;0, WBS!$I$5:$I$2773 / WBS!$AU$5:$AU$2773, 0), 0), 0), 0) ))</f>
        <v>0</v>
      </c>
      <c r="AU6">
        <f t="array" ref="AU6">IF(WEEKDAY(AU$1,2)&gt;=6, 0, SUM( IF(WBS!$J$5:$J$2773=$A6, IF(AU$1&gt;=WBS!$K$5:$K$2773, IF(AU$1&lt;=WBS!$L$5:$L$2773, IF(WBS!$AU$5:$AU$2773 &gt;0, WBS!$I$5:$I$2773 / WBS!$AU$5:$AU$2773, 0), 0), 0), 0) ))</f>
        <v>0</v>
      </c>
      <c r="AV6">
        <f t="array" ref="AV6">IF(WEEKDAY(AV$1,2)&gt;=6, 0, SUM( IF(WBS!$J$5:$J$2773=$A6, IF(AV$1&gt;=WBS!$K$5:$K$2773, IF(AV$1&lt;=WBS!$L$5:$L$2773, IF(WBS!$AU$5:$AU$2773 &gt;0, WBS!$I$5:$I$2773 / WBS!$AU$5:$AU$2773, 0), 0), 0), 0) ))</f>
        <v>0</v>
      </c>
      <c r="AW6">
        <f t="array" ref="AW6">IF(WEEKDAY(AW$1,2)&gt;=6, 0, SUM( IF(WBS!$J$5:$J$2773=$A6, IF(AW$1&gt;=WBS!$K$5:$K$2773, IF(AW$1&lt;=WBS!$L$5:$L$2773, IF(WBS!$AU$5:$AU$2773 &gt;0, WBS!$I$5:$I$2773 / WBS!$AU$5:$AU$2773, 0), 0), 0), 0) ))</f>
        <v>0</v>
      </c>
      <c r="AX6">
        <f t="array" ref="AX6">IF(WEEKDAY(AX$1,2)&gt;=6, 0, SUM( IF(WBS!$J$5:$J$2773=$A6, IF(AX$1&gt;=WBS!$K$5:$K$2773, IF(AX$1&lt;=WBS!$L$5:$L$2773, IF(WBS!$AU$5:$AU$2773 &gt;0, WBS!$I$5:$I$2773 / WBS!$AU$5:$AU$2773, 0), 0), 0), 0) ))</f>
        <v>0</v>
      </c>
      <c r="AY6">
        <f t="array" ref="AY6">IF(WEEKDAY(AY$1,2)&gt;=6, 0, SUM( IF(WBS!$J$5:$J$2773=$A6, IF(AY$1&gt;=WBS!$K$5:$K$2773, IF(AY$1&lt;=WBS!$L$5:$L$2773, IF(WBS!$AU$5:$AU$2773 &gt;0, WBS!$I$5:$I$2773 / WBS!$AU$5:$AU$2773, 0), 0), 0), 0) ))</f>
        <v>0</v>
      </c>
      <c r="AZ6">
        <f t="array" ref="AZ6">IF(WEEKDAY(AZ$1,2)&gt;=6, 0, SUM( IF(WBS!$J$5:$J$2773=$A6, IF(AZ$1&gt;=WBS!$K$5:$K$2773, IF(AZ$1&lt;=WBS!$L$5:$L$2773, IF(WBS!$AU$5:$AU$2773 &gt;0, WBS!$I$5:$I$2773 / WBS!$AU$5:$AU$2773, 0), 0), 0), 0) ))</f>
        <v>0</v>
      </c>
      <c r="BA6">
        <f t="array" ref="BA6">IF(WEEKDAY(BA$1,2)&gt;=6, 0, SUM( IF(WBS!$J$5:$J$2773=$A6, IF(BA$1&gt;=WBS!$K$5:$K$2773, IF(BA$1&lt;=WBS!$L$5:$L$2773, IF(WBS!$AU$5:$AU$2773 &gt;0, WBS!$I$5:$I$2773 / WBS!$AU$5:$AU$2773, 0), 0), 0), 0) ))</f>
        <v>0</v>
      </c>
      <c r="BB6">
        <f t="array" ref="BB6">IF(WEEKDAY(BB$1,2)&gt;=6, 0, SUM( IF(WBS!$J$5:$J$2773=$A6, IF(BB$1&gt;=WBS!$K$5:$K$2773, IF(BB$1&lt;=WBS!$L$5:$L$2773, IF(WBS!$AU$5:$AU$2773 &gt;0, WBS!$I$5:$I$2773 / WBS!$AU$5:$AU$2773, 0), 0), 0), 0) ))</f>
        <v>0</v>
      </c>
      <c r="BC6">
        <f t="array" ref="BC6">IF(WEEKDAY(BC$1,2)&gt;=6, 0, SUM( IF(WBS!$J$5:$J$2773=$A6, IF(BC$1&gt;=WBS!$K$5:$K$2773, IF(BC$1&lt;=WBS!$L$5:$L$2773, IF(WBS!$AU$5:$AU$2773 &gt;0, WBS!$I$5:$I$2773 / WBS!$AU$5:$AU$2773, 0), 0), 0), 0) ))</f>
        <v>0</v>
      </c>
      <c r="BD6">
        <f t="array" ref="BD6">IF(WEEKDAY(BD$1,2)&gt;=6, 0, SUM( IF(WBS!$J$5:$J$2773=$A6, IF(BD$1&gt;=WBS!$K$5:$K$2773, IF(BD$1&lt;=WBS!$L$5:$L$2773, IF(WBS!$AU$5:$AU$2773 &gt;0, WBS!$I$5:$I$2773 / WBS!$AU$5:$AU$2773, 0), 0), 0), 0) ))</f>
        <v>0</v>
      </c>
      <c r="BE6">
        <f t="array" ref="BE6">IF(WEEKDAY(BE$1,2)&gt;=6, 0, SUM( IF(WBS!$J$5:$J$2773=$A6, IF(BE$1&gt;=WBS!$K$5:$K$2773, IF(BE$1&lt;=WBS!$L$5:$L$2773, IF(WBS!$AU$5:$AU$2773 &gt;0, WBS!$I$5:$I$2773 / WBS!$AU$5:$AU$2773, 0), 0), 0), 0) ))</f>
        <v>0</v>
      </c>
      <c r="BF6">
        <f t="array" ref="BF6">IF(WEEKDAY(BF$1,2)&gt;=6, 0, SUM( IF(WBS!$J$5:$J$2773=$A6, IF(BF$1&gt;=WBS!$K$5:$K$2773, IF(BF$1&lt;=WBS!$L$5:$L$2773, IF(WBS!$AU$5:$AU$2773 &gt;0, WBS!$I$5:$I$2773 / WBS!$AU$5:$AU$2773, 0), 0), 0), 0) ))</f>
        <v>0</v>
      </c>
      <c r="BG6">
        <f t="array" ref="BG6">IF(WEEKDAY(BG$1,2)&gt;=6, 0, SUM( IF(WBS!$J$5:$J$2773=$A6, IF(BG$1&gt;=WBS!$K$5:$K$2773, IF(BG$1&lt;=WBS!$L$5:$L$2773, IF(WBS!$AU$5:$AU$2773 &gt;0, WBS!$I$5:$I$2773 / WBS!$AU$5:$AU$2773, 0), 0), 0), 0) ))</f>
        <v>0</v>
      </c>
      <c r="BH6">
        <f t="array" ref="BH6">IF(WEEKDAY(BH$1,2)&gt;=6, 0, SUM( IF(WBS!$J$5:$J$2773=$A6, IF(BH$1&gt;=WBS!$K$5:$K$2773, IF(BH$1&lt;=WBS!$L$5:$L$2773, IF(WBS!$AU$5:$AU$2773 &gt;0, WBS!$I$5:$I$2773 / WBS!$AU$5:$AU$2773, 0), 0), 0), 0) ))</f>
        <v>0</v>
      </c>
      <c r="BI6" s="42">
        <f t="array" ref="BI6">IF(WEEKDAY(BI$1,2)&gt;=6, 0, SUM( IF(WBS!$J$5:$J$2773=$A6, IF(BI$1&gt;=WBS!$K$5:$K$2773, IF(BI$1&lt;=WBS!$L$5:$L$2773, IF(WBS!$AU$5:$AU$2773 &gt;0, WBS!$I$5:$I$2773 / WBS!$AU$5:$AU$2773, 0), 0), 0), 0) ))</f>
        <v>0</v>
      </c>
      <c r="BJ6" s="42">
        <f t="array" ref="BJ6">IF(WEEKDAY(BJ$1,2)&gt;=6, 0, SUM( IF(WBS!$J$5:$J$2773=$A6, IF(BJ$1&gt;=WBS!$K$5:$K$2773, IF(BJ$1&lt;=WBS!$L$5:$L$2773, IF(WBS!$AU$5:$AU$2773 &gt;0, WBS!$I$5:$I$2773 / WBS!$AU$5:$AU$2773, 0), 0), 0), 0) ))</f>
        <v>0</v>
      </c>
      <c r="BK6">
        <f t="array" ref="BK6">IF(WEEKDAY(BK$1,2)&gt;=6, 0, SUM( IF(WBS!$J$5:$J$2773=$A6, IF(BK$1&gt;=WBS!$K$5:$K$2773, IF(BK$1&lt;=WBS!$L$5:$L$2773, IF(WBS!$AU$5:$AU$2773 &gt;0, WBS!$I$5:$I$2773 / WBS!$AU$5:$AU$2773, 0), 0), 0), 0) ))</f>
        <v>0</v>
      </c>
      <c r="BL6">
        <f t="array" ref="BL6">IF(WEEKDAY(BL$1,2)&gt;=6, 0, SUM( IF(WBS!$J$5:$J$2773=$A6, IF(BL$1&gt;=WBS!$K$5:$K$2773, IF(BL$1&lt;=WBS!$L$5:$L$2773, IF(WBS!$AU$5:$AU$2773 &gt;0, WBS!$I$5:$I$2773 / WBS!$AU$5:$AU$2773, 0), 0), 0), 0) ))</f>
        <v>0</v>
      </c>
      <c r="BM6">
        <f t="array" ref="BM6">IF(WEEKDAY(BM$1,2)&gt;=6, 0, SUM( IF(WBS!$J$5:$J$2773=$A6, IF(BM$1&gt;=WBS!$K$5:$K$2773, IF(BM$1&lt;=WBS!$L$5:$L$2773, IF(WBS!$AU$5:$AU$2773 &gt;0, WBS!$I$5:$I$2773 / WBS!$AU$5:$AU$2773, 0), 0), 0), 0) ))</f>
        <v>0</v>
      </c>
      <c r="BN6">
        <f t="array" ref="BN6">IF(WEEKDAY(BN$1,2)&gt;=6, 0, SUM( IF(WBS!$J$5:$J$2773=$A6, IF(BN$1&gt;=WBS!$K$5:$K$2773, IF(BN$1&lt;=WBS!$L$5:$L$2773, IF(WBS!$AU$5:$AU$2773 &gt;0, WBS!$I$5:$I$2773 / WBS!$AU$5:$AU$2773, 0), 0), 0), 0) ))</f>
        <v>0</v>
      </c>
      <c r="BO6">
        <f t="array" ref="BO6">IF(WEEKDAY(BO$1,2)&gt;=6, 0, SUM( IF(WBS!$J$5:$J$2773=$A6, IF(BO$1&gt;=WBS!$K$5:$K$2773, IF(BO$1&lt;=WBS!$L$5:$L$2773, IF(WBS!$AU$5:$AU$2773 &gt;0, WBS!$I$5:$I$2773 / WBS!$AU$5:$AU$2773, 0), 0), 0), 0) ))</f>
        <v>0</v>
      </c>
      <c r="BP6" s="42">
        <f t="array" ref="BP6">IF(WEEKDAY(BP$1,2)&gt;=6, 0, SUM( IF(WBS!$J$5:$J$2773=$A6, IF(BP$1&gt;=WBS!$K$5:$K$2773, IF(BP$1&lt;=WBS!$L$5:$L$2773, IF(WBS!$AU$5:$AU$2773 &gt;0, WBS!$I$5:$I$2773 / WBS!$AU$5:$AU$2773, 0), 0), 0), 0) ))</f>
        <v>0</v>
      </c>
      <c r="BQ6" s="42">
        <f t="array" ref="BQ6">IF(WEEKDAY(BQ$1,2)&gt;=6, 0, SUM( IF(WBS!$J$5:$J$2773=$A6, IF(BQ$1&gt;=WBS!$K$5:$K$2773, IF(BQ$1&lt;=WBS!$L$5:$L$2773, IF(WBS!$AU$5:$AU$2773 &gt;0, WBS!$I$5:$I$2773 / WBS!$AU$5:$AU$2773, 0), 0), 0), 0) ))</f>
        <v>0</v>
      </c>
      <c r="BR6">
        <f t="array" ref="BR6">IF(WEEKDAY(BR$1,2)&gt;=6, 0, SUM( IF(WBS!$J$5:$J$2773=$A6, IF(BR$1&gt;=WBS!$K$5:$K$2773, IF(BR$1&lt;=WBS!$L$5:$L$2773, IF(WBS!$AU$5:$AU$2773 &gt;0, WBS!$I$5:$I$2773 / WBS!$AU$5:$AU$2773, 0), 0), 0), 0) ))</f>
        <v>0</v>
      </c>
      <c r="BS6">
        <f t="array" ref="BS6">IF(WEEKDAY(BS$1,2)&gt;=6, 0, SUM( IF(WBS!$J$5:$J$2773=$A6, IF(BS$1&gt;=WBS!$K$5:$K$2773, IF(BS$1&lt;=WBS!$L$5:$L$2773, IF(WBS!$AU$5:$AU$2773 &gt;0, WBS!$I$5:$I$2773 / WBS!$AU$5:$AU$2773, 0), 0), 0), 0) ))</f>
        <v>0</v>
      </c>
      <c r="BT6">
        <f t="array" ref="BT6">IF(WEEKDAY(BT$1,2)&gt;=6, 0, SUM( IF(WBS!$J$5:$J$2773=$A6, IF(BT$1&gt;=WBS!$K$5:$K$2773, IF(BT$1&lt;=WBS!$L$5:$L$2773, IF(WBS!$AU$5:$AU$2773 &gt;0, WBS!$I$5:$I$2773 / WBS!$AU$5:$AU$2773, 0), 0), 0), 0) ))</f>
        <v>0</v>
      </c>
      <c r="BU6">
        <f t="array" ref="BU6">IF(WEEKDAY(BU$1,2)&gt;=6, 0, SUM( IF(WBS!$J$5:$J$2773=$A6, IF(BU$1&gt;=WBS!$K$5:$K$2773, IF(BU$1&lt;=WBS!$L$5:$L$2773, IF(WBS!$AU$5:$AU$2773 &gt;0, WBS!$I$5:$I$2773 / WBS!$AU$5:$AU$2773, 0), 0), 0), 0) ))</f>
        <v>0</v>
      </c>
      <c r="BV6">
        <f t="array" ref="BV6">IF(WEEKDAY(BV$1,2)&gt;=6, 0, SUM( IF(WBS!$J$5:$J$2773=$A6, IF(BV$1&gt;=WBS!$K$5:$K$2773, IF(BV$1&lt;=WBS!$L$5:$L$2773, IF(WBS!$AU$5:$AU$2773 &gt;0, WBS!$I$5:$I$2773 / WBS!$AU$5:$AU$2773, 0), 0), 0), 0) ))</f>
        <v>0</v>
      </c>
      <c r="BW6" s="42">
        <f t="array" ref="BW6">IF(WEEKDAY(BW$1,2)&gt;=6, 0, SUM( IF(WBS!$J$5:$J$2773=$A6, IF(BW$1&gt;=WBS!$K$5:$K$2773, IF(BW$1&lt;=WBS!$L$5:$L$2773, IF(WBS!$AU$5:$AU$2773 &gt;0, WBS!$I$5:$I$2773 / WBS!$AU$5:$AU$2773, 0), 0), 0), 0) ))</f>
        <v>0</v>
      </c>
      <c r="BX6" s="42">
        <f t="array" ref="BX6">IF(WEEKDAY(BX$1,2)&gt;=6, 0, SUM( IF(WBS!$J$5:$J$2773=$A6, IF(BX$1&gt;=WBS!$K$5:$K$2773, IF(BX$1&lt;=WBS!$L$5:$L$2773, IF(WBS!$AU$5:$AU$2773 &gt;0, WBS!$I$5:$I$2773 / WBS!$AU$5:$AU$2773, 0), 0), 0), 0) ))</f>
        <v>0</v>
      </c>
      <c r="BY6">
        <f t="array" ref="BY6">IF(WEEKDAY(BY$1,2)&gt;=6, 0, SUM( IF(WBS!$J$5:$J$2773=$A6, IF(BY$1&gt;=WBS!$K$5:$K$2773, IF(BY$1&lt;=WBS!$L$5:$L$2773, IF(WBS!$AU$5:$AU$2773 &gt;0, WBS!$I$5:$I$2773 / WBS!$AU$5:$AU$2773, 0), 0), 0), 0) ))</f>
        <v>0</v>
      </c>
      <c r="BZ6">
        <f t="array" ref="BZ6">IF(WEEKDAY(BZ$1,2)&gt;=6, 0, SUM( IF(WBS!$J$5:$J$2773=$A6, IF(BZ$1&gt;=WBS!$K$5:$K$2773, IF(BZ$1&lt;=WBS!$L$5:$L$2773, IF(WBS!$AU$5:$AU$2773 &gt;0, WBS!$I$5:$I$2773 / WBS!$AU$5:$AU$2773, 0), 0), 0), 0) ))</f>
        <v>0</v>
      </c>
      <c r="CA6">
        <f t="array" ref="CA6">IF(WEEKDAY(CA$1,2)&gt;=6, 0, SUM( IF(WBS!$J$5:$J$2773=$A6, IF(CA$1&gt;=WBS!$K$5:$K$2773, IF(CA$1&lt;=WBS!$L$5:$L$2773, IF(WBS!$AU$5:$AU$2773 &gt;0, WBS!$I$5:$I$2773 / WBS!$AU$5:$AU$2773, 0), 0), 0), 0) ))</f>
        <v>0</v>
      </c>
      <c r="CB6">
        <f t="array" ref="CB6">IF(WEEKDAY(CB$1,2)&gt;=6, 0, SUM( IF(WBS!$J$5:$J$2773=$A6, IF(CB$1&gt;=WBS!$K$5:$K$2773, IF(CB$1&lt;=WBS!$L$5:$L$2773, IF(WBS!$AU$5:$AU$2773 &gt;0, WBS!$I$5:$I$2773 / WBS!$AU$5:$AU$2773, 0), 0), 0), 0) ))</f>
        <v>0</v>
      </c>
      <c r="CC6">
        <f t="array" ref="CC6">IF(WEEKDAY(CC$1,2)&gt;=6, 0, SUM( IF(WBS!$J$5:$J$2773=$A6, IF(CC$1&gt;=WBS!$K$5:$K$2773, IF(CC$1&lt;=WBS!$L$5:$L$2773, IF(WBS!$AU$5:$AU$2773 &gt;0, WBS!$I$5:$I$2773 / WBS!$AU$5:$AU$2773, 0), 0), 0), 0) ))</f>
        <v>0</v>
      </c>
      <c r="CD6" s="42">
        <f t="array" ref="CD6">IF(WEEKDAY(CD$1,2)&gt;=6, 0, SUM( IF(WBS!$J$5:$J$2773=$A6, IF(CD$1&gt;=WBS!$K$5:$K$2773, IF(CD$1&lt;=WBS!$L$5:$L$2773, IF(WBS!$AU$5:$AU$2773 &gt;0, WBS!$I$5:$I$2773 / WBS!$AU$5:$AU$2773, 0), 0), 0), 0) ))</f>
        <v>0</v>
      </c>
      <c r="CE6" s="42">
        <f t="array" ref="CE6">IF(WEEKDAY(CE$1,2)&gt;=6, 0, SUM( IF(WBS!$J$5:$J$2773=$A6, IF(CE$1&gt;=WBS!$K$5:$K$2773, IF(CE$1&lt;=WBS!$L$5:$L$2773, IF(WBS!$AU$5:$AU$2773 &gt;0, WBS!$I$5:$I$2773 / WBS!$AU$5:$AU$2773, 0), 0), 0), 0) ))</f>
        <v>0</v>
      </c>
      <c r="CF6">
        <f t="array" ref="CF6">IF(WEEKDAY(CF$1,2)&gt;=6, 0, SUM( IF(WBS!$J$5:$J$2773=$A6, IF(CF$1&gt;=WBS!$K$5:$K$2773, IF(CF$1&lt;=WBS!$L$5:$L$2773, IF(WBS!$AU$5:$AU$2773 &gt;0, WBS!$I$5:$I$2773 / WBS!$AU$5:$AU$2773, 0), 0), 0), 0) ))</f>
        <v>0</v>
      </c>
      <c r="CG6">
        <f t="array" ref="CG6">IF(WEEKDAY(CG$1,2)&gt;=6, 0, SUM( IF(WBS!$J$5:$J$2773=$A6, IF(CG$1&gt;=WBS!$K$5:$K$2773, IF(CG$1&lt;=WBS!$L$5:$L$2773, IF(WBS!$AU$5:$AU$2773 &gt;0, WBS!$I$5:$I$2773 / WBS!$AU$5:$AU$2773, 0), 0), 0), 0) ))</f>
        <v>0</v>
      </c>
      <c r="CH6">
        <f t="array" ref="CH6">IF(WEEKDAY(CH$1,2)&gt;=6, 0, SUM( IF(WBS!$J$5:$J$2773=$A6, IF(CH$1&gt;=WBS!$K$5:$K$2773, IF(CH$1&lt;=WBS!$L$5:$L$2773, IF(WBS!$AU$5:$AU$2773 &gt;0, WBS!$I$5:$I$2773 / WBS!$AU$5:$AU$2773, 0), 0), 0), 0) ))</f>
        <v>0</v>
      </c>
      <c r="CI6" s="274"/>
      <c r="CK6" s="42"/>
      <c r="CL6" s="42"/>
      <c r="CR6" s="42"/>
      <c r="CS6" s="42"/>
      <c r="CY6" s="42"/>
      <c r="CZ6" s="42"/>
      <c r="DF6" s="42"/>
      <c r="DG6" s="42"/>
      <c r="DM6" s="42"/>
      <c r="DN6" s="42"/>
      <c r="DT6" s="42"/>
      <c r="DU6" s="42"/>
      <c r="EA6" s="276"/>
      <c r="EB6" s="276"/>
      <c r="EC6" s="274"/>
      <c r="ED6" s="274"/>
      <c r="EE6" s="274"/>
      <c r="EF6" s="274"/>
      <c r="EG6" s="274"/>
      <c r="EH6" s="274"/>
      <c r="EI6" s="274"/>
      <c r="EJ6" s="274"/>
      <c r="EO6" s="42"/>
      <c r="EP6" s="42"/>
      <c r="EV6" s="42"/>
      <c r="EW6" s="42"/>
      <c r="FC6" s="42"/>
      <c r="FD6" s="42"/>
      <c r="FJ6" s="42"/>
      <c r="FK6" s="42"/>
      <c r="FQ6" s="42"/>
      <c r="FR6" s="42"/>
      <c r="FX6" s="42"/>
      <c r="FY6" s="42"/>
      <c r="FZ6" s="274"/>
      <c r="GE6" s="42"/>
      <c r="GF6" s="42"/>
      <c r="GL6" s="42"/>
      <c r="GM6" s="42"/>
      <c r="GS6" s="42"/>
      <c r="GT6" s="42"/>
      <c r="GY6" s="274"/>
      <c r="GZ6" s="42"/>
      <c r="HA6" s="42"/>
      <c r="HB6" s="274"/>
      <c r="HC6" s="274"/>
      <c r="HG6" s="42"/>
      <c r="HH6" s="42"/>
      <c r="HN6" s="42"/>
      <c r="HO6" s="42"/>
      <c r="HU6" s="42"/>
      <c r="HV6" s="42"/>
      <c r="IB6" s="42"/>
      <c r="IC6" s="42"/>
      <c r="II6" s="42"/>
      <c r="IJ6" s="42"/>
      <c r="IP6" s="42"/>
      <c r="IQ6" s="42"/>
      <c r="IV6" s="274"/>
      <c r="IW6" s="42"/>
      <c r="IX6" s="42"/>
      <c r="JD6" s="42"/>
      <c r="JE6" s="42"/>
      <c r="JK6" s="42"/>
      <c r="JL6" s="42"/>
      <c r="JR6" s="42"/>
      <c r="JS6" s="42"/>
      <c r="JY6" s="42"/>
      <c r="JZ6" s="42"/>
      <c r="KF6" s="42"/>
      <c r="KG6" s="42"/>
      <c r="KM6" s="42"/>
      <c r="KN6" s="42"/>
      <c r="KT6" s="42"/>
      <c r="KU6" s="42"/>
      <c r="LA6" s="42"/>
      <c r="LB6" s="42"/>
      <c r="LH6" s="42"/>
      <c r="LI6" s="42"/>
      <c r="LO6" s="42"/>
      <c r="LP6" s="42"/>
      <c r="LV6" s="42"/>
      <c r="LW6" s="42"/>
      <c r="MC6" s="42"/>
      <c r="MD6" s="42"/>
      <c r="MJ6" s="42"/>
      <c r="MK6" s="42"/>
      <c r="MP6" s="274"/>
      <c r="MQ6" s="42"/>
      <c r="MR6" s="276"/>
      <c r="MV6" s="274"/>
      <c r="MW6" s="274"/>
      <c r="MX6" s="42"/>
      <c r="MY6" s="42"/>
      <c r="MZ6" s="274"/>
      <c r="NA6" s="274"/>
      <c r="NB6" s="274"/>
      <c r="NE6" s="276"/>
      <c r="NF6" s="42"/>
      <c r="NL6" s="42"/>
      <c r="NM6" s="42"/>
      <c r="NS6" s="42"/>
      <c r="NT6" s="42"/>
      <c r="NZ6" s="42"/>
      <c r="OA6" s="42"/>
      <c r="OG6" s="42"/>
      <c r="OH6" s="42"/>
      <c r="ON6" s="42"/>
      <c r="OO6" s="42"/>
      <c r="OU6" s="42"/>
      <c r="OV6" s="42"/>
      <c r="PB6" s="42"/>
      <c r="PC6" s="42"/>
      <c r="PI6" s="42"/>
      <c r="PJ6" s="42"/>
      <c r="PP6" s="42"/>
      <c r="PQ6" s="42"/>
      <c r="PW6" s="42"/>
      <c r="PX6" s="42"/>
      <c r="QD6" s="42"/>
      <c r="QE6" s="42"/>
    </row>
    <row r="7" spans="1:451">
      <c r="A7" t="s">
        <v>7</v>
      </c>
      <c r="B7" t="s">
        <v>84</v>
      </c>
      <c r="C7">
        <f t="array" ref="C7">IF(WEEKDAY(C$1,2)&gt;=6, 0, SUM( IF(WBS!$J$5:$J$2773=$A7, IF(C$1&gt;=WBS!$K$5:$K$2773, IF(C$1&lt;=WBS!$L$5:$L$2773, IF(WBS!$AU$5:$AU$2773 &gt;0, WBS!$I$5:$I$2773 / WBS!$AU$5:$AU$2773, 0), 0), 0), 0) ))</f>
        <v>0</v>
      </c>
      <c r="D7">
        <f t="array" ref="D7">IF(WEEKDAY(D$1,2)&gt;=6, 0, SUM( IF(WBS!$J$5:$J$2773=$A7, IF(D$1&gt;=WBS!$K$5:$K$2773, IF(D$1&lt;=WBS!$L$5:$L$2773, IF(WBS!$AU$5:$AU$2773 &gt;0, WBS!$I$5:$I$2773 / WBS!$AU$5:$AU$2773, 0), 0), 0), 0) ))</f>
        <v>0</v>
      </c>
      <c r="E7">
        <f t="array" ref="E7">IF(WEEKDAY(E$1,2)&gt;=6, 0, SUM( IF(WBS!$J$5:$J$2773=$A7, IF(E$1&gt;=WBS!$K$5:$K$2773, IF(E$1&lt;=WBS!$L$5:$L$2773, IF(WBS!$AU$5:$AU$2773 &gt;0, WBS!$I$5:$I$2773 / WBS!$AU$5:$AU$2773, 0), 0), 0), 0) ))</f>
        <v>0</v>
      </c>
      <c r="F7">
        <f t="array" ref="F7">IF(WEEKDAY(F$1,2)&gt;=6, 0, SUM( IF(WBS!$J$5:$J$2773=$A7, IF(F$1&gt;=WBS!$K$5:$K$2773, IF(F$1&lt;=WBS!$L$5:$L$2773, IF(WBS!$AU$5:$AU$2773 &gt;0, WBS!$I$5:$I$2773 / WBS!$AU$5:$AU$2773, 0), 0), 0), 0) ))</f>
        <v>0</v>
      </c>
      <c r="G7">
        <f t="array" ref="G7">IF(WEEKDAY(G$1,2)&gt;=6, 0, SUM( IF(WBS!$J$5:$J$2773=$A7, IF(G$1&gt;=WBS!$K$5:$K$2773, IF(G$1&lt;=WBS!$L$5:$L$2773, IF(WBS!$AU$5:$AU$2773 &gt;0, WBS!$I$5:$I$2773 / WBS!$AU$5:$AU$2773, 0), 0), 0), 0) ))</f>
        <v>0</v>
      </c>
      <c r="H7">
        <f t="array" ref="H7">IF(WEEKDAY(H$1,2)&gt;=6, 0, SUM( IF(WBS!$J$5:$J$2773=$A7, IF(H$1&gt;=WBS!$K$5:$K$2773, IF(H$1&lt;=WBS!$L$5:$L$2773, IF(WBS!$AU$5:$AU$2773 &gt;0, WBS!$I$5:$I$2773 / WBS!$AU$5:$AU$2773, 0), 0), 0), 0) ))</f>
        <v>0</v>
      </c>
      <c r="I7">
        <f t="array" ref="I7">IF(WEEKDAY(I$1,2)&gt;=6, 0, SUM( IF(WBS!$J$5:$J$2773=$A7, IF(I$1&gt;=WBS!$K$5:$K$2773, IF(I$1&lt;=WBS!$L$5:$L$2773, IF(WBS!$AU$5:$AU$2773 &gt;0, WBS!$I$5:$I$2773 / WBS!$AU$5:$AU$2773, 0), 0), 0), 0) ))</f>
        <v>0</v>
      </c>
      <c r="J7">
        <f t="array" ref="J7">IF(WEEKDAY(J$1,2)&gt;=6, 0, SUM( IF(WBS!$J$5:$J$2773=$A7, IF(J$1&gt;=WBS!$K$5:$K$2773, IF(J$1&lt;=WBS!$L$5:$L$2773, IF(WBS!$AU$5:$AU$2773 &gt;0, WBS!$I$5:$I$2773 / WBS!$AU$5:$AU$2773, 0), 0), 0), 0) ))</f>
        <v>0</v>
      </c>
      <c r="K7">
        <f t="array" ref="K7">IF(WEEKDAY(K$1,2)&gt;=6, 0, SUM( IF(WBS!$J$5:$J$2773=$A7, IF(K$1&gt;=WBS!$K$5:$K$2773, IF(K$1&lt;=WBS!$L$5:$L$2773, IF(WBS!$AU$5:$AU$2773 &gt;0, WBS!$I$5:$I$2773 / WBS!$AU$5:$AU$2773, 0), 0), 0), 0) ))</f>
        <v>0</v>
      </c>
      <c r="L7">
        <f t="array" ref="L7">IF(WEEKDAY(L$1,2)&gt;=6, 0, SUM( IF(WBS!$J$5:$J$2773=$A7, IF(L$1&gt;=WBS!$K$5:$K$2773, IF(L$1&lt;=WBS!$L$5:$L$2773, IF(WBS!$AU$5:$AU$2773 &gt;0, WBS!$I$5:$I$2773 / WBS!$AU$5:$AU$2773, 0), 0), 0), 0) ))</f>
        <v>0</v>
      </c>
      <c r="M7">
        <f t="array" ref="M7">IF(WEEKDAY(M$1,2)&gt;=6, 0, SUM( IF(WBS!$J$5:$J$2773=$A7, IF(M$1&gt;=WBS!$K$5:$K$2773, IF(M$1&lt;=WBS!$L$5:$L$2773, IF(WBS!$AU$5:$AU$2773 &gt;0, WBS!$I$5:$I$2773 / WBS!$AU$5:$AU$2773, 0), 0), 0), 0) ))</f>
        <v>0</v>
      </c>
      <c r="N7">
        <f t="array" ref="N7">IF(WEEKDAY(N$1,2)&gt;=6, 0, SUM( IF(WBS!$J$5:$J$2773=$A7, IF(N$1&gt;=WBS!$K$5:$K$2773, IF(N$1&lt;=WBS!$L$5:$L$2773, IF(WBS!$AU$5:$AU$2773 &gt;0, WBS!$I$5:$I$2773 / WBS!$AU$5:$AU$2773, 0), 0), 0), 0) ))</f>
        <v>0</v>
      </c>
      <c r="O7">
        <f t="array" ref="O7">IF(WEEKDAY(O$1,2)&gt;=6, 0, SUM( IF(WBS!$J$5:$J$2773=$A7, IF(O$1&gt;=WBS!$K$5:$K$2773, IF(O$1&lt;=WBS!$L$5:$L$2773, IF(WBS!$AU$5:$AU$2773 &gt;0, WBS!$I$5:$I$2773 / WBS!$AU$5:$AU$2773, 0), 0), 0), 0) ))</f>
        <v>0</v>
      </c>
      <c r="P7">
        <f t="array" ref="P7">IF(WEEKDAY(P$1,2)&gt;=6, 0, SUM( IF(WBS!$J$5:$J$2773=$A7, IF(P$1&gt;=WBS!$K$5:$K$2773, IF(P$1&lt;=WBS!$L$5:$L$2773, IF(WBS!$AU$5:$AU$2773 &gt;0, WBS!$I$5:$I$2773 / WBS!$AU$5:$AU$2773, 0), 0), 0), 0) ))</f>
        <v>0</v>
      </c>
      <c r="Q7">
        <f t="array" ref="Q7">IF(WEEKDAY(Q$1,2)&gt;=6, 0, SUM( IF(WBS!$J$5:$J$2773=$A7, IF(Q$1&gt;=WBS!$K$5:$K$2773, IF(Q$1&lt;=WBS!$L$5:$L$2773, IF(WBS!$AU$5:$AU$2773 &gt;0, WBS!$I$5:$I$2773 / WBS!$AU$5:$AU$2773, 0), 0), 0), 0) ))</f>
        <v>0</v>
      </c>
      <c r="R7">
        <f t="array" ref="R7">IF(WEEKDAY(R$1,2)&gt;=6, 0, SUM( IF(WBS!$J$5:$J$2773=$A7, IF(R$1&gt;=WBS!$K$5:$K$2773, IF(R$1&lt;=WBS!$L$5:$L$2773, IF(WBS!$AU$5:$AU$2773 &gt;0, WBS!$I$5:$I$2773 / WBS!$AU$5:$AU$2773, 0), 0), 0), 0) ))</f>
        <v>0</v>
      </c>
      <c r="S7">
        <f t="array" ref="S7">IF(WEEKDAY(S$1,2)&gt;=6, 0, SUM( IF(WBS!$J$5:$J$2773=$A7, IF(S$1&gt;=WBS!$K$5:$K$2773, IF(S$1&lt;=WBS!$L$5:$L$2773, IF(WBS!$AU$5:$AU$2773 &gt;0, WBS!$I$5:$I$2773 / WBS!$AU$5:$AU$2773, 0), 0), 0), 0) ))</f>
        <v>0</v>
      </c>
      <c r="T7">
        <f t="array" ref="T7">IF(WEEKDAY(T$1,2)&gt;=6, 0, SUM( IF(WBS!$J$5:$J$2773=$A7, IF(T$1&gt;=WBS!$K$5:$K$2773, IF(T$1&lt;=WBS!$L$5:$L$2773, IF(WBS!$AU$5:$AU$2773 &gt;0, WBS!$I$5:$I$2773 / WBS!$AU$5:$AU$2773, 0), 0), 0), 0) ))</f>
        <v>0</v>
      </c>
      <c r="U7">
        <f t="array" ref="U7">IF(WEEKDAY(U$1,2)&gt;=6, 0, SUM( IF(WBS!$J$5:$J$2773=$A7, IF(U$1&gt;=WBS!$K$5:$K$2773, IF(U$1&lt;=WBS!$L$5:$L$2773, IF(WBS!$AU$5:$AU$2773 &gt;0, WBS!$I$5:$I$2773 / WBS!$AU$5:$AU$2773, 0), 0), 0), 0) ))</f>
        <v>0</v>
      </c>
      <c r="V7">
        <f t="array" ref="V7">IF(WEEKDAY(V$1,2)&gt;=6, 0, SUM( IF(WBS!$J$5:$J$2773=$A7, IF(V$1&gt;=WBS!$K$5:$K$2773, IF(V$1&lt;=WBS!$L$5:$L$2773, IF(WBS!$AU$5:$AU$2773 &gt;0, WBS!$I$5:$I$2773 / WBS!$AU$5:$AU$2773, 0), 0), 0), 0) ))</f>
        <v>0</v>
      </c>
      <c r="W7">
        <f t="array" ref="W7">IF(WEEKDAY(W$1,2)&gt;=6, 0, SUM( IF(WBS!$J$5:$J$2773=$A7, IF(W$1&gt;=WBS!$K$5:$K$2773, IF(W$1&lt;=WBS!$L$5:$L$2773, IF(WBS!$AU$5:$AU$2773 &gt;0, WBS!$I$5:$I$2773 / WBS!$AU$5:$AU$2773, 0), 0), 0), 0) ))</f>
        <v>0</v>
      </c>
      <c r="X7">
        <f t="array" ref="X7">IF(WEEKDAY(X$1,2)&gt;=6, 0, SUM( IF(WBS!$J$5:$J$2773=$A7, IF(X$1&gt;=WBS!$K$5:$K$2773, IF(X$1&lt;=WBS!$L$5:$L$2773, IF(WBS!$AU$5:$AU$2773 &gt;0, WBS!$I$5:$I$2773 / WBS!$AU$5:$AU$2773, 0), 0), 0), 0) ))</f>
        <v>0</v>
      </c>
      <c r="Y7">
        <f t="array" ref="Y7">IF(WEEKDAY(Y$1,2)&gt;=6, 0, SUM( IF(WBS!$J$5:$J$2773=$A7, IF(Y$1&gt;=WBS!$K$5:$K$2773, IF(Y$1&lt;=WBS!$L$5:$L$2773, IF(WBS!$AU$5:$AU$2773 &gt;0, WBS!$I$5:$I$2773 / WBS!$AU$5:$AU$2773, 0), 0), 0), 0) ))</f>
        <v>0</v>
      </c>
      <c r="Z7">
        <f t="array" ref="Z7">IF(WEEKDAY(Z$1,2)&gt;=6, 0, SUM( IF(WBS!$J$5:$J$2773=$A7, IF(Z$1&gt;=WBS!$K$5:$K$2773, IF(Z$1&lt;=WBS!$L$5:$L$2773, IF(WBS!$AU$5:$AU$2773 &gt;0, WBS!$I$5:$I$2773 / WBS!$AU$5:$AU$2773, 0), 0), 0), 0) ))</f>
        <v>0</v>
      </c>
      <c r="AA7">
        <f t="array" ref="AA7">IF(WEEKDAY(AA$1,2)&gt;=6, 0, SUM( IF(WBS!$J$5:$J$2773=$A7, IF(AA$1&gt;=WBS!$K$5:$K$2773, IF(AA$1&lt;=WBS!$L$5:$L$2773, IF(WBS!$AU$5:$AU$2773 &gt;0, WBS!$I$5:$I$2773 / WBS!$AU$5:$AU$2773, 0), 0), 0), 0) ))</f>
        <v>0</v>
      </c>
      <c r="AB7">
        <f t="array" ref="AB7">IF(WEEKDAY(AB$1,2)&gt;=6, 0, SUM( IF(WBS!$J$5:$J$2773=$A7, IF(AB$1&gt;=WBS!$K$5:$K$2773, IF(AB$1&lt;=WBS!$L$5:$L$2773, IF(WBS!$AU$5:$AU$2773 &gt;0, WBS!$I$5:$I$2773 / WBS!$AU$5:$AU$2773, 0), 0), 0), 0) ))</f>
        <v>0</v>
      </c>
      <c r="AC7">
        <f t="array" ref="AC7">IF(WEEKDAY(AC$1,2)&gt;=6, 0, SUM( IF(WBS!$J$5:$J$2773=$A7, IF(AC$1&gt;=WBS!$K$5:$K$2773, IF(AC$1&lt;=WBS!$L$5:$L$2773, IF(WBS!$AU$5:$AU$2773 &gt;0, WBS!$I$5:$I$2773 / WBS!$AU$5:$AU$2773, 0), 0), 0), 0) ))</f>
        <v>0</v>
      </c>
      <c r="AD7">
        <f t="array" ref="AD7">IF(WEEKDAY(AD$1,2)&gt;=6, 0, SUM( IF(WBS!$J$5:$J$2773=$A7, IF(AD$1&gt;=WBS!$K$5:$K$2773, IF(AD$1&lt;=WBS!$L$5:$L$2773, IF(WBS!$AU$5:$AU$2773 &gt;0, WBS!$I$5:$I$2773 / WBS!$AU$5:$AU$2773, 0), 0), 0), 0) ))</f>
        <v>0</v>
      </c>
      <c r="AE7">
        <f t="array" ref="AE7">IF(WEEKDAY(AE$1,2)&gt;=6, 0, SUM( IF(WBS!$J$5:$J$2773=$A7, IF(AE$1&gt;=WBS!$K$5:$K$2773, IF(AE$1&lt;=WBS!$L$5:$L$2773, IF(WBS!$AU$5:$AU$2773 &gt;0, WBS!$I$5:$I$2773 / WBS!$AU$5:$AU$2773, 0), 0), 0), 0) ))</f>
        <v>0</v>
      </c>
      <c r="AF7">
        <f t="array" ref="AF7">IF(WEEKDAY(AF$1,2)&gt;=6, 0, SUM( IF(WBS!$J$5:$J$2773=$A7, IF(AF$1&gt;=WBS!$K$5:$K$2773, IF(AF$1&lt;=WBS!$L$5:$L$2773, IF(WBS!$AU$5:$AU$2773 &gt;0, WBS!$I$5:$I$2773 / WBS!$AU$5:$AU$2773, 0), 0), 0), 0) ))</f>
        <v>0</v>
      </c>
      <c r="AG7">
        <f t="array" ref="AG7">IF(WEEKDAY(AG$1,2)&gt;=6, 0, SUM( IF(WBS!$J$5:$J$2773=$A7, IF(AG$1&gt;=WBS!$K$5:$K$2773, IF(AG$1&lt;=WBS!$L$5:$L$2773, IF(WBS!$AU$5:$AU$2773 &gt;0, WBS!$I$5:$I$2773 / WBS!$AU$5:$AU$2773, 0), 0), 0), 0) ))</f>
        <v>0</v>
      </c>
      <c r="AH7">
        <f t="array" ref="AH7">IF(WEEKDAY(AH$1,2)&gt;=6, 0, SUM( IF(WBS!$J$5:$J$2773=$A7, IF(AH$1&gt;=WBS!$K$5:$K$2773, IF(AH$1&lt;=WBS!$L$5:$L$2773, IF(WBS!$AU$5:$AU$2773 &gt;0, WBS!$I$5:$I$2773 / WBS!$AU$5:$AU$2773, 0), 0), 0), 0) ))</f>
        <v>0</v>
      </c>
      <c r="AI7">
        <f t="array" ref="AI7">IF(WEEKDAY(AI$1,2)&gt;=6, 0, SUM( IF(WBS!$J$5:$J$2773=$A7, IF(AI$1&gt;=WBS!$K$5:$K$2773, IF(AI$1&lt;=WBS!$L$5:$L$2773, IF(WBS!$AU$5:$AU$2773 &gt;0, WBS!$I$5:$I$2773 / WBS!$AU$5:$AU$2773, 0), 0), 0), 0) ))</f>
        <v>0</v>
      </c>
      <c r="AJ7">
        <f t="array" ref="AJ7">IF(WEEKDAY(AJ$1,2)&gt;=6, 0, SUM( IF(WBS!$J$5:$J$2773=$A7, IF(AJ$1&gt;=WBS!$K$5:$K$2773, IF(AJ$1&lt;=WBS!$L$5:$L$2773, IF(WBS!$AU$5:$AU$2773 &gt;0, WBS!$I$5:$I$2773 / WBS!$AU$5:$AU$2773, 0), 0), 0), 0) ))</f>
        <v>0</v>
      </c>
      <c r="AK7">
        <f t="array" ref="AK7">IF(WEEKDAY(AK$1,2)&gt;=6, 0, SUM( IF(WBS!$J$5:$J$2773=$A7, IF(AK$1&gt;=WBS!$K$5:$K$2773, IF(AK$1&lt;=WBS!$L$5:$L$2773, IF(WBS!$AU$5:$AU$2773 &gt;0, WBS!$I$5:$I$2773 / WBS!$AU$5:$AU$2773, 0), 0), 0), 0) ))</f>
        <v>0</v>
      </c>
      <c r="AL7">
        <f t="array" ref="AL7">IF(WEEKDAY(AL$1,2)&gt;=6, 0, SUM( IF(WBS!$J$5:$J$2773=$A7, IF(AL$1&gt;=WBS!$K$5:$K$2773, IF(AL$1&lt;=WBS!$L$5:$L$2773, IF(WBS!$AU$5:$AU$2773 &gt;0, WBS!$I$5:$I$2773 / WBS!$AU$5:$AU$2773, 0), 0), 0), 0) ))</f>
        <v>0</v>
      </c>
      <c r="AM7">
        <f t="array" ref="AM7">IF(WEEKDAY(AM$1,2)&gt;=6, 0, SUM( IF(WBS!$J$5:$J$2773=$A7, IF(AM$1&gt;=WBS!$K$5:$K$2773, IF(AM$1&lt;=WBS!$L$5:$L$2773, IF(WBS!$AU$5:$AU$2773 &gt;0, WBS!$I$5:$I$2773 / WBS!$AU$5:$AU$2773, 0), 0), 0), 0) ))</f>
        <v>0</v>
      </c>
      <c r="AN7">
        <f t="array" ref="AN7">IF(WEEKDAY(AN$1,2)&gt;=6, 0, SUM( IF(WBS!$J$5:$J$2773=$A7, IF(AN$1&gt;=WBS!$K$5:$K$2773, IF(AN$1&lt;=WBS!$L$5:$L$2773, IF(WBS!$AU$5:$AU$2773 &gt;0, WBS!$I$5:$I$2773 / WBS!$AU$5:$AU$2773, 0), 0), 0), 0) ))</f>
        <v>0</v>
      </c>
      <c r="AO7">
        <f t="array" ref="AO7">IF(WEEKDAY(AO$1,2)&gt;=6, 0, SUM( IF(WBS!$J$5:$J$2773=$A7, IF(AO$1&gt;=WBS!$K$5:$K$2773, IF(AO$1&lt;=WBS!$L$5:$L$2773, IF(WBS!$AU$5:$AU$2773 &gt;0, WBS!$I$5:$I$2773 / WBS!$AU$5:$AU$2773, 0), 0), 0), 0) ))</f>
        <v>0</v>
      </c>
      <c r="AP7">
        <f t="array" ref="AP7">IF(WEEKDAY(AP$1,2)&gt;=6, 0, SUM( IF(WBS!$J$5:$J$2773=$A7, IF(AP$1&gt;=WBS!$K$5:$K$2773, IF(AP$1&lt;=WBS!$L$5:$L$2773, IF(WBS!$AU$5:$AU$2773 &gt;0, WBS!$I$5:$I$2773 / WBS!$AU$5:$AU$2773, 0), 0), 0), 0) ))</f>
        <v>0</v>
      </c>
      <c r="AQ7">
        <f t="array" ref="AQ7">IF(WEEKDAY(AQ$1,2)&gt;=6, 0, SUM( IF(WBS!$J$5:$J$2773=$A7, IF(AQ$1&gt;=WBS!$K$5:$K$2773, IF(AQ$1&lt;=WBS!$L$5:$L$2773, IF(WBS!$AU$5:$AU$2773 &gt;0, WBS!$I$5:$I$2773 / WBS!$AU$5:$AU$2773, 0), 0), 0), 0) ))</f>
        <v>0</v>
      </c>
      <c r="AR7">
        <f t="array" ref="AR7">IF(WEEKDAY(AR$1,2)&gt;=6, 0, SUM( IF(WBS!$J$5:$J$2773=$A7, IF(AR$1&gt;=WBS!$K$5:$K$2773, IF(AR$1&lt;=WBS!$L$5:$L$2773, IF(WBS!$AU$5:$AU$2773 &gt;0, WBS!$I$5:$I$2773 / WBS!$AU$5:$AU$2773, 0), 0), 0), 0) ))</f>
        <v>0</v>
      </c>
      <c r="AS7">
        <f t="array" ref="AS7">IF(WEEKDAY(AS$1,2)&gt;=6, 0, SUM( IF(WBS!$J$5:$J$2773=$A7, IF(AS$1&gt;=WBS!$K$5:$K$2773, IF(AS$1&lt;=WBS!$L$5:$L$2773, IF(WBS!$AU$5:$AU$2773 &gt;0, WBS!$I$5:$I$2773 / WBS!$AU$5:$AU$2773, 0), 0), 0), 0) ))</f>
        <v>0</v>
      </c>
      <c r="AT7">
        <f t="array" ref="AT7">IF(WEEKDAY(AT$1,2)&gt;=6, 0, SUM( IF(WBS!$J$5:$J$2773=$A7, IF(AT$1&gt;=WBS!$K$5:$K$2773, IF(AT$1&lt;=WBS!$L$5:$L$2773, IF(WBS!$AU$5:$AU$2773 &gt;0, WBS!$I$5:$I$2773 / WBS!$AU$5:$AU$2773, 0), 0), 0), 0) ))</f>
        <v>0</v>
      </c>
      <c r="AU7">
        <f t="array" ref="AU7">IF(WEEKDAY(AU$1,2)&gt;=6, 0, SUM( IF(WBS!$J$5:$J$2773=$A7, IF(AU$1&gt;=WBS!$K$5:$K$2773, IF(AU$1&lt;=WBS!$L$5:$L$2773, IF(WBS!$AU$5:$AU$2773 &gt;0, WBS!$I$5:$I$2773 / WBS!$AU$5:$AU$2773, 0), 0), 0), 0) ))</f>
        <v>0</v>
      </c>
      <c r="AV7">
        <f t="array" ref="AV7">IF(WEEKDAY(AV$1,2)&gt;=6, 0, SUM( IF(WBS!$J$5:$J$2773=$A7, IF(AV$1&gt;=WBS!$K$5:$K$2773, IF(AV$1&lt;=WBS!$L$5:$L$2773, IF(WBS!$AU$5:$AU$2773 &gt;0, WBS!$I$5:$I$2773 / WBS!$AU$5:$AU$2773, 0), 0), 0), 0) ))</f>
        <v>0</v>
      </c>
      <c r="AW7">
        <f t="array" ref="AW7">IF(WEEKDAY(AW$1,2)&gt;=6, 0, SUM( IF(WBS!$J$5:$J$2773=$A7, IF(AW$1&gt;=WBS!$K$5:$K$2773, IF(AW$1&lt;=WBS!$L$5:$L$2773, IF(WBS!$AU$5:$AU$2773 &gt;0, WBS!$I$5:$I$2773 / WBS!$AU$5:$AU$2773, 0), 0), 0), 0) ))</f>
        <v>0</v>
      </c>
      <c r="AX7">
        <f t="array" ref="AX7">IF(WEEKDAY(AX$1,2)&gt;=6, 0, SUM( IF(WBS!$J$5:$J$2773=$A7, IF(AX$1&gt;=WBS!$K$5:$K$2773, IF(AX$1&lt;=WBS!$L$5:$L$2773, IF(WBS!$AU$5:$AU$2773 &gt;0, WBS!$I$5:$I$2773 / WBS!$AU$5:$AU$2773, 0), 0), 0), 0) ))</f>
        <v>0</v>
      </c>
      <c r="AY7">
        <f t="array" ref="AY7">IF(WEEKDAY(AY$1,2)&gt;=6, 0, SUM( IF(WBS!$J$5:$J$2773=$A7, IF(AY$1&gt;=WBS!$K$5:$K$2773, IF(AY$1&lt;=WBS!$L$5:$L$2773, IF(WBS!$AU$5:$AU$2773 &gt;0, WBS!$I$5:$I$2773 / WBS!$AU$5:$AU$2773, 0), 0), 0), 0) ))</f>
        <v>0</v>
      </c>
      <c r="AZ7">
        <f t="array" ref="AZ7">IF(WEEKDAY(AZ$1,2)&gt;=6, 0, SUM( IF(WBS!$J$5:$J$2773=$A7, IF(AZ$1&gt;=WBS!$K$5:$K$2773, IF(AZ$1&lt;=WBS!$L$5:$L$2773, IF(WBS!$AU$5:$AU$2773 &gt;0, WBS!$I$5:$I$2773 / WBS!$AU$5:$AU$2773, 0), 0), 0), 0) ))</f>
        <v>0</v>
      </c>
      <c r="BA7">
        <f t="array" ref="BA7">IF(WEEKDAY(BA$1,2)&gt;=6, 0, SUM( IF(WBS!$J$5:$J$2773=$A7, IF(BA$1&gt;=WBS!$K$5:$K$2773, IF(BA$1&lt;=WBS!$L$5:$L$2773, IF(WBS!$AU$5:$AU$2773 &gt;0, WBS!$I$5:$I$2773 / WBS!$AU$5:$AU$2773, 0), 0), 0), 0) ))</f>
        <v>0</v>
      </c>
      <c r="BB7">
        <f t="array" ref="BB7">IF(WEEKDAY(BB$1,2)&gt;=6, 0, SUM( IF(WBS!$J$5:$J$2773=$A7, IF(BB$1&gt;=WBS!$K$5:$K$2773, IF(BB$1&lt;=WBS!$L$5:$L$2773, IF(WBS!$AU$5:$AU$2773 &gt;0, WBS!$I$5:$I$2773 / WBS!$AU$5:$AU$2773, 0), 0), 0), 0) ))</f>
        <v>0</v>
      </c>
      <c r="BC7">
        <f t="array" ref="BC7">IF(WEEKDAY(BC$1,2)&gt;=6, 0, SUM( IF(WBS!$J$5:$J$2773=$A7, IF(BC$1&gt;=WBS!$K$5:$K$2773, IF(BC$1&lt;=WBS!$L$5:$L$2773, IF(WBS!$AU$5:$AU$2773 &gt;0, WBS!$I$5:$I$2773 / WBS!$AU$5:$AU$2773, 0), 0), 0), 0) ))</f>
        <v>0</v>
      </c>
      <c r="BD7">
        <f t="array" ref="BD7">IF(WEEKDAY(BD$1,2)&gt;=6, 0, SUM( IF(WBS!$J$5:$J$2773=$A7, IF(BD$1&gt;=WBS!$K$5:$K$2773, IF(BD$1&lt;=WBS!$L$5:$L$2773, IF(WBS!$AU$5:$AU$2773 &gt;0, WBS!$I$5:$I$2773 / WBS!$AU$5:$AU$2773, 0), 0), 0), 0) ))</f>
        <v>0</v>
      </c>
      <c r="BE7">
        <f t="array" ref="BE7">IF(WEEKDAY(BE$1,2)&gt;=6, 0, SUM( IF(WBS!$J$5:$J$2773=$A7, IF(BE$1&gt;=WBS!$K$5:$K$2773, IF(BE$1&lt;=WBS!$L$5:$L$2773, IF(WBS!$AU$5:$AU$2773 &gt;0, WBS!$I$5:$I$2773 / WBS!$AU$5:$AU$2773, 0), 0), 0), 0) ))</f>
        <v>0</v>
      </c>
      <c r="BF7">
        <f t="array" ref="BF7">IF(WEEKDAY(BF$1,2)&gt;=6, 0, SUM( IF(WBS!$J$5:$J$2773=$A7, IF(BF$1&gt;=WBS!$K$5:$K$2773, IF(BF$1&lt;=WBS!$L$5:$L$2773, IF(WBS!$AU$5:$AU$2773 &gt;0, WBS!$I$5:$I$2773 / WBS!$AU$5:$AU$2773, 0), 0), 0), 0) ))</f>
        <v>0</v>
      </c>
      <c r="BG7">
        <f t="array" ref="BG7">IF(WEEKDAY(BG$1,2)&gt;=6, 0, SUM( IF(WBS!$J$5:$J$2773=$A7, IF(BG$1&gt;=WBS!$K$5:$K$2773, IF(BG$1&lt;=WBS!$L$5:$L$2773, IF(WBS!$AU$5:$AU$2773 &gt;0, WBS!$I$5:$I$2773 / WBS!$AU$5:$AU$2773, 0), 0), 0), 0) ))</f>
        <v>0</v>
      </c>
      <c r="BH7">
        <f t="array" ref="BH7">IF(WEEKDAY(BH$1,2)&gt;=6, 0, SUM( IF(WBS!$J$5:$J$2773=$A7, IF(BH$1&gt;=WBS!$K$5:$K$2773, IF(BH$1&lt;=WBS!$L$5:$L$2773, IF(WBS!$AU$5:$AU$2773 &gt;0, WBS!$I$5:$I$2773 / WBS!$AU$5:$AU$2773, 0), 0), 0), 0) ))</f>
        <v>0</v>
      </c>
      <c r="BI7" s="42">
        <f t="array" ref="BI7">IF(WEEKDAY(BI$1,2)&gt;=6, 0, SUM( IF(WBS!$J$5:$J$2773=$A7, IF(BI$1&gt;=WBS!$K$5:$K$2773, IF(BI$1&lt;=WBS!$L$5:$L$2773, IF(WBS!$AU$5:$AU$2773 &gt;0, WBS!$I$5:$I$2773 / WBS!$AU$5:$AU$2773, 0), 0), 0), 0) ))</f>
        <v>0</v>
      </c>
      <c r="BJ7" s="42">
        <f t="array" ref="BJ7">IF(WEEKDAY(BJ$1,2)&gt;=6, 0, SUM( IF(WBS!$J$5:$J$2773=$A7, IF(BJ$1&gt;=WBS!$K$5:$K$2773, IF(BJ$1&lt;=WBS!$L$5:$L$2773, IF(WBS!$AU$5:$AU$2773 &gt;0, WBS!$I$5:$I$2773 / WBS!$AU$5:$AU$2773, 0), 0), 0), 0) ))</f>
        <v>0</v>
      </c>
      <c r="BK7">
        <f t="array" ref="BK7">IF(WEEKDAY(BK$1,2)&gt;=6, 0, SUM( IF(WBS!$J$5:$J$2773=$A7, IF(BK$1&gt;=WBS!$K$5:$K$2773, IF(BK$1&lt;=WBS!$L$5:$L$2773, IF(WBS!$AU$5:$AU$2773 &gt;0, WBS!$I$5:$I$2773 / WBS!$AU$5:$AU$2773, 0), 0), 0), 0) ))</f>
        <v>0</v>
      </c>
      <c r="BL7">
        <f t="array" ref="BL7">IF(WEEKDAY(BL$1,2)&gt;=6, 0, SUM( IF(WBS!$J$5:$J$2773=$A7, IF(BL$1&gt;=WBS!$K$5:$K$2773, IF(BL$1&lt;=WBS!$L$5:$L$2773, IF(WBS!$AU$5:$AU$2773 &gt;0, WBS!$I$5:$I$2773 / WBS!$AU$5:$AU$2773, 0), 0), 0), 0) ))</f>
        <v>0</v>
      </c>
      <c r="BM7">
        <f t="array" ref="BM7">IF(WEEKDAY(BM$1,2)&gt;=6, 0, SUM( IF(WBS!$J$5:$J$2773=$A7, IF(BM$1&gt;=WBS!$K$5:$K$2773, IF(BM$1&lt;=WBS!$L$5:$L$2773, IF(WBS!$AU$5:$AU$2773 &gt;0, WBS!$I$5:$I$2773 / WBS!$AU$5:$AU$2773, 0), 0), 0), 0) ))</f>
        <v>0</v>
      </c>
      <c r="BN7">
        <f t="array" ref="BN7">IF(WEEKDAY(BN$1,2)&gt;=6, 0, SUM( IF(WBS!$J$5:$J$2773=$A7, IF(BN$1&gt;=WBS!$K$5:$K$2773, IF(BN$1&lt;=WBS!$L$5:$L$2773, IF(WBS!$AU$5:$AU$2773 &gt;0, WBS!$I$5:$I$2773 / WBS!$AU$5:$AU$2773, 0), 0), 0), 0) ))</f>
        <v>0</v>
      </c>
      <c r="BO7">
        <f t="array" ref="BO7">IF(WEEKDAY(BO$1,2)&gt;=6, 0, SUM( IF(WBS!$J$5:$J$2773=$A7, IF(BO$1&gt;=WBS!$K$5:$K$2773, IF(BO$1&lt;=WBS!$L$5:$L$2773, IF(WBS!$AU$5:$AU$2773 &gt;0, WBS!$I$5:$I$2773 / WBS!$AU$5:$AU$2773, 0), 0), 0), 0) ))</f>
        <v>0</v>
      </c>
      <c r="BP7" s="42">
        <f t="array" ref="BP7">IF(WEEKDAY(BP$1,2)&gt;=6, 0, SUM( IF(WBS!$J$5:$J$2773=$A7, IF(BP$1&gt;=WBS!$K$5:$K$2773, IF(BP$1&lt;=WBS!$L$5:$L$2773, IF(WBS!$AU$5:$AU$2773 &gt;0, WBS!$I$5:$I$2773 / WBS!$AU$5:$AU$2773, 0), 0), 0), 0) ))</f>
        <v>0</v>
      </c>
      <c r="BQ7" s="42">
        <f t="array" ref="BQ7">IF(WEEKDAY(BQ$1,2)&gt;=6, 0, SUM( IF(WBS!$J$5:$J$2773=$A7, IF(BQ$1&gt;=WBS!$K$5:$K$2773, IF(BQ$1&lt;=WBS!$L$5:$L$2773, IF(WBS!$AU$5:$AU$2773 &gt;0, WBS!$I$5:$I$2773 / WBS!$AU$5:$AU$2773, 0), 0), 0), 0) ))</f>
        <v>0</v>
      </c>
      <c r="BR7">
        <f t="array" ref="BR7">IF(WEEKDAY(BR$1,2)&gt;=6, 0, SUM( IF(WBS!$J$5:$J$2773=$A7, IF(BR$1&gt;=WBS!$K$5:$K$2773, IF(BR$1&lt;=WBS!$L$5:$L$2773, IF(WBS!$AU$5:$AU$2773 &gt;0, WBS!$I$5:$I$2773 / WBS!$AU$5:$AU$2773, 0), 0), 0), 0) ))</f>
        <v>0</v>
      </c>
      <c r="BS7">
        <f t="array" ref="BS7">IF(WEEKDAY(BS$1,2)&gt;=6, 0, SUM( IF(WBS!$J$5:$J$2773=$A7, IF(BS$1&gt;=WBS!$K$5:$K$2773, IF(BS$1&lt;=WBS!$L$5:$L$2773, IF(WBS!$AU$5:$AU$2773 &gt;0, WBS!$I$5:$I$2773 / WBS!$AU$5:$AU$2773, 0), 0), 0), 0) ))</f>
        <v>0</v>
      </c>
      <c r="BT7">
        <f t="array" ref="BT7">IF(WEEKDAY(BT$1,2)&gt;=6, 0, SUM( IF(WBS!$J$5:$J$2773=$A7, IF(BT$1&gt;=WBS!$K$5:$K$2773, IF(BT$1&lt;=WBS!$L$5:$L$2773, IF(WBS!$AU$5:$AU$2773 &gt;0, WBS!$I$5:$I$2773 / WBS!$AU$5:$AU$2773, 0), 0), 0), 0) ))</f>
        <v>0</v>
      </c>
      <c r="BU7">
        <f t="array" ref="BU7">IF(WEEKDAY(BU$1,2)&gt;=6, 0, SUM( IF(WBS!$J$5:$J$2773=$A7, IF(BU$1&gt;=WBS!$K$5:$K$2773, IF(BU$1&lt;=WBS!$L$5:$L$2773, IF(WBS!$AU$5:$AU$2773 &gt;0, WBS!$I$5:$I$2773 / WBS!$AU$5:$AU$2773, 0), 0), 0), 0) ))</f>
        <v>0</v>
      </c>
      <c r="BV7">
        <f t="array" ref="BV7">IF(WEEKDAY(BV$1,2)&gt;=6, 0, SUM( IF(WBS!$J$5:$J$2773=$A7, IF(BV$1&gt;=WBS!$K$5:$K$2773, IF(BV$1&lt;=WBS!$L$5:$L$2773, IF(WBS!$AU$5:$AU$2773 &gt;0, WBS!$I$5:$I$2773 / WBS!$AU$5:$AU$2773, 0), 0), 0), 0) ))</f>
        <v>0</v>
      </c>
      <c r="BW7" s="42">
        <f t="array" ref="BW7">IF(WEEKDAY(BW$1,2)&gt;=6, 0, SUM( IF(WBS!$J$5:$J$2773=$A7, IF(BW$1&gt;=WBS!$K$5:$K$2773, IF(BW$1&lt;=WBS!$L$5:$L$2773, IF(WBS!$AU$5:$AU$2773 &gt;0, WBS!$I$5:$I$2773 / WBS!$AU$5:$AU$2773, 0), 0), 0), 0) ))</f>
        <v>0</v>
      </c>
      <c r="BX7" s="42">
        <f t="array" ref="BX7">IF(WEEKDAY(BX$1,2)&gt;=6, 0, SUM( IF(WBS!$J$5:$J$2773=$A7, IF(BX$1&gt;=WBS!$K$5:$K$2773, IF(BX$1&lt;=WBS!$L$5:$L$2773, IF(WBS!$AU$5:$AU$2773 &gt;0, WBS!$I$5:$I$2773 / WBS!$AU$5:$AU$2773, 0), 0), 0), 0) ))</f>
        <v>0</v>
      </c>
      <c r="BY7">
        <f t="array" ref="BY7">IF(WEEKDAY(BY$1,2)&gt;=6, 0, SUM( IF(WBS!$J$5:$J$2773=$A7, IF(BY$1&gt;=WBS!$K$5:$K$2773, IF(BY$1&lt;=WBS!$L$5:$L$2773, IF(WBS!$AU$5:$AU$2773 &gt;0, WBS!$I$5:$I$2773 / WBS!$AU$5:$AU$2773, 0), 0), 0), 0) ))</f>
        <v>0</v>
      </c>
      <c r="BZ7">
        <f t="array" ref="BZ7">IF(WEEKDAY(BZ$1,2)&gt;=6, 0, SUM( IF(WBS!$J$5:$J$2773=$A7, IF(BZ$1&gt;=WBS!$K$5:$K$2773, IF(BZ$1&lt;=WBS!$L$5:$L$2773, IF(WBS!$AU$5:$AU$2773 &gt;0, WBS!$I$5:$I$2773 / WBS!$AU$5:$AU$2773, 0), 0), 0), 0) ))</f>
        <v>0</v>
      </c>
      <c r="CA7">
        <f t="array" ref="CA7">IF(WEEKDAY(CA$1,2)&gt;=6, 0, SUM( IF(WBS!$J$5:$J$2773=$A7, IF(CA$1&gt;=WBS!$K$5:$K$2773, IF(CA$1&lt;=WBS!$L$5:$L$2773, IF(WBS!$AU$5:$AU$2773 &gt;0, WBS!$I$5:$I$2773 / WBS!$AU$5:$AU$2773, 0), 0), 0), 0) ))</f>
        <v>0</v>
      </c>
      <c r="CB7">
        <f t="array" ref="CB7">IF(WEEKDAY(CB$1,2)&gt;=6, 0, SUM( IF(WBS!$J$5:$J$2773=$A7, IF(CB$1&gt;=WBS!$K$5:$K$2773, IF(CB$1&lt;=WBS!$L$5:$L$2773, IF(WBS!$AU$5:$AU$2773 &gt;0, WBS!$I$5:$I$2773 / WBS!$AU$5:$AU$2773, 0), 0), 0), 0) ))</f>
        <v>0</v>
      </c>
      <c r="CC7">
        <f t="array" ref="CC7">IF(WEEKDAY(CC$1,2)&gt;=6, 0, SUM( IF(WBS!$J$5:$J$2773=$A7, IF(CC$1&gt;=WBS!$K$5:$K$2773, IF(CC$1&lt;=WBS!$L$5:$L$2773, IF(WBS!$AU$5:$AU$2773 &gt;0, WBS!$I$5:$I$2773 / WBS!$AU$5:$AU$2773, 0), 0), 0), 0) ))</f>
        <v>0</v>
      </c>
      <c r="CD7" s="42">
        <f t="array" ref="CD7">IF(WEEKDAY(CD$1,2)&gt;=6, 0, SUM( IF(WBS!$J$5:$J$2773=$A7, IF(CD$1&gt;=WBS!$K$5:$K$2773, IF(CD$1&lt;=WBS!$L$5:$L$2773, IF(WBS!$AU$5:$AU$2773 &gt;0, WBS!$I$5:$I$2773 / WBS!$AU$5:$AU$2773, 0), 0), 0), 0) ))</f>
        <v>0</v>
      </c>
      <c r="CE7" s="42">
        <f t="array" ref="CE7">IF(WEEKDAY(CE$1,2)&gt;=6, 0, SUM( IF(WBS!$J$5:$J$2773=$A7, IF(CE$1&gt;=WBS!$K$5:$K$2773, IF(CE$1&lt;=WBS!$L$5:$L$2773, IF(WBS!$AU$5:$AU$2773 &gt;0, WBS!$I$5:$I$2773 / WBS!$AU$5:$AU$2773, 0), 0), 0), 0) ))</f>
        <v>0</v>
      </c>
      <c r="CF7">
        <f t="array" ref="CF7">IF(WEEKDAY(CF$1,2)&gt;=6, 0, SUM( IF(WBS!$J$5:$J$2773=$A7, IF(CF$1&gt;=WBS!$K$5:$K$2773, IF(CF$1&lt;=WBS!$L$5:$L$2773, IF(WBS!$AU$5:$AU$2773 &gt;0, WBS!$I$5:$I$2773 / WBS!$AU$5:$AU$2773, 0), 0), 0), 0) ))</f>
        <v>0</v>
      </c>
      <c r="CG7">
        <f t="array" ref="CG7">IF(WEEKDAY(CG$1,2)&gt;=6, 0, SUM( IF(WBS!$J$5:$J$2773=$A7, IF(CG$1&gt;=WBS!$K$5:$K$2773, IF(CG$1&lt;=WBS!$L$5:$L$2773, IF(WBS!$AU$5:$AU$2773 &gt;0, WBS!$I$5:$I$2773 / WBS!$AU$5:$AU$2773, 0), 0), 0), 0) ))</f>
        <v>0</v>
      </c>
      <c r="CH7">
        <f t="array" ref="CH7">IF(WEEKDAY(CH$1,2)&gt;=6, 0, SUM( IF(WBS!$J$5:$J$2773=$A7, IF(CH$1&gt;=WBS!$K$5:$K$2773, IF(CH$1&lt;=WBS!$L$5:$L$2773, IF(WBS!$AU$5:$AU$2773 &gt;0, WBS!$I$5:$I$2773 / WBS!$AU$5:$AU$2773, 0), 0), 0), 0) ))</f>
        <v>0</v>
      </c>
      <c r="CI7" s="274"/>
      <c r="CK7" s="42"/>
      <c r="CL7" s="42"/>
      <c r="CR7" s="42"/>
      <c r="CS7" s="42"/>
      <c r="CY7" s="42"/>
      <c r="CZ7" s="42"/>
      <c r="DF7" s="42"/>
      <c r="DG7" s="42"/>
      <c r="DM7" s="42"/>
      <c r="DN7" s="42"/>
      <c r="DT7" s="42"/>
      <c r="DU7" s="42"/>
      <c r="EA7" s="276"/>
      <c r="EB7" s="276"/>
      <c r="EC7" s="274"/>
      <c r="ED7" s="274"/>
      <c r="EE7" s="274"/>
      <c r="EF7" s="274"/>
      <c r="EG7" s="274"/>
      <c r="EH7" s="274"/>
      <c r="EI7" s="274"/>
      <c r="EJ7" s="274"/>
      <c r="EO7" s="42"/>
      <c r="EP7" s="42"/>
      <c r="EV7" s="42"/>
      <c r="EW7" s="42"/>
      <c r="FC7" s="42"/>
      <c r="FD7" s="42"/>
      <c r="FJ7" s="42"/>
      <c r="FK7" s="42"/>
      <c r="FQ7" s="42"/>
      <c r="FR7" s="42"/>
      <c r="FX7" s="42"/>
      <c r="FY7" s="42"/>
      <c r="FZ7" s="274"/>
      <c r="GE7" s="42"/>
      <c r="GF7" s="42"/>
      <c r="GL7" s="42"/>
      <c r="GM7" s="42"/>
      <c r="GS7" s="42"/>
      <c r="GT7" s="42"/>
      <c r="GY7" s="274"/>
      <c r="GZ7" s="42"/>
      <c r="HA7" s="42"/>
      <c r="HB7" s="274"/>
      <c r="HC7" s="274"/>
      <c r="HG7" s="42"/>
      <c r="HH7" s="42"/>
      <c r="HN7" s="42"/>
      <c r="HO7" s="42"/>
      <c r="HU7" s="42"/>
      <c r="HV7" s="42"/>
      <c r="IB7" s="42"/>
      <c r="IC7" s="42"/>
      <c r="II7" s="42"/>
      <c r="IJ7" s="42"/>
      <c r="IP7" s="42"/>
      <c r="IQ7" s="42"/>
      <c r="IV7" s="274"/>
      <c r="IW7" s="42"/>
      <c r="IX7" s="42"/>
      <c r="JD7" s="42"/>
      <c r="JE7" s="42"/>
      <c r="JK7" s="42"/>
      <c r="JL7" s="42"/>
      <c r="JR7" s="42"/>
      <c r="JS7" s="42"/>
      <c r="JY7" s="42"/>
      <c r="JZ7" s="42"/>
      <c r="KF7" s="42"/>
      <c r="KG7" s="42"/>
      <c r="KM7" s="42"/>
      <c r="KN7" s="42"/>
      <c r="KT7" s="42"/>
      <c r="KU7" s="42"/>
      <c r="LA7" s="42"/>
      <c r="LB7" s="42"/>
      <c r="LH7" s="42"/>
      <c r="LI7" s="42"/>
      <c r="LO7" s="42"/>
      <c r="LP7" s="42"/>
      <c r="LV7" s="42"/>
      <c r="LW7" s="42"/>
      <c r="MC7" s="42"/>
      <c r="MD7" s="42"/>
      <c r="MJ7" s="42"/>
      <c r="MK7" s="42"/>
      <c r="MP7" s="274"/>
      <c r="MQ7" s="42"/>
      <c r="MR7" s="276"/>
      <c r="MV7" s="274"/>
      <c r="MW7" s="274"/>
      <c r="MX7" s="42"/>
      <c r="MY7" s="42"/>
      <c r="MZ7" s="274"/>
      <c r="NA7" s="274"/>
      <c r="NB7" s="274"/>
      <c r="NE7" s="276"/>
      <c r="NF7" s="42"/>
      <c r="NL7" s="42"/>
      <c r="NM7" s="42"/>
      <c r="NS7" s="42"/>
      <c r="NT7" s="42"/>
      <c r="NZ7" s="42"/>
      <c r="OA7" s="42"/>
      <c r="OG7" s="42"/>
      <c r="OH7" s="42"/>
      <c r="ON7" s="42"/>
      <c r="OO7" s="42"/>
      <c r="OU7" s="42"/>
      <c r="OV7" s="42"/>
      <c r="PB7" s="42"/>
      <c r="PC7" s="42"/>
      <c r="PI7" s="42"/>
      <c r="PJ7" s="42"/>
      <c r="PP7" s="42"/>
      <c r="PQ7" s="42"/>
      <c r="PW7" s="42"/>
      <c r="PX7" s="42"/>
      <c r="QD7" s="42"/>
      <c r="QE7" s="42"/>
    </row>
    <row r="8" spans="1:451">
      <c r="A8" t="s">
        <v>78</v>
      </c>
      <c r="B8" t="s">
        <v>81</v>
      </c>
      <c r="C8">
        <f t="array" ref="C8">IF(WEEKDAY(C$1,2)&gt;=6, 0, SUM( IF(WBS!$J$5:$J$2773=$A8, IF(C$1&gt;=WBS!$K$5:$K$2773, IF(C$1&lt;=WBS!$L$5:$L$2773, IF(WBS!$AU$5:$AU$2773 &gt;0, WBS!$I$5:$I$2773 / WBS!$AU$5:$AU$2773, 0), 0), 0), 0) ))</f>
        <v>0</v>
      </c>
      <c r="D8">
        <f t="array" ref="D8">IF(WEEKDAY(D$1,2)&gt;=6, 0, SUM( IF(WBS!$J$5:$J$2773=$A8, IF(D$1&gt;=WBS!$K$5:$K$2773, IF(D$1&lt;=WBS!$L$5:$L$2773, IF(WBS!$AU$5:$AU$2773 &gt;0, WBS!$I$5:$I$2773 / WBS!$AU$5:$AU$2773, 0), 0), 0), 0) ))</f>
        <v>0</v>
      </c>
      <c r="E8">
        <f t="array" ref="E8">IF(WEEKDAY(E$1,2)&gt;=6, 0, SUM( IF(WBS!$J$5:$J$2773=$A8, IF(E$1&gt;=WBS!$K$5:$K$2773, IF(E$1&lt;=WBS!$L$5:$L$2773, IF(WBS!$AU$5:$AU$2773 &gt;0, WBS!$I$5:$I$2773 / WBS!$AU$5:$AU$2773, 0), 0), 0), 0) ))</f>
        <v>0</v>
      </c>
      <c r="F8">
        <f t="array" ref="F8">IF(WEEKDAY(F$1,2)&gt;=6, 0, SUM( IF(WBS!$J$5:$J$2773=$A8, IF(F$1&gt;=WBS!$K$5:$K$2773, IF(F$1&lt;=WBS!$L$5:$L$2773, IF(WBS!$AU$5:$AU$2773 &gt;0, WBS!$I$5:$I$2773 / WBS!$AU$5:$AU$2773, 0), 0), 0), 0) ))</f>
        <v>0</v>
      </c>
      <c r="G8">
        <f t="array" ref="G8">IF(WEEKDAY(G$1,2)&gt;=6, 0, SUM( IF(WBS!$J$5:$J$2773=$A8, IF(G$1&gt;=WBS!$K$5:$K$2773, IF(G$1&lt;=WBS!$L$5:$L$2773, IF(WBS!$AU$5:$AU$2773 &gt;0, WBS!$I$5:$I$2773 / WBS!$AU$5:$AU$2773, 0), 0), 0), 0) ))</f>
        <v>0</v>
      </c>
      <c r="H8">
        <f t="array" ref="H8">IF(WEEKDAY(H$1,2)&gt;=6, 0, SUM( IF(WBS!$J$5:$J$2773=$A8, IF(H$1&gt;=WBS!$K$5:$K$2773, IF(H$1&lt;=WBS!$L$5:$L$2773, IF(WBS!$AU$5:$AU$2773 &gt;0, WBS!$I$5:$I$2773 / WBS!$AU$5:$AU$2773, 0), 0), 0), 0) ))</f>
        <v>0</v>
      </c>
      <c r="I8">
        <f t="array" ref="I8">IF(WEEKDAY(I$1,2)&gt;=6, 0, SUM( IF(WBS!$J$5:$J$2773=$A8, IF(I$1&gt;=WBS!$K$5:$K$2773, IF(I$1&lt;=WBS!$L$5:$L$2773, IF(WBS!$AU$5:$AU$2773 &gt;0, WBS!$I$5:$I$2773 / WBS!$AU$5:$AU$2773, 0), 0), 0), 0) ))</f>
        <v>0</v>
      </c>
      <c r="J8">
        <f t="array" ref="J8">IF(WEEKDAY(J$1,2)&gt;=6, 0, SUM( IF(WBS!$J$5:$J$2773=$A8, IF(J$1&gt;=WBS!$K$5:$K$2773, IF(J$1&lt;=WBS!$L$5:$L$2773, IF(WBS!$AU$5:$AU$2773 &gt;0, WBS!$I$5:$I$2773 / WBS!$AU$5:$AU$2773, 0), 0), 0), 0) ))</f>
        <v>0</v>
      </c>
      <c r="K8">
        <f t="array" ref="K8">IF(WEEKDAY(K$1,2)&gt;=6, 0, SUM( IF(WBS!$J$5:$J$2773=$A8, IF(K$1&gt;=WBS!$K$5:$K$2773, IF(K$1&lt;=WBS!$L$5:$L$2773, IF(WBS!$AU$5:$AU$2773 &gt;0, WBS!$I$5:$I$2773 / WBS!$AU$5:$AU$2773, 0), 0), 0), 0) ))</f>
        <v>0</v>
      </c>
      <c r="L8">
        <f t="array" ref="L8">IF(WEEKDAY(L$1,2)&gt;=6, 0, SUM( IF(WBS!$J$5:$J$2773=$A8, IF(L$1&gt;=WBS!$K$5:$K$2773, IF(L$1&lt;=WBS!$L$5:$L$2773, IF(WBS!$AU$5:$AU$2773 &gt;0, WBS!$I$5:$I$2773 / WBS!$AU$5:$AU$2773, 0), 0), 0), 0) ))</f>
        <v>0</v>
      </c>
      <c r="M8">
        <f t="array" ref="M8">IF(WEEKDAY(M$1,2)&gt;=6, 0, SUM( IF(WBS!$J$5:$J$2773=$A8, IF(M$1&gt;=WBS!$K$5:$K$2773, IF(M$1&lt;=WBS!$L$5:$L$2773, IF(WBS!$AU$5:$AU$2773 &gt;0, WBS!$I$5:$I$2773 / WBS!$AU$5:$AU$2773, 0), 0), 0), 0) ))</f>
        <v>0</v>
      </c>
      <c r="N8">
        <f t="array" ref="N8">IF(WEEKDAY(N$1,2)&gt;=6, 0, SUM( IF(WBS!$J$5:$J$2773=$A8, IF(N$1&gt;=WBS!$K$5:$K$2773, IF(N$1&lt;=WBS!$L$5:$L$2773, IF(WBS!$AU$5:$AU$2773 &gt;0, WBS!$I$5:$I$2773 / WBS!$AU$5:$AU$2773, 0), 0), 0), 0) ))</f>
        <v>0</v>
      </c>
      <c r="O8">
        <f t="array" ref="O8">IF(WEEKDAY(O$1,2)&gt;=6, 0, SUM( IF(WBS!$J$5:$J$2773=$A8, IF(O$1&gt;=WBS!$K$5:$K$2773, IF(O$1&lt;=WBS!$L$5:$L$2773, IF(WBS!$AU$5:$AU$2773 &gt;0, WBS!$I$5:$I$2773 / WBS!$AU$5:$AU$2773, 0), 0), 0), 0) ))</f>
        <v>0</v>
      </c>
      <c r="P8">
        <f t="array" ref="P8">IF(WEEKDAY(P$1,2)&gt;=6, 0, SUM( IF(WBS!$J$5:$J$2773=$A8, IF(P$1&gt;=WBS!$K$5:$K$2773, IF(P$1&lt;=WBS!$L$5:$L$2773, IF(WBS!$AU$5:$AU$2773 &gt;0, WBS!$I$5:$I$2773 / WBS!$AU$5:$AU$2773, 0), 0), 0), 0) ))</f>
        <v>0</v>
      </c>
      <c r="Q8">
        <f t="array" ref="Q8">IF(WEEKDAY(Q$1,2)&gt;=6, 0, SUM( IF(WBS!$J$5:$J$2773=$A8, IF(Q$1&gt;=WBS!$K$5:$K$2773, IF(Q$1&lt;=WBS!$L$5:$L$2773, IF(WBS!$AU$5:$AU$2773 &gt;0, WBS!$I$5:$I$2773 / WBS!$AU$5:$AU$2773, 0), 0), 0), 0) ))</f>
        <v>0</v>
      </c>
      <c r="R8">
        <f t="array" ref="R8">IF(WEEKDAY(R$1,2)&gt;=6, 0, SUM( IF(WBS!$J$5:$J$2773=$A8, IF(R$1&gt;=WBS!$K$5:$K$2773, IF(R$1&lt;=WBS!$L$5:$L$2773, IF(WBS!$AU$5:$AU$2773 &gt;0, WBS!$I$5:$I$2773 / WBS!$AU$5:$AU$2773, 0), 0), 0), 0) ))</f>
        <v>0</v>
      </c>
      <c r="S8">
        <f t="array" ref="S8">IF(WEEKDAY(S$1,2)&gt;=6, 0, SUM( IF(WBS!$J$5:$J$2773=$A8, IF(S$1&gt;=WBS!$K$5:$K$2773, IF(S$1&lt;=WBS!$L$5:$L$2773, IF(WBS!$AU$5:$AU$2773 &gt;0, WBS!$I$5:$I$2773 / WBS!$AU$5:$AU$2773, 0), 0), 0), 0) ))</f>
        <v>0</v>
      </c>
      <c r="T8">
        <f t="array" ref="T8">IF(WEEKDAY(T$1,2)&gt;=6, 0, SUM( IF(WBS!$J$5:$J$2773=$A8, IF(T$1&gt;=WBS!$K$5:$K$2773, IF(T$1&lt;=WBS!$L$5:$L$2773, IF(WBS!$AU$5:$AU$2773 &gt;0, WBS!$I$5:$I$2773 / WBS!$AU$5:$AU$2773, 0), 0), 0), 0) ))</f>
        <v>0</v>
      </c>
      <c r="U8">
        <f t="array" ref="U8">IF(WEEKDAY(U$1,2)&gt;=6, 0, SUM( IF(WBS!$J$5:$J$2773=$A8, IF(U$1&gt;=WBS!$K$5:$K$2773, IF(U$1&lt;=WBS!$L$5:$L$2773, IF(WBS!$AU$5:$AU$2773 &gt;0, WBS!$I$5:$I$2773 / WBS!$AU$5:$AU$2773, 0), 0), 0), 0) ))</f>
        <v>0</v>
      </c>
      <c r="V8">
        <f t="array" ref="V8">IF(WEEKDAY(V$1,2)&gt;=6, 0, SUM( IF(WBS!$J$5:$J$2773=$A8, IF(V$1&gt;=WBS!$K$5:$K$2773, IF(V$1&lt;=WBS!$L$5:$L$2773, IF(WBS!$AU$5:$AU$2773 &gt;0, WBS!$I$5:$I$2773 / WBS!$AU$5:$AU$2773, 0), 0), 0), 0) ))</f>
        <v>0</v>
      </c>
      <c r="W8">
        <f t="array" ref="W8">IF(WEEKDAY(W$1,2)&gt;=6, 0, SUM( IF(WBS!$J$5:$J$2773=$A8, IF(W$1&gt;=WBS!$K$5:$K$2773, IF(W$1&lt;=WBS!$L$5:$L$2773, IF(WBS!$AU$5:$AU$2773 &gt;0, WBS!$I$5:$I$2773 / WBS!$AU$5:$AU$2773, 0), 0), 0), 0) ))</f>
        <v>0</v>
      </c>
      <c r="X8">
        <f t="array" ref="X8">IF(WEEKDAY(X$1,2)&gt;=6, 0, SUM( IF(WBS!$J$5:$J$2773=$A8, IF(X$1&gt;=WBS!$K$5:$K$2773, IF(X$1&lt;=WBS!$L$5:$L$2773, IF(WBS!$AU$5:$AU$2773 &gt;0, WBS!$I$5:$I$2773 / WBS!$AU$5:$AU$2773, 0), 0), 0), 0) ))</f>
        <v>0</v>
      </c>
      <c r="Y8">
        <f t="array" ref="Y8">IF(WEEKDAY(Y$1,2)&gt;=6, 0, SUM( IF(WBS!$J$5:$J$2773=$A8, IF(Y$1&gt;=WBS!$K$5:$K$2773, IF(Y$1&lt;=WBS!$L$5:$L$2773, IF(WBS!$AU$5:$AU$2773 &gt;0, WBS!$I$5:$I$2773 / WBS!$AU$5:$AU$2773, 0), 0), 0), 0) ))</f>
        <v>0</v>
      </c>
      <c r="Z8">
        <f t="array" ref="Z8">IF(WEEKDAY(Z$1,2)&gt;=6, 0, SUM( IF(WBS!$J$5:$J$2773=$A8, IF(Z$1&gt;=WBS!$K$5:$K$2773, IF(Z$1&lt;=WBS!$L$5:$L$2773, IF(WBS!$AU$5:$AU$2773 &gt;0, WBS!$I$5:$I$2773 / WBS!$AU$5:$AU$2773, 0), 0), 0), 0) ))</f>
        <v>0</v>
      </c>
      <c r="AA8">
        <f t="array" ref="AA8">IF(WEEKDAY(AA$1,2)&gt;=6, 0, SUM( IF(WBS!$J$5:$J$2773=$A8, IF(AA$1&gt;=WBS!$K$5:$K$2773, IF(AA$1&lt;=WBS!$L$5:$L$2773, IF(WBS!$AU$5:$AU$2773 &gt;0, WBS!$I$5:$I$2773 / WBS!$AU$5:$AU$2773, 0), 0), 0), 0) ))</f>
        <v>0</v>
      </c>
      <c r="AB8">
        <f t="array" ref="AB8">IF(WEEKDAY(AB$1,2)&gt;=6, 0, SUM( IF(WBS!$J$5:$J$2773=$A8, IF(AB$1&gt;=WBS!$K$5:$K$2773, IF(AB$1&lt;=WBS!$L$5:$L$2773, IF(WBS!$AU$5:$AU$2773 &gt;0, WBS!$I$5:$I$2773 / WBS!$AU$5:$AU$2773, 0), 0), 0), 0) ))</f>
        <v>0</v>
      </c>
      <c r="AC8">
        <f t="array" ref="AC8">IF(WEEKDAY(AC$1,2)&gt;=6, 0, SUM( IF(WBS!$J$5:$J$2773=$A8, IF(AC$1&gt;=WBS!$K$5:$K$2773, IF(AC$1&lt;=WBS!$L$5:$L$2773, IF(WBS!$AU$5:$AU$2773 &gt;0, WBS!$I$5:$I$2773 / WBS!$AU$5:$AU$2773, 0), 0), 0), 0) ))</f>
        <v>0</v>
      </c>
      <c r="AD8">
        <f t="array" ref="AD8">IF(WEEKDAY(AD$1,2)&gt;=6, 0, SUM( IF(WBS!$J$5:$J$2773=$A8, IF(AD$1&gt;=WBS!$K$5:$K$2773, IF(AD$1&lt;=WBS!$L$5:$L$2773, IF(WBS!$AU$5:$AU$2773 &gt;0, WBS!$I$5:$I$2773 / WBS!$AU$5:$AU$2773, 0), 0), 0), 0) ))</f>
        <v>0</v>
      </c>
      <c r="AE8">
        <f t="array" ref="AE8">IF(WEEKDAY(AE$1,2)&gt;=6, 0, SUM( IF(WBS!$J$5:$J$2773=$A8, IF(AE$1&gt;=WBS!$K$5:$K$2773, IF(AE$1&lt;=WBS!$L$5:$L$2773, IF(WBS!$AU$5:$AU$2773 &gt;0, WBS!$I$5:$I$2773 / WBS!$AU$5:$AU$2773, 0), 0), 0), 0) ))</f>
        <v>0</v>
      </c>
      <c r="AF8">
        <f t="array" ref="AF8">IF(WEEKDAY(AF$1,2)&gt;=6, 0, SUM( IF(WBS!$J$5:$J$2773=$A8, IF(AF$1&gt;=WBS!$K$5:$K$2773, IF(AF$1&lt;=WBS!$L$5:$L$2773, IF(WBS!$AU$5:$AU$2773 &gt;0, WBS!$I$5:$I$2773 / WBS!$AU$5:$AU$2773, 0), 0), 0), 0) ))</f>
        <v>0</v>
      </c>
      <c r="AG8">
        <f t="array" ref="AG8">IF(WEEKDAY(AG$1,2)&gt;=6, 0, SUM( IF(WBS!$J$5:$J$2773=$A8, IF(AG$1&gt;=WBS!$K$5:$K$2773, IF(AG$1&lt;=WBS!$L$5:$L$2773, IF(WBS!$AU$5:$AU$2773 &gt;0, WBS!$I$5:$I$2773 / WBS!$AU$5:$AU$2773, 0), 0), 0), 0) ))</f>
        <v>0</v>
      </c>
      <c r="AH8">
        <f t="array" ref="AH8">IF(WEEKDAY(AH$1,2)&gt;=6, 0, SUM( IF(WBS!$J$5:$J$2773=$A8, IF(AH$1&gt;=WBS!$K$5:$K$2773, IF(AH$1&lt;=WBS!$L$5:$L$2773, IF(WBS!$AU$5:$AU$2773 &gt;0, WBS!$I$5:$I$2773 / WBS!$AU$5:$AU$2773, 0), 0), 0), 0) ))</f>
        <v>0</v>
      </c>
      <c r="AI8">
        <f t="array" ref="AI8">IF(WEEKDAY(AI$1,2)&gt;=6, 0, SUM( IF(WBS!$J$5:$J$2773=$A8, IF(AI$1&gt;=WBS!$K$5:$K$2773, IF(AI$1&lt;=WBS!$L$5:$L$2773, IF(WBS!$AU$5:$AU$2773 &gt;0, WBS!$I$5:$I$2773 / WBS!$AU$5:$AU$2773, 0), 0), 0), 0) ))</f>
        <v>0</v>
      </c>
      <c r="AJ8">
        <f t="array" ref="AJ8">IF(WEEKDAY(AJ$1,2)&gt;=6, 0, SUM( IF(WBS!$J$5:$J$2773=$A8, IF(AJ$1&gt;=WBS!$K$5:$K$2773, IF(AJ$1&lt;=WBS!$L$5:$L$2773, IF(WBS!$AU$5:$AU$2773 &gt;0, WBS!$I$5:$I$2773 / WBS!$AU$5:$AU$2773, 0), 0), 0), 0) ))</f>
        <v>0</v>
      </c>
      <c r="AK8">
        <f t="array" ref="AK8">IF(WEEKDAY(AK$1,2)&gt;=6, 0, SUM( IF(WBS!$J$5:$J$2773=$A8, IF(AK$1&gt;=WBS!$K$5:$K$2773, IF(AK$1&lt;=WBS!$L$5:$L$2773, IF(WBS!$AU$5:$AU$2773 &gt;0, WBS!$I$5:$I$2773 / WBS!$AU$5:$AU$2773, 0), 0), 0), 0) ))</f>
        <v>0</v>
      </c>
      <c r="AL8">
        <f t="array" ref="AL8">IF(WEEKDAY(AL$1,2)&gt;=6, 0, SUM( IF(WBS!$J$5:$J$2773=$A8, IF(AL$1&gt;=WBS!$K$5:$K$2773, IF(AL$1&lt;=WBS!$L$5:$L$2773, IF(WBS!$AU$5:$AU$2773 &gt;0, WBS!$I$5:$I$2773 / WBS!$AU$5:$AU$2773, 0), 0), 0), 0) ))</f>
        <v>0</v>
      </c>
      <c r="AM8">
        <f t="array" ref="AM8">IF(WEEKDAY(AM$1,2)&gt;=6, 0, SUM( IF(WBS!$J$5:$J$2773=$A8, IF(AM$1&gt;=WBS!$K$5:$K$2773, IF(AM$1&lt;=WBS!$L$5:$L$2773, IF(WBS!$AU$5:$AU$2773 &gt;0, WBS!$I$5:$I$2773 / WBS!$AU$5:$AU$2773, 0), 0), 0), 0) ))</f>
        <v>0</v>
      </c>
      <c r="AN8">
        <f t="array" ref="AN8">IF(WEEKDAY(AN$1,2)&gt;=6, 0, SUM( IF(WBS!$J$5:$J$2773=$A8, IF(AN$1&gt;=WBS!$K$5:$K$2773, IF(AN$1&lt;=WBS!$L$5:$L$2773, IF(WBS!$AU$5:$AU$2773 &gt;0, WBS!$I$5:$I$2773 / WBS!$AU$5:$AU$2773, 0), 0), 0), 0) ))</f>
        <v>0</v>
      </c>
      <c r="AO8">
        <f t="array" ref="AO8">IF(WEEKDAY(AO$1,2)&gt;=6, 0, SUM( IF(WBS!$J$5:$J$2773=$A8, IF(AO$1&gt;=WBS!$K$5:$K$2773, IF(AO$1&lt;=WBS!$L$5:$L$2773, IF(WBS!$AU$5:$AU$2773 &gt;0, WBS!$I$5:$I$2773 / WBS!$AU$5:$AU$2773, 0), 0), 0), 0) ))</f>
        <v>0</v>
      </c>
      <c r="AP8">
        <f t="array" ref="AP8">IF(WEEKDAY(AP$1,2)&gt;=6, 0, SUM( IF(WBS!$J$5:$J$2773=$A8, IF(AP$1&gt;=WBS!$K$5:$K$2773, IF(AP$1&lt;=WBS!$L$5:$L$2773, IF(WBS!$AU$5:$AU$2773 &gt;0, WBS!$I$5:$I$2773 / WBS!$AU$5:$AU$2773, 0), 0), 0), 0) ))</f>
        <v>0</v>
      </c>
      <c r="AQ8">
        <f t="array" ref="AQ8">IF(WEEKDAY(AQ$1,2)&gt;=6, 0, SUM( IF(WBS!$J$5:$J$2773=$A8, IF(AQ$1&gt;=WBS!$K$5:$K$2773, IF(AQ$1&lt;=WBS!$L$5:$L$2773, IF(WBS!$AU$5:$AU$2773 &gt;0, WBS!$I$5:$I$2773 / WBS!$AU$5:$AU$2773, 0), 0), 0), 0) ))</f>
        <v>0</v>
      </c>
      <c r="AR8">
        <f t="array" ref="AR8">IF(WEEKDAY(AR$1,2)&gt;=6, 0, SUM( IF(WBS!$J$5:$J$2773=$A8, IF(AR$1&gt;=WBS!$K$5:$K$2773, IF(AR$1&lt;=WBS!$L$5:$L$2773, IF(WBS!$AU$5:$AU$2773 &gt;0, WBS!$I$5:$I$2773 / WBS!$AU$5:$AU$2773, 0), 0), 0), 0) ))</f>
        <v>0</v>
      </c>
      <c r="AS8">
        <f t="array" ref="AS8">IF(WEEKDAY(AS$1,2)&gt;=6, 0, SUM( IF(WBS!$J$5:$J$2773=$A8, IF(AS$1&gt;=WBS!$K$5:$K$2773, IF(AS$1&lt;=WBS!$L$5:$L$2773, IF(WBS!$AU$5:$AU$2773 &gt;0, WBS!$I$5:$I$2773 / WBS!$AU$5:$AU$2773, 0), 0), 0), 0) ))</f>
        <v>0</v>
      </c>
      <c r="AT8">
        <f t="array" ref="AT8">IF(WEEKDAY(AT$1,2)&gt;=6, 0, SUM( IF(WBS!$J$5:$J$2773=$A8, IF(AT$1&gt;=WBS!$K$5:$K$2773, IF(AT$1&lt;=WBS!$L$5:$L$2773, IF(WBS!$AU$5:$AU$2773 &gt;0, WBS!$I$5:$I$2773 / WBS!$AU$5:$AU$2773, 0), 0), 0), 0) ))</f>
        <v>0</v>
      </c>
      <c r="AU8">
        <f t="array" ref="AU8">IF(WEEKDAY(AU$1,2)&gt;=6, 0, SUM( IF(WBS!$J$5:$J$2773=$A8, IF(AU$1&gt;=WBS!$K$5:$K$2773, IF(AU$1&lt;=WBS!$L$5:$L$2773, IF(WBS!$AU$5:$AU$2773 &gt;0, WBS!$I$5:$I$2773 / WBS!$AU$5:$AU$2773, 0), 0), 0), 0) ))</f>
        <v>0</v>
      </c>
      <c r="AV8">
        <f t="array" ref="AV8">IF(WEEKDAY(AV$1,2)&gt;=6, 0, SUM( IF(WBS!$J$5:$J$2773=$A8, IF(AV$1&gt;=WBS!$K$5:$K$2773, IF(AV$1&lt;=WBS!$L$5:$L$2773, IF(WBS!$AU$5:$AU$2773 &gt;0, WBS!$I$5:$I$2773 / WBS!$AU$5:$AU$2773, 0), 0), 0), 0) ))</f>
        <v>0</v>
      </c>
      <c r="AW8">
        <f t="array" ref="AW8">IF(WEEKDAY(AW$1,2)&gt;=6, 0, SUM( IF(WBS!$J$5:$J$2773=$A8, IF(AW$1&gt;=WBS!$K$5:$K$2773, IF(AW$1&lt;=WBS!$L$5:$L$2773, IF(WBS!$AU$5:$AU$2773 &gt;0, WBS!$I$5:$I$2773 / WBS!$AU$5:$AU$2773, 0), 0), 0), 0) ))</f>
        <v>0</v>
      </c>
      <c r="AX8">
        <f t="array" ref="AX8">IF(WEEKDAY(AX$1,2)&gt;=6, 0, SUM( IF(WBS!$J$5:$J$2773=$A8, IF(AX$1&gt;=WBS!$K$5:$K$2773, IF(AX$1&lt;=WBS!$L$5:$L$2773, IF(WBS!$AU$5:$AU$2773 &gt;0, WBS!$I$5:$I$2773 / WBS!$AU$5:$AU$2773, 0), 0), 0), 0) ))</f>
        <v>0</v>
      </c>
      <c r="AY8">
        <f t="array" ref="AY8">IF(WEEKDAY(AY$1,2)&gt;=6, 0, SUM( IF(WBS!$J$5:$J$2773=$A8, IF(AY$1&gt;=WBS!$K$5:$K$2773, IF(AY$1&lt;=WBS!$L$5:$L$2773, IF(WBS!$AU$5:$AU$2773 &gt;0, WBS!$I$5:$I$2773 / WBS!$AU$5:$AU$2773, 0), 0), 0), 0) ))</f>
        <v>0</v>
      </c>
      <c r="AZ8">
        <f t="array" ref="AZ8">IF(WEEKDAY(AZ$1,2)&gt;=6, 0, SUM( IF(WBS!$J$5:$J$2773=$A8, IF(AZ$1&gt;=WBS!$K$5:$K$2773, IF(AZ$1&lt;=WBS!$L$5:$L$2773, IF(WBS!$AU$5:$AU$2773 &gt;0, WBS!$I$5:$I$2773 / WBS!$AU$5:$AU$2773, 0), 0), 0), 0) ))</f>
        <v>0</v>
      </c>
      <c r="BA8">
        <f t="array" ref="BA8">IF(WEEKDAY(BA$1,2)&gt;=6, 0, SUM( IF(WBS!$J$5:$J$2773=$A8, IF(BA$1&gt;=WBS!$K$5:$K$2773, IF(BA$1&lt;=WBS!$L$5:$L$2773, IF(WBS!$AU$5:$AU$2773 &gt;0, WBS!$I$5:$I$2773 / WBS!$AU$5:$AU$2773, 0), 0), 0), 0) ))</f>
        <v>0</v>
      </c>
      <c r="BB8">
        <f t="array" ref="BB8">IF(WEEKDAY(BB$1,2)&gt;=6, 0, SUM( IF(WBS!$J$5:$J$2773=$A8, IF(BB$1&gt;=WBS!$K$5:$K$2773, IF(BB$1&lt;=WBS!$L$5:$L$2773, IF(WBS!$AU$5:$AU$2773 &gt;0, WBS!$I$5:$I$2773 / WBS!$AU$5:$AU$2773, 0), 0), 0), 0) ))</f>
        <v>0</v>
      </c>
      <c r="BC8">
        <f t="array" ref="BC8">IF(WEEKDAY(BC$1,2)&gt;=6, 0, SUM( IF(WBS!$J$5:$J$2773=$A8, IF(BC$1&gt;=WBS!$K$5:$K$2773, IF(BC$1&lt;=WBS!$L$5:$L$2773, IF(WBS!$AU$5:$AU$2773 &gt;0, WBS!$I$5:$I$2773 / WBS!$AU$5:$AU$2773, 0), 0), 0), 0) ))</f>
        <v>0</v>
      </c>
      <c r="BD8">
        <f t="array" ref="BD8">IF(WEEKDAY(BD$1,2)&gt;=6, 0, SUM( IF(WBS!$J$5:$J$2773=$A8, IF(BD$1&gt;=WBS!$K$5:$K$2773, IF(BD$1&lt;=WBS!$L$5:$L$2773, IF(WBS!$AU$5:$AU$2773 &gt;0, WBS!$I$5:$I$2773 / WBS!$AU$5:$AU$2773, 0), 0), 0), 0) ))</f>
        <v>0</v>
      </c>
      <c r="BE8">
        <f t="array" ref="BE8">IF(WEEKDAY(BE$1,2)&gt;=6, 0, SUM( IF(WBS!$J$5:$J$2773=$A8, IF(BE$1&gt;=WBS!$K$5:$K$2773, IF(BE$1&lt;=WBS!$L$5:$L$2773, IF(WBS!$AU$5:$AU$2773 &gt;0, WBS!$I$5:$I$2773 / WBS!$AU$5:$AU$2773, 0), 0), 0), 0) ))</f>
        <v>0</v>
      </c>
      <c r="BF8">
        <f t="array" ref="BF8">IF(WEEKDAY(BF$1,2)&gt;=6, 0, SUM( IF(WBS!$J$5:$J$2773=$A8, IF(BF$1&gt;=WBS!$K$5:$K$2773, IF(BF$1&lt;=WBS!$L$5:$L$2773, IF(WBS!$AU$5:$AU$2773 &gt;0, WBS!$I$5:$I$2773 / WBS!$AU$5:$AU$2773, 0), 0), 0), 0) ))</f>
        <v>0</v>
      </c>
      <c r="BG8">
        <f t="array" ref="BG8">IF(WEEKDAY(BG$1,2)&gt;=6, 0, SUM( IF(WBS!$J$5:$J$2773=$A8, IF(BG$1&gt;=WBS!$K$5:$K$2773, IF(BG$1&lt;=WBS!$L$5:$L$2773, IF(WBS!$AU$5:$AU$2773 &gt;0, WBS!$I$5:$I$2773 / WBS!$AU$5:$AU$2773, 0), 0), 0), 0) ))</f>
        <v>0</v>
      </c>
      <c r="BH8">
        <f t="array" ref="BH8">IF(WEEKDAY(BH$1,2)&gt;=6, 0, SUM( IF(WBS!$J$5:$J$2773=$A8, IF(BH$1&gt;=WBS!$K$5:$K$2773, IF(BH$1&lt;=WBS!$L$5:$L$2773, IF(WBS!$AU$5:$AU$2773 &gt;0, WBS!$I$5:$I$2773 / WBS!$AU$5:$AU$2773, 0), 0), 0), 0) ))</f>
        <v>0</v>
      </c>
      <c r="BI8" s="42">
        <f t="array" ref="BI8">IF(WEEKDAY(BI$1,2)&gt;=6, 0, SUM( IF(WBS!$J$5:$J$2773=$A8, IF(BI$1&gt;=WBS!$K$5:$K$2773, IF(BI$1&lt;=WBS!$L$5:$L$2773, IF(WBS!$AU$5:$AU$2773 &gt;0, WBS!$I$5:$I$2773 / WBS!$AU$5:$AU$2773, 0), 0), 0), 0) ))</f>
        <v>0</v>
      </c>
      <c r="BJ8" s="42">
        <f t="array" ref="BJ8">IF(WEEKDAY(BJ$1,2)&gt;=6, 0, SUM( IF(WBS!$J$5:$J$2773=$A8, IF(BJ$1&gt;=WBS!$K$5:$K$2773, IF(BJ$1&lt;=WBS!$L$5:$L$2773, IF(WBS!$AU$5:$AU$2773 &gt;0, WBS!$I$5:$I$2773 / WBS!$AU$5:$AU$2773, 0), 0), 0), 0) ))</f>
        <v>0</v>
      </c>
      <c r="BK8">
        <f t="array" ref="BK8">IF(WEEKDAY(BK$1,2)&gt;=6, 0, SUM( IF(WBS!$J$5:$J$2773=$A8, IF(BK$1&gt;=WBS!$K$5:$K$2773, IF(BK$1&lt;=WBS!$L$5:$L$2773, IF(WBS!$AU$5:$AU$2773 &gt;0, WBS!$I$5:$I$2773 / WBS!$AU$5:$AU$2773, 0), 0), 0), 0) ))</f>
        <v>0</v>
      </c>
      <c r="BL8">
        <f t="array" ref="BL8">IF(WEEKDAY(BL$1,2)&gt;=6, 0, SUM( IF(WBS!$J$5:$J$2773=$A8, IF(BL$1&gt;=WBS!$K$5:$K$2773, IF(BL$1&lt;=WBS!$L$5:$L$2773, IF(WBS!$AU$5:$AU$2773 &gt;0, WBS!$I$5:$I$2773 / WBS!$AU$5:$AU$2773, 0), 0), 0), 0) ))</f>
        <v>0</v>
      </c>
      <c r="BM8">
        <f t="array" ref="BM8">IF(WEEKDAY(BM$1,2)&gt;=6, 0, SUM( IF(WBS!$J$5:$J$2773=$A8, IF(BM$1&gt;=WBS!$K$5:$K$2773, IF(BM$1&lt;=WBS!$L$5:$L$2773, IF(WBS!$AU$5:$AU$2773 &gt;0, WBS!$I$5:$I$2773 / WBS!$AU$5:$AU$2773, 0), 0), 0), 0) ))</f>
        <v>0</v>
      </c>
      <c r="BN8">
        <f t="array" ref="BN8">IF(WEEKDAY(BN$1,2)&gt;=6, 0, SUM( IF(WBS!$J$5:$J$2773=$A8, IF(BN$1&gt;=WBS!$K$5:$K$2773, IF(BN$1&lt;=WBS!$L$5:$L$2773, IF(WBS!$AU$5:$AU$2773 &gt;0, WBS!$I$5:$I$2773 / WBS!$AU$5:$AU$2773, 0), 0), 0), 0) ))</f>
        <v>0</v>
      </c>
      <c r="BO8">
        <f t="array" ref="BO8">IF(WEEKDAY(BO$1,2)&gt;=6, 0, SUM( IF(WBS!$J$5:$J$2773=$A8, IF(BO$1&gt;=WBS!$K$5:$K$2773, IF(BO$1&lt;=WBS!$L$5:$L$2773, IF(WBS!$AU$5:$AU$2773 &gt;0, WBS!$I$5:$I$2773 / WBS!$AU$5:$AU$2773, 0), 0), 0), 0) ))</f>
        <v>0</v>
      </c>
      <c r="BP8" s="42">
        <f t="array" ref="BP8">IF(WEEKDAY(BP$1,2)&gt;=6, 0, SUM( IF(WBS!$J$5:$J$2773=$A8, IF(BP$1&gt;=WBS!$K$5:$K$2773, IF(BP$1&lt;=WBS!$L$5:$L$2773, IF(WBS!$AU$5:$AU$2773 &gt;0, WBS!$I$5:$I$2773 / WBS!$AU$5:$AU$2773, 0), 0), 0), 0) ))</f>
        <v>0</v>
      </c>
      <c r="BQ8" s="42">
        <f t="array" ref="BQ8">IF(WEEKDAY(BQ$1,2)&gt;=6, 0, SUM( IF(WBS!$J$5:$J$2773=$A8, IF(BQ$1&gt;=WBS!$K$5:$K$2773, IF(BQ$1&lt;=WBS!$L$5:$L$2773, IF(WBS!$AU$5:$AU$2773 &gt;0, WBS!$I$5:$I$2773 / WBS!$AU$5:$AU$2773, 0), 0), 0), 0) ))</f>
        <v>0</v>
      </c>
      <c r="BR8">
        <f t="array" ref="BR8">IF(WEEKDAY(BR$1,2)&gt;=6, 0, SUM( IF(WBS!$J$5:$J$2773=$A8, IF(BR$1&gt;=WBS!$K$5:$K$2773, IF(BR$1&lt;=WBS!$L$5:$L$2773, IF(WBS!$AU$5:$AU$2773 &gt;0, WBS!$I$5:$I$2773 / WBS!$AU$5:$AU$2773, 0), 0), 0), 0) ))</f>
        <v>0</v>
      </c>
      <c r="BS8">
        <f t="array" ref="BS8">IF(WEEKDAY(BS$1,2)&gt;=6, 0, SUM( IF(WBS!$J$5:$J$2773=$A8, IF(BS$1&gt;=WBS!$K$5:$K$2773, IF(BS$1&lt;=WBS!$L$5:$L$2773, IF(WBS!$AU$5:$AU$2773 &gt;0, WBS!$I$5:$I$2773 / WBS!$AU$5:$AU$2773, 0), 0), 0), 0) ))</f>
        <v>0</v>
      </c>
      <c r="BT8">
        <f t="array" ref="BT8">IF(WEEKDAY(BT$1,2)&gt;=6, 0, SUM( IF(WBS!$J$5:$J$2773=$A8, IF(BT$1&gt;=WBS!$K$5:$K$2773, IF(BT$1&lt;=WBS!$L$5:$L$2773, IF(WBS!$AU$5:$AU$2773 &gt;0, WBS!$I$5:$I$2773 / WBS!$AU$5:$AU$2773, 0), 0), 0), 0) ))</f>
        <v>0</v>
      </c>
      <c r="BU8">
        <f t="array" ref="BU8">IF(WEEKDAY(BU$1,2)&gt;=6, 0, SUM( IF(WBS!$J$5:$J$2773=$A8, IF(BU$1&gt;=WBS!$K$5:$K$2773, IF(BU$1&lt;=WBS!$L$5:$L$2773, IF(WBS!$AU$5:$AU$2773 &gt;0, WBS!$I$5:$I$2773 / WBS!$AU$5:$AU$2773, 0), 0), 0), 0) ))</f>
        <v>0</v>
      </c>
      <c r="BV8">
        <f t="array" ref="BV8">IF(WEEKDAY(BV$1,2)&gt;=6, 0, SUM( IF(WBS!$J$5:$J$2773=$A8, IF(BV$1&gt;=WBS!$K$5:$K$2773, IF(BV$1&lt;=WBS!$L$5:$L$2773, IF(WBS!$AU$5:$AU$2773 &gt;0, WBS!$I$5:$I$2773 / WBS!$AU$5:$AU$2773, 0), 0), 0), 0) ))</f>
        <v>0</v>
      </c>
      <c r="BW8" s="42">
        <f t="array" ref="BW8">IF(WEEKDAY(BW$1,2)&gt;=6, 0, SUM( IF(WBS!$J$5:$J$2773=$A8, IF(BW$1&gt;=WBS!$K$5:$K$2773, IF(BW$1&lt;=WBS!$L$5:$L$2773, IF(WBS!$AU$5:$AU$2773 &gt;0, WBS!$I$5:$I$2773 / WBS!$AU$5:$AU$2773, 0), 0), 0), 0) ))</f>
        <v>0</v>
      </c>
      <c r="BX8" s="42">
        <f t="array" ref="BX8">IF(WEEKDAY(BX$1,2)&gt;=6, 0, SUM( IF(WBS!$J$5:$J$2773=$A8, IF(BX$1&gt;=WBS!$K$5:$K$2773, IF(BX$1&lt;=WBS!$L$5:$L$2773, IF(WBS!$AU$5:$AU$2773 &gt;0, WBS!$I$5:$I$2773 / WBS!$AU$5:$AU$2773, 0), 0), 0), 0) ))</f>
        <v>0</v>
      </c>
      <c r="BY8">
        <f t="array" ref="BY8">IF(WEEKDAY(BY$1,2)&gt;=6, 0, SUM( IF(WBS!$J$5:$J$2773=$A8, IF(BY$1&gt;=WBS!$K$5:$K$2773, IF(BY$1&lt;=WBS!$L$5:$L$2773, IF(WBS!$AU$5:$AU$2773 &gt;0, WBS!$I$5:$I$2773 / WBS!$AU$5:$AU$2773, 0), 0), 0), 0) ))</f>
        <v>0</v>
      </c>
      <c r="BZ8">
        <f t="array" ref="BZ8">IF(WEEKDAY(BZ$1,2)&gt;=6, 0, SUM( IF(WBS!$J$5:$J$2773=$A8, IF(BZ$1&gt;=WBS!$K$5:$K$2773, IF(BZ$1&lt;=WBS!$L$5:$L$2773, IF(WBS!$AU$5:$AU$2773 &gt;0, WBS!$I$5:$I$2773 / WBS!$AU$5:$AU$2773, 0), 0), 0), 0) ))</f>
        <v>0</v>
      </c>
      <c r="CA8">
        <f t="array" ref="CA8">IF(WEEKDAY(CA$1,2)&gt;=6, 0, SUM( IF(WBS!$J$5:$J$2773=$A8, IF(CA$1&gt;=WBS!$K$5:$K$2773, IF(CA$1&lt;=WBS!$L$5:$L$2773, IF(WBS!$AU$5:$AU$2773 &gt;0, WBS!$I$5:$I$2773 / WBS!$AU$5:$AU$2773, 0), 0), 0), 0) ))</f>
        <v>0</v>
      </c>
      <c r="CB8">
        <f t="array" ref="CB8">IF(WEEKDAY(CB$1,2)&gt;=6, 0, SUM( IF(WBS!$J$5:$J$2773=$A8, IF(CB$1&gt;=WBS!$K$5:$K$2773, IF(CB$1&lt;=WBS!$L$5:$L$2773, IF(WBS!$AU$5:$AU$2773 &gt;0, WBS!$I$5:$I$2773 / WBS!$AU$5:$AU$2773, 0), 0), 0), 0) ))</f>
        <v>0</v>
      </c>
      <c r="CC8">
        <f t="array" ref="CC8">IF(WEEKDAY(CC$1,2)&gt;=6, 0, SUM( IF(WBS!$J$5:$J$2773=$A8, IF(CC$1&gt;=WBS!$K$5:$K$2773, IF(CC$1&lt;=WBS!$L$5:$L$2773, IF(WBS!$AU$5:$AU$2773 &gt;0, WBS!$I$5:$I$2773 / WBS!$AU$5:$AU$2773, 0), 0), 0), 0) ))</f>
        <v>0</v>
      </c>
      <c r="CD8" s="42">
        <f t="array" ref="CD8">IF(WEEKDAY(CD$1,2)&gt;=6, 0, SUM( IF(WBS!$J$5:$J$2773=$A8, IF(CD$1&gt;=WBS!$K$5:$K$2773, IF(CD$1&lt;=WBS!$L$5:$L$2773, IF(WBS!$AU$5:$AU$2773 &gt;0, WBS!$I$5:$I$2773 / WBS!$AU$5:$AU$2773, 0), 0), 0), 0) ))</f>
        <v>0</v>
      </c>
      <c r="CE8" s="42">
        <f t="array" ref="CE8">IF(WEEKDAY(CE$1,2)&gt;=6, 0, SUM( IF(WBS!$J$5:$J$2773=$A8, IF(CE$1&gt;=WBS!$K$5:$K$2773, IF(CE$1&lt;=WBS!$L$5:$L$2773, IF(WBS!$AU$5:$AU$2773 &gt;0, WBS!$I$5:$I$2773 / WBS!$AU$5:$AU$2773, 0), 0), 0), 0) ))</f>
        <v>0</v>
      </c>
      <c r="CF8">
        <f t="array" ref="CF8">IF(WEEKDAY(CF$1,2)&gt;=6, 0, SUM( IF(WBS!$J$5:$J$2773=$A8, IF(CF$1&gt;=WBS!$K$5:$K$2773, IF(CF$1&lt;=WBS!$L$5:$L$2773, IF(WBS!$AU$5:$AU$2773 &gt;0, WBS!$I$5:$I$2773 / WBS!$AU$5:$AU$2773, 0), 0), 0), 0) ))</f>
        <v>0</v>
      </c>
      <c r="CG8">
        <f t="array" ref="CG8">IF(WEEKDAY(CG$1,2)&gt;=6, 0, SUM( IF(WBS!$J$5:$J$2773=$A8, IF(CG$1&gt;=WBS!$K$5:$K$2773, IF(CG$1&lt;=WBS!$L$5:$L$2773, IF(WBS!$AU$5:$AU$2773 &gt;0, WBS!$I$5:$I$2773 / WBS!$AU$5:$AU$2773, 0), 0), 0), 0) ))</f>
        <v>0</v>
      </c>
      <c r="CH8">
        <f t="array" ref="CH8">IF(WEEKDAY(CH$1,2)&gt;=6, 0, SUM( IF(WBS!$J$5:$J$2773=$A8, IF(CH$1&gt;=WBS!$K$5:$K$2773, IF(CH$1&lt;=WBS!$L$5:$L$2773, IF(WBS!$AU$5:$AU$2773 &gt;0, WBS!$I$5:$I$2773 / WBS!$AU$5:$AU$2773, 0), 0), 0), 0) ))</f>
        <v>0</v>
      </c>
      <c r="CI8" s="274"/>
      <c r="CK8" s="42"/>
      <c r="CL8" s="42"/>
      <c r="CR8" s="42"/>
      <c r="CS8" s="42"/>
      <c r="CY8" s="42"/>
      <c r="CZ8" s="42"/>
      <c r="DF8" s="42"/>
      <c r="DG8" s="42"/>
      <c r="DM8" s="42"/>
      <c r="DN8" s="42"/>
      <c r="DT8" s="42"/>
      <c r="DU8" s="42"/>
      <c r="EA8" s="276"/>
      <c r="EB8" s="276"/>
      <c r="EC8" s="274"/>
      <c r="ED8" s="274"/>
      <c r="EE8" s="274"/>
      <c r="EF8" s="274"/>
      <c r="EG8" s="274"/>
      <c r="EH8" s="274"/>
      <c r="EI8" s="274"/>
      <c r="EJ8" s="274"/>
      <c r="EO8" s="42"/>
      <c r="EP8" s="42"/>
      <c r="EV8" s="42"/>
      <c r="EW8" s="42"/>
      <c r="FC8" s="42"/>
      <c r="FD8" s="42"/>
      <c r="FJ8" s="42"/>
      <c r="FK8" s="42"/>
      <c r="FQ8" s="42"/>
      <c r="FR8" s="42"/>
      <c r="FX8" s="42"/>
      <c r="FY8" s="42"/>
      <c r="FZ8" s="274"/>
      <c r="GE8" s="42"/>
      <c r="GF8" s="42"/>
      <c r="GL8" s="42"/>
      <c r="GM8" s="42"/>
      <c r="GS8" s="42"/>
      <c r="GT8" s="42"/>
      <c r="GY8" s="274"/>
      <c r="GZ8" s="42"/>
      <c r="HA8" s="42"/>
      <c r="HB8" s="274"/>
      <c r="HC8" s="274"/>
      <c r="HG8" s="42"/>
      <c r="HH8" s="42"/>
      <c r="HN8" s="42"/>
      <c r="HO8" s="42"/>
      <c r="HU8" s="42"/>
      <c r="HV8" s="42"/>
      <c r="IB8" s="42"/>
      <c r="IC8" s="42"/>
      <c r="II8" s="42"/>
      <c r="IJ8" s="42"/>
      <c r="IP8" s="42"/>
      <c r="IQ8" s="42"/>
      <c r="IV8" s="274"/>
      <c r="IW8" s="42"/>
      <c r="IX8" s="42"/>
      <c r="JD8" s="42"/>
      <c r="JE8" s="42"/>
      <c r="JK8" s="42"/>
      <c r="JL8" s="42"/>
      <c r="JR8" s="42"/>
      <c r="JS8" s="42"/>
      <c r="JY8" s="42"/>
      <c r="JZ8" s="42"/>
      <c r="KF8" s="42"/>
      <c r="KG8" s="42"/>
      <c r="KM8" s="42"/>
      <c r="KN8" s="42"/>
      <c r="KT8" s="42"/>
      <c r="KU8" s="42"/>
      <c r="LA8" s="42"/>
      <c r="LB8" s="42"/>
      <c r="LH8" s="42"/>
      <c r="LI8" s="42"/>
      <c r="LO8" s="42"/>
      <c r="LP8" s="42"/>
      <c r="LV8" s="42"/>
      <c r="LW8" s="42"/>
      <c r="MC8" s="42"/>
      <c r="MD8" s="42"/>
      <c r="MJ8" s="42"/>
      <c r="MK8" s="42"/>
      <c r="MP8" s="274"/>
      <c r="MQ8" s="42"/>
      <c r="MR8" s="276"/>
      <c r="MV8" s="274"/>
      <c r="MW8" s="274"/>
      <c r="MX8" s="42"/>
      <c r="MY8" s="42"/>
      <c r="MZ8" s="274"/>
      <c r="NA8" s="274"/>
      <c r="NB8" s="274"/>
      <c r="NE8" s="276"/>
      <c r="NF8" s="42"/>
      <c r="NL8" s="42"/>
      <c r="NM8" s="42"/>
      <c r="NS8" s="42"/>
      <c r="NT8" s="42"/>
      <c r="NZ8" s="42"/>
      <c r="OA8" s="42"/>
      <c r="OG8" s="42"/>
      <c r="OH8" s="42"/>
      <c r="ON8" s="42"/>
      <c r="OO8" s="42"/>
      <c r="OU8" s="42"/>
      <c r="OV8" s="42"/>
      <c r="PB8" s="42"/>
      <c r="PC8" s="42"/>
      <c r="PI8" s="42"/>
      <c r="PJ8" s="42"/>
      <c r="PP8" s="42"/>
      <c r="PQ8" s="42"/>
      <c r="PW8" s="42"/>
      <c r="PX8" s="42"/>
      <c r="QD8" s="42"/>
      <c r="QE8" s="42"/>
    </row>
    <row r="9" spans="1:451">
      <c r="A9" t="s">
        <v>79</v>
      </c>
      <c r="B9" t="s">
        <v>85</v>
      </c>
      <c r="C9">
        <f t="array" ref="C9">IF(WEEKDAY(C$1,2)&gt;=6, 0, SUM( IF(WBS!$J$5:$J$2773=$A9, IF(C$1&gt;=WBS!$K$5:$K$2773, IF(C$1&lt;=WBS!$L$5:$L$2773, IF(WBS!$AU$5:$AU$2773 &gt;0, WBS!$I$5:$I$2773 / WBS!$AU$5:$AU$2773, 0), 0), 0), 0) ))</f>
        <v>0</v>
      </c>
      <c r="D9">
        <f t="array" ref="D9">IF(WEEKDAY(D$1,2)&gt;=6, 0, SUM( IF(WBS!$J$5:$J$2773=$A9, IF(D$1&gt;=WBS!$K$5:$K$2773, IF(D$1&lt;=WBS!$L$5:$L$2773, IF(WBS!$AU$5:$AU$2773 &gt;0, WBS!$I$5:$I$2773 / WBS!$AU$5:$AU$2773, 0), 0), 0), 0) ))</f>
        <v>0</v>
      </c>
      <c r="E9">
        <f t="array" ref="E9">IF(WEEKDAY(E$1,2)&gt;=6, 0, SUM( IF(WBS!$J$5:$J$2773=$A9, IF(E$1&gt;=WBS!$K$5:$K$2773, IF(E$1&lt;=WBS!$L$5:$L$2773, IF(WBS!$AU$5:$AU$2773 &gt;0, WBS!$I$5:$I$2773 / WBS!$AU$5:$AU$2773, 0), 0), 0), 0) ))</f>
        <v>0</v>
      </c>
      <c r="F9">
        <f t="array" ref="F9">IF(WEEKDAY(F$1,2)&gt;=6, 0, SUM( IF(WBS!$J$5:$J$2773=$A9, IF(F$1&gt;=WBS!$K$5:$K$2773, IF(F$1&lt;=WBS!$L$5:$L$2773, IF(WBS!$AU$5:$AU$2773 &gt;0, WBS!$I$5:$I$2773 / WBS!$AU$5:$AU$2773, 0), 0), 0), 0) ))</f>
        <v>0</v>
      </c>
      <c r="G9">
        <f t="array" ref="G9">IF(WEEKDAY(G$1,2)&gt;=6, 0, SUM( IF(WBS!$J$5:$J$2773=$A9, IF(G$1&gt;=WBS!$K$5:$K$2773, IF(G$1&lt;=WBS!$L$5:$L$2773, IF(WBS!$AU$5:$AU$2773 &gt;0, WBS!$I$5:$I$2773 / WBS!$AU$5:$AU$2773, 0), 0), 0), 0) ))</f>
        <v>0</v>
      </c>
      <c r="H9">
        <f t="array" ref="H9">IF(WEEKDAY(H$1,2)&gt;=6, 0, SUM( IF(WBS!$J$5:$J$2773=$A9, IF(H$1&gt;=WBS!$K$5:$K$2773, IF(H$1&lt;=WBS!$L$5:$L$2773, IF(WBS!$AU$5:$AU$2773 &gt;0, WBS!$I$5:$I$2773 / WBS!$AU$5:$AU$2773, 0), 0), 0), 0) ))</f>
        <v>0</v>
      </c>
      <c r="I9">
        <f t="array" ref="I9">IF(WEEKDAY(I$1,2)&gt;=6, 0, SUM( IF(WBS!$J$5:$J$2773=$A9, IF(I$1&gt;=WBS!$K$5:$K$2773, IF(I$1&lt;=WBS!$L$5:$L$2773, IF(WBS!$AU$5:$AU$2773 &gt;0, WBS!$I$5:$I$2773 / WBS!$AU$5:$AU$2773, 0), 0), 0), 0) ))</f>
        <v>0</v>
      </c>
      <c r="J9">
        <f t="array" ref="J9">IF(WEEKDAY(J$1,2)&gt;=6, 0, SUM( IF(WBS!$J$5:$J$2773=$A9, IF(J$1&gt;=WBS!$K$5:$K$2773, IF(J$1&lt;=WBS!$L$5:$L$2773, IF(WBS!$AU$5:$AU$2773 &gt;0, WBS!$I$5:$I$2773 / WBS!$AU$5:$AU$2773, 0), 0), 0), 0) ))</f>
        <v>0</v>
      </c>
      <c r="K9">
        <f t="array" ref="K9">IF(WEEKDAY(K$1,2)&gt;=6, 0, SUM( IF(WBS!$J$5:$J$2773=$A9, IF(K$1&gt;=WBS!$K$5:$K$2773, IF(K$1&lt;=WBS!$L$5:$L$2773, IF(WBS!$AU$5:$AU$2773 &gt;0, WBS!$I$5:$I$2773 / WBS!$AU$5:$AU$2773, 0), 0), 0), 0) ))</f>
        <v>0</v>
      </c>
      <c r="L9">
        <f t="array" ref="L9">IF(WEEKDAY(L$1,2)&gt;=6, 0, SUM( IF(WBS!$J$5:$J$2773=$A9, IF(L$1&gt;=WBS!$K$5:$K$2773, IF(L$1&lt;=WBS!$L$5:$L$2773, IF(WBS!$AU$5:$AU$2773 &gt;0, WBS!$I$5:$I$2773 / WBS!$AU$5:$AU$2773, 0), 0), 0), 0) ))</f>
        <v>0</v>
      </c>
      <c r="M9">
        <f t="array" ref="M9">IF(WEEKDAY(M$1,2)&gt;=6, 0, SUM( IF(WBS!$J$5:$J$2773=$A9, IF(M$1&gt;=WBS!$K$5:$K$2773, IF(M$1&lt;=WBS!$L$5:$L$2773, IF(WBS!$AU$5:$AU$2773 &gt;0, WBS!$I$5:$I$2773 / WBS!$AU$5:$AU$2773, 0), 0), 0), 0) ))</f>
        <v>0</v>
      </c>
      <c r="N9">
        <f t="array" ref="N9">IF(WEEKDAY(N$1,2)&gt;=6, 0, SUM( IF(WBS!$J$5:$J$2773=$A9, IF(N$1&gt;=WBS!$K$5:$K$2773, IF(N$1&lt;=WBS!$L$5:$L$2773, IF(WBS!$AU$5:$AU$2773 &gt;0, WBS!$I$5:$I$2773 / WBS!$AU$5:$AU$2773, 0), 0), 0), 0) ))</f>
        <v>0</v>
      </c>
      <c r="O9">
        <f t="array" ref="O9">IF(WEEKDAY(O$1,2)&gt;=6, 0, SUM( IF(WBS!$J$5:$J$2773=$A9, IF(O$1&gt;=WBS!$K$5:$K$2773, IF(O$1&lt;=WBS!$L$5:$L$2773, IF(WBS!$AU$5:$AU$2773 &gt;0, WBS!$I$5:$I$2773 / WBS!$AU$5:$AU$2773, 0), 0), 0), 0) ))</f>
        <v>0</v>
      </c>
      <c r="P9">
        <f t="array" ref="P9">IF(WEEKDAY(P$1,2)&gt;=6, 0, SUM( IF(WBS!$J$5:$J$2773=$A9, IF(P$1&gt;=WBS!$K$5:$K$2773, IF(P$1&lt;=WBS!$L$5:$L$2773, IF(WBS!$AU$5:$AU$2773 &gt;0, WBS!$I$5:$I$2773 / WBS!$AU$5:$AU$2773, 0), 0), 0), 0) ))</f>
        <v>0</v>
      </c>
      <c r="Q9">
        <f t="array" ref="Q9">IF(WEEKDAY(Q$1,2)&gt;=6, 0, SUM( IF(WBS!$J$5:$J$2773=$A9, IF(Q$1&gt;=WBS!$K$5:$K$2773, IF(Q$1&lt;=WBS!$L$5:$L$2773, IF(WBS!$AU$5:$AU$2773 &gt;0, WBS!$I$5:$I$2773 / WBS!$AU$5:$AU$2773, 0), 0), 0), 0) ))</f>
        <v>0</v>
      </c>
      <c r="R9">
        <f t="array" ref="R9">IF(WEEKDAY(R$1,2)&gt;=6, 0, SUM( IF(WBS!$J$5:$J$2773=$A9, IF(R$1&gt;=WBS!$K$5:$K$2773, IF(R$1&lt;=WBS!$L$5:$L$2773, IF(WBS!$AU$5:$AU$2773 &gt;0, WBS!$I$5:$I$2773 / WBS!$AU$5:$AU$2773, 0), 0), 0), 0) ))</f>
        <v>0</v>
      </c>
      <c r="S9">
        <f t="array" ref="S9">IF(WEEKDAY(S$1,2)&gt;=6, 0, SUM( IF(WBS!$J$5:$J$2773=$A9, IF(S$1&gt;=WBS!$K$5:$K$2773, IF(S$1&lt;=WBS!$L$5:$L$2773, IF(WBS!$AU$5:$AU$2773 &gt;0, WBS!$I$5:$I$2773 / WBS!$AU$5:$AU$2773, 0), 0), 0), 0) ))</f>
        <v>0</v>
      </c>
      <c r="T9">
        <f t="array" ref="T9">IF(WEEKDAY(T$1,2)&gt;=6, 0, SUM( IF(WBS!$J$5:$J$2773=$A9, IF(T$1&gt;=WBS!$K$5:$K$2773, IF(T$1&lt;=WBS!$L$5:$L$2773, IF(WBS!$AU$5:$AU$2773 &gt;0, WBS!$I$5:$I$2773 / WBS!$AU$5:$AU$2773, 0), 0), 0), 0) ))</f>
        <v>0</v>
      </c>
      <c r="U9">
        <f t="array" ref="U9">IF(WEEKDAY(U$1,2)&gt;=6, 0, SUM( IF(WBS!$J$5:$J$2773=$A9, IF(U$1&gt;=WBS!$K$5:$K$2773, IF(U$1&lt;=WBS!$L$5:$L$2773, IF(WBS!$AU$5:$AU$2773 &gt;0, WBS!$I$5:$I$2773 / WBS!$AU$5:$AU$2773, 0), 0), 0), 0) ))</f>
        <v>0</v>
      </c>
      <c r="V9">
        <f t="array" ref="V9">IF(WEEKDAY(V$1,2)&gt;=6, 0, SUM( IF(WBS!$J$5:$J$2773=$A9, IF(V$1&gt;=WBS!$K$5:$K$2773, IF(V$1&lt;=WBS!$L$5:$L$2773, IF(WBS!$AU$5:$AU$2773 &gt;0, WBS!$I$5:$I$2773 / WBS!$AU$5:$AU$2773, 0), 0), 0), 0) ))</f>
        <v>0</v>
      </c>
      <c r="W9">
        <f t="array" ref="W9">IF(WEEKDAY(W$1,2)&gt;=6, 0, SUM( IF(WBS!$J$5:$J$2773=$A9, IF(W$1&gt;=WBS!$K$5:$K$2773, IF(W$1&lt;=WBS!$L$5:$L$2773, IF(WBS!$AU$5:$AU$2773 &gt;0, WBS!$I$5:$I$2773 / WBS!$AU$5:$AU$2773, 0), 0), 0), 0) ))</f>
        <v>0</v>
      </c>
      <c r="X9">
        <f t="array" ref="X9">IF(WEEKDAY(X$1,2)&gt;=6, 0, SUM( IF(WBS!$J$5:$J$2773=$A9, IF(X$1&gt;=WBS!$K$5:$K$2773, IF(X$1&lt;=WBS!$L$5:$L$2773, IF(WBS!$AU$5:$AU$2773 &gt;0, WBS!$I$5:$I$2773 / WBS!$AU$5:$AU$2773, 0), 0), 0), 0) ))</f>
        <v>0</v>
      </c>
      <c r="Y9">
        <f t="array" ref="Y9">IF(WEEKDAY(Y$1,2)&gt;=6, 0, SUM( IF(WBS!$J$5:$J$2773=$A9, IF(Y$1&gt;=WBS!$K$5:$K$2773, IF(Y$1&lt;=WBS!$L$5:$L$2773, IF(WBS!$AU$5:$AU$2773 &gt;0, WBS!$I$5:$I$2773 / WBS!$AU$5:$AU$2773, 0), 0), 0), 0) ))</f>
        <v>0</v>
      </c>
      <c r="Z9">
        <f t="array" ref="Z9">IF(WEEKDAY(Z$1,2)&gt;=6, 0, SUM( IF(WBS!$J$5:$J$2773=$A9, IF(Z$1&gt;=WBS!$K$5:$K$2773, IF(Z$1&lt;=WBS!$L$5:$L$2773, IF(WBS!$AU$5:$AU$2773 &gt;0, WBS!$I$5:$I$2773 / WBS!$AU$5:$AU$2773, 0), 0), 0), 0) ))</f>
        <v>0</v>
      </c>
      <c r="AA9">
        <f t="array" ref="AA9">IF(WEEKDAY(AA$1,2)&gt;=6, 0, SUM( IF(WBS!$J$5:$J$2773=$A9, IF(AA$1&gt;=WBS!$K$5:$K$2773, IF(AA$1&lt;=WBS!$L$5:$L$2773, IF(WBS!$AU$5:$AU$2773 &gt;0, WBS!$I$5:$I$2773 / WBS!$AU$5:$AU$2773, 0), 0), 0), 0) ))</f>
        <v>0</v>
      </c>
      <c r="AB9">
        <f t="array" ref="AB9">IF(WEEKDAY(AB$1,2)&gt;=6, 0, SUM( IF(WBS!$J$5:$J$2773=$A9, IF(AB$1&gt;=WBS!$K$5:$K$2773, IF(AB$1&lt;=WBS!$L$5:$L$2773, IF(WBS!$AU$5:$AU$2773 &gt;0, WBS!$I$5:$I$2773 / WBS!$AU$5:$AU$2773, 0), 0), 0), 0) ))</f>
        <v>0</v>
      </c>
      <c r="AC9">
        <f t="array" ref="AC9">IF(WEEKDAY(AC$1,2)&gt;=6, 0, SUM( IF(WBS!$J$5:$J$2773=$A9, IF(AC$1&gt;=WBS!$K$5:$K$2773, IF(AC$1&lt;=WBS!$L$5:$L$2773, IF(WBS!$AU$5:$AU$2773 &gt;0, WBS!$I$5:$I$2773 / WBS!$AU$5:$AU$2773, 0), 0), 0), 0) ))</f>
        <v>0</v>
      </c>
      <c r="AD9">
        <f t="array" ref="AD9">IF(WEEKDAY(AD$1,2)&gt;=6, 0, SUM( IF(WBS!$J$5:$J$2773=$A9, IF(AD$1&gt;=WBS!$K$5:$K$2773, IF(AD$1&lt;=WBS!$L$5:$L$2773, IF(WBS!$AU$5:$AU$2773 &gt;0, WBS!$I$5:$I$2773 / WBS!$AU$5:$AU$2773, 0), 0), 0), 0) ))</f>
        <v>0</v>
      </c>
      <c r="AE9">
        <f t="array" ref="AE9">IF(WEEKDAY(AE$1,2)&gt;=6, 0, SUM( IF(WBS!$J$5:$J$2773=$A9, IF(AE$1&gt;=WBS!$K$5:$K$2773, IF(AE$1&lt;=WBS!$L$5:$L$2773, IF(WBS!$AU$5:$AU$2773 &gt;0, WBS!$I$5:$I$2773 / WBS!$AU$5:$AU$2773, 0), 0), 0), 0) ))</f>
        <v>0</v>
      </c>
      <c r="AF9">
        <f t="array" ref="AF9">IF(WEEKDAY(AF$1,2)&gt;=6, 0, SUM( IF(WBS!$J$5:$J$2773=$A9, IF(AF$1&gt;=WBS!$K$5:$K$2773, IF(AF$1&lt;=WBS!$L$5:$L$2773, IF(WBS!$AU$5:$AU$2773 &gt;0, WBS!$I$5:$I$2773 / WBS!$AU$5:$AU$2773, 0), 0), 0), 0) ))</f>
        <v>0</v>
      </c>
      <c r="AG9">
        <f t="array" ref="AG9">IF(WEEKDAY(AG$1,2)&gt;=6, 0, SUM( IF(WBS!$J$5:$J$2773=$A9, IF(AG$1&gt;=WBS!$K$5:$K$2773, IF(AG$1&lt;=WBS!$L$5:$L$2773, IF(WBS!$AU$5:$AU$2773 &gt;0, WBS!$I$5:$I$2773 / WBS!$AU$5:$AU$2773, 0), 0), 0), 0) ))</f>
        <v>0</v>
      </c>
      <c r="AH9">
        <f t="array" ref="AH9">IF(WEEKDAY(AH$1,2)&gt;=6, 0, SUM( IF(WBS!$J$5:$J$2773=$A9, IF(AH$1&gt;=WBS!$K$5:$K$2773, IF(AH$1&lt;=WBS!$L$5:$L$2773, IF(WBS!$AU$5:$AU$2773 &gt;0, WBS!$I$5:$I$2773 / WBS!$AU$5:$AU$2773, 0), 0), 0), 0) ))</f>
        <v>0</v>
      </c>
      <c r="AI9">
        <f t="array" ref="AI9">IF(WEEKDAY(AI$1,2)&gt;=6, 0, SUM( IF(WBS!$J$5:$J$2773=$A9, IF(AI$1&gt;=WBS!$K$5:$K$2773, IF(AI$1&lt;=WBS!$L$5:$L$2773, IF(WBS!$AU$5:$AU$2773 &gt;0, WBS!$I$5:$I$2773 / WBS!$AU$5:$AU$2773, 0), 0), 0), 0) ))</f>
        <v>0</v>
      </c>
      <c r="AJ9">
        <f t="array" ref="AJ9">IF(WEEKDAY(AJ$1,2)&gt;=6, 0, SUM( IF(WBS!$J$5:$J$2773=$A9, IF(AJ$1&gt;=WBS!$K$5:$K$2773, IF(AJ$1&lt;=WBS!$L$5:$L$2773, IF(WBS!$AU$5:$AU$2773 &gt;0, WBS!$I$5:$I$2773 / WBS!$AU$5:$AU$2773, 0), 0), 0), 0) ))</f>
        <v>0</v>
      </c>
      <c r="AK9">
        <f t="array" ref="AK9">IF(WEEKDAY(AK$1,2)&gt;=6, 0, SUM( IF(WBS!$J$5:$J$2773=$A9, IF(AK$1&gt;=WBS!$K$5:$K$2773, IF(AK$1&lt;=WBS!$L$5:$L$2773, IF(WBS!$AU$5:$AU$2773 &gt;0, WBS!$I$5:$I$2773 / WBS!$AU$5:$AU$2773, 0), 0), 0), 0) ))</f>
        <v>0</v>
      </c>
      <c r="AL9">
        <f t="array" ref="AL9">IF(WEEKDAY(AL$1,2)&gt;=6, 0, SUM( IF(WBS!$J$5:$J$2773=$A9, IF(AL$1&gt;=WBS!$K$5:$K$2773, IF(AL$1&lt;=WBS!$L$5:$L$2773, IF(WBS!$AU$5:$AU$2773 &gt;0, WBS!$I$5:$I$2773 / WBS!$AU$5:$AU$2773, 0), 0), 0), 0) ))</f>
        <v>0</v>
      </c>
      <c r="AM9">
        <f t="array" ref="AM9">IF(WEEKDAY(AM$1,2)&gt;=6, 0, SUM( IF(WBS!$J$5:$J$2773=$A9, IF(AM$1&gt;=WBS!$K$5:$K$2773, IF(AM$1&lt;=WBS!$L$5:$L$2773, IF(WBS!$AU$5:$AU$2773 &gt;0, WBS!$I$5:$I$2773 / WBS!$AU$5:$AU$2773, 0), 0), 0), 0) ))</f>
        <v>0</v>
      </c>
      <c r="AN9">
        <f t="array" ref="AN9">IF(WEEKDAY(AN$1,2)&gt;=6, 0, SUM( IF(WBS!$J$5:$J$2773=$A9, IF(AN$1&gt;=WBS!$K$5:$K$2773, IF(AN$1&lt;=WBS!$L$5:$L$2773, IF(WBS!$AU$5:$AU$2773 &gt;0, WBS!$I$5:$I$2773 / WBS!$AU$5:$AU$2773, 0), 0), 0), 0) ))</f>
        <v>0</v>
      </c>
      <c r="AO9">
        <f t="array" ref="AO9">IF(WEEKDAY(AO$1,2)&gt;=6, 0, SUM( IF(WBS!$J$5:$J$2773=$A9, IF(AO$1&gt;=WBS!$K$5:$K$2773, IF(AO$1&lt;=WBS!$L$5:$L$2773, IF(WBS!$AU$5:$AU$2773 &gt;0, WBS!$I$5:$I$2773 / WBS!$AU$5:$AU$2773, 0), 0), 0), 0) ))</f>
        <v>0</v>
      </c>
      <c r="AP9">
        <f t="array" ref="AP9">IF(WEEKDAY(AP$1,2)&gt;=6, 0, SUM( IF(WBS!$J$5:$J$2773=$A9, IF(AP$1&gt;=WBS!$K$5:$K$2773, IF(AP$1&lt;=WBS!$L$5:$L$2773, IF(WBS!$AU$5:$AU$2773 &gt;0, WBS!$I$5:$I$2773 / WBS!$AU$5:$AU$2773, 0), 0), 0), 0) ))</f>
        <v>0</v>
      </c>
      <c r="AQ9">
        <f t="array" ref="AQ9">IF(WEEKDAY(AQ$1,2)&gt;=6, 0, SUM( IF(WBS!$J$5:$J$2773=$A9, IF(AQ$1&gt;=WBS!$K$5:$K$2773, IF(AQ$1&lt;=WBS!$L$5:$L$2773, IF(WBS!$AU$5:$AU$2773 &gt;0, WBS!$I$5:$I$2773 / WBS!$AU$5:$AU$2773, 0), 0), 0), 0) ))</f>
        <v>0</v>
      </c>
      <c r="AR9">
        <f t="array" ref="AR9">IF(WEEKDAY(AR$1,2)&gt;=6, 0, SUM( IF(WBS!$J$5:$J$2773=$A9, IF(AR$1&gt;=WBS!$K$5:$K$2773, IF(AR$1&lt;=WBS!$L$5:$L$2773, IF(WBS!$AU$5:$AU$2773 &gt;0, WBS!$I$5:$I$2773 / WBS!$AU$5:$AU$2773, 0), 0), 0), 0) ))</f>
        <v>0</v>
      </c>
      <c r="AS9">
        <f t="array" ref="AS9">IF(WEEKDAY(AS$1,2)&gt;=6, 0, SUM( IF(WBS!$J$5:$J$2773=$A9, IF(AS$1&gt;=WBS!$K$5:$K$2773, IF(AS$1&lt;=WBS!$L$5:$L$2773, IF(WBS!$AU$5:$AU$2773 &gt;0, WBS!$I$5:$I$2773 / WBS!$AU$5:$AU$2773, 0), 0), 0), 0) ))</f>
        <v>0</v>
      </c>
      <c r="AT9">
        <f t="array" ref="AT9">IF(WEEKDAY(AT$1,2)&gt;=6, 0, SUM( IF(WBS!$J$5:$J$2773=$A9, IF(AT$1&gt;=WBS!$K$5:$K$2773, IF(AT$1&lt;=WBS!$L$5:$L$2773, IF(WBS!$AU$5:$AU$2773 &gt;0, WBS!$I$5:$I$2773 / WBS!$AU$5:$AU$2773, 0), 0), 0), 0) ))</f>
        <v>0</v>
      </c>
      <c r="AU9">
        <f t="array" ref="AU9">IF(WEEKDAY(AU$1,2)&gt;=6, 0, SUM( IF(WBS!$J$5:$J$2773=$A9, IF(AU$1&gt;=WBS!$K$5:$K$2773, IF(AU$1&lt;=WBS!$L$5:$L$2773, IF(WBS!$AU$5:$AU$2773 &gt;0, WBS!$I$5:$I$2773 / WBS!$AU$5:$AU$2773, 0), 0), 0), 0) ))</f>
        <v>0</v>
      </c>
      <c r="AV9">
        <f t="array" ref="AV9">IF(WEEKDAY(AV$1,2)&gt;=6, 0, SUM( IF(WBS!$J$5:$J$2773=$A9, IF(AV$1&gt;=WBS!$K$5:$K$2773, IF(AV$1&lt;=WBS!$L$5:$L$2773, IF(WBS!$AU$5:$AU$2773 &gt;0, WBS!$I$5:$I$2773 / WBS!$AU$5:$AU$2773, 0), 0), 0), 0) ))</f>
        <v>0</v>
      </c>
      <c r="AW9">
        <f t="array" ref="AW9">IF(WEEKDAY(AW$1,2)&gt;=6, 0, SUM( IF(WBS!$J$5:$J$2773=$A9, IF(AW$1&gt;=WBS!$K$5:$K$2773, IF(AW$1&lt;=WBS!$L$5:$L$2773, IF(WBS!$AU$5:$AU$2773 &gt;0, WBS!$I$5:$I$2773 / WBS!$AU$5:$AU$2773, 0), 0), 0), 0) ))</f>
        <v>0</v>
      </c>
      <c r="AX9">
        <f t="array" ref="AX9">IF(WEEKDAY(AX$1,2)&gt;=6, 0, SUM( IF(WBS!$J$5:$J$2773=$A9, IF(AX$1&gt;=WBS!$K$5:$K$2773, IF(AX$1&lt;=WBS!$L$5:$L$2773, IF(WBS!$AU$5:$AU$2773 &gt;0, WBS!$I$5:$I$2773 / WBS!$AU$5:$AU$2773, 0), 0), 0), 0) ))</f>
        <v>0</v>
      </c>
      <c r="AY9">
        <f t="array" ref="AY9">IF(WEEKDAY(AY$1,2)&gt;=6, 0, SUM( IF(WBS!$J$5:$J$2773=$A9, IF(AY$1&gt;=WBS!$K$5:$K$2773, IF(AY$1&lt;=WBS!$L$5:$L$2773, IF(WBS!$AU$5:$AU$2773 &gt;0, WBS!$I$5:$I$2773 / WBS!$AU$5:$AU$2773, 0), 0), 0), 0) ))</f>
        <v>0</v>
      </c>
      <c r="AZ9">
        <f t="array" ref="AZ9">IF(WEEKDAY(AZ$1,2)&gt;=6, 0, SUM( IF(WBS!$J$5:$J$2773=$A9, IF(AZ$1&gt;=WBS!$K$5:$K$2773, IF(AZ$1&lt;=WBS!$L$5:$L$2773, IF(WBS!$AU$5:$AU$2773 &gt;0, WBS!$I$5:$I$2773 / WBS!$AU$5:$AU$2773, 0), 0), 0), 0) ))</f>
        <v>0</v>
      </c>
      <c r="BA9">
        <f t="array" ref="BA9">IF(WEEKDAY(BA$1,2)&gt;=6, 0, SUM( IF(WBS!$J$5:$J$2773=$A9, IF(BA$1&gt;=WBS!$K$5:$K$2773, IF(BA$1&lt;=WBS!$L$5:$L$2773, IF(WBS!$AU$5:$AU$2773 &gt;0, WBS!$I$5:$I$2773 / WBS!$AU$5:$AU$2773, 0), 0), 0), 0) ))</f>
        <v>0</v>
      </c>
      <c r="BB9">
        <f t="array" ref="BB9">IF(WEEKDAY(BB$1,2)&gt;=6, 0, SUM( IF(WBS!$J$5:$J$2773=$A9, IF(BB$1&gt;=WBS!$K$5:$K$2773, IF(BB$1&lt;=WBS!$L$5:$L$2773, IF(WBS!$AU$5:$AU$2773 &gt;0, WBS!$I$5:$I$2773 / WBS!$AU$5:$AU$2773, 0), 0), 0), 0) ))</f>
        <v>0</v>
      </c>
      <c r="BC9">
        <f t="array" ref="BC9">IF(WEEKDAY(BC$1,2)&gt;=6, 0, SUM( IF(WBS!$J$5:$J$2773=$A9, IF(BC$1&gt;=WBS!$K$5:$K$2773, IF(BC$1&lt;=WBS!$L$5:$L$2773, IF(WBS!$AU$5:$AU$2773 &gt;0, WBS!$I$5:$I$2773 / WBS!$AU$5:$AU$2773, 0), 0), 0), 0) ))</f>
        <v>0</v>
      </c>
      <c r="BD9">
        <f t="array" ref="BD9">IF(WEEKDAY(BD$1,2)&gt;=6, 0, SUM( IF(WBS!$J$5:$J$2773=$A9, IF(BD$1&gt;=WBS!$K$5:$K$2773, IF(BD$1&lt;=WBS!$L$5:$L$2773, IF(WBS!$AU$5:$AU$2773 &gt;0, WBS!$I$5:$I$2773 / WBS!$AU$5:$AU$2773, 0), 0), 0), 0) ))</f>
        <v>0</v>
      </c>
      <c r="BE9">
        <f t="array" ref="BE9">IF(WEEKDAY(BE$1,2)&gt;=6, 0, SUM( IF(WBS!$J$5:$J$2773=$A9, IF(BE$1&gt;=WBS!$K$5:$K$2773, IF(BE$1&lt;=WBS!$L$5:$L$2773, IF(WBS!$AU$5:$AU$2773 &gt;0, WBS!$I$5:$I$2773 / WBS!$AU$5:$AU$2773, 0), 0), 0), 0) ))</f>
        <v>0</v>
      </c>
      <c r="BF9">
        <f t="array" ref="BF9">IF(WEEKDAY(BF$1,2)&gt;=6, 0, SUM( IF(WBS!$J$5:$J$2773=$A9, IF(BF$1&gt;=WBS!$K$5:$K$2773, IF(BF$1&lt;=WBS!$L$5:$L$2773, IF(WBS!$AU$5:$AU$2773 &gt;0, WBS!$I$5:$I$2773 / WBS!$AU$5:$AU$2773, 0), 0), 0), 0) ))</f>
        <v>0</v>
      </c>
      <c r="BG9">
        <f t="array" ref="BG9">IF(WEEKDAY(BG$1,2)&gt;=6, 0, SUM( IF(WBS!$J$5:$J$2773=$A9, IF(BG$1&gt;=WBS!$K$5:$K$2773, IF(BG$1&lt;=WBS!$L$5:$L$2773, IF(WBS!$AU$5:$AU$2773 &gt;0, WBS!$I$5:$I$2773 / WBS!$AU$5:$AU$2773, 0), 0), 0), 0) ))</f>
        <v>0</v>
      </c>
      <c r="BH9">
        <f t="array" ref="BH9">IF(WEEKDAY(BH$1,2)&gt;=6, 0, SUM( IF(WBS!$J$5:$J$2773=$A9, IF(BH$1&gt;=WBS!$K$5:$K$2773, IF(BH$1&lt;=WBS!$L$5:$L$2773, IF(WBS!$AU$5:$AU$2773 &gt;0, WBS!$I$5:$I$2773 / WBS!$AU$5:$AU$2773, 0), 0), 0), 0) ))</f>
        <v>0</v>
      </c>
      <c r="BI9" s="42">
        <f t="array" ref="BI9">IF(WEEKDAY(BI$1,2)&gt;=6, 0, SUM( IF(WBS!$J$5:$J$2773=$A9, IF(BI$1&gt;=WBS!$K$5:$K$2773, IF(BI$1&lt;=WBS!$L$5:$L$2773, IF(WBS!$AU$5:$AU$2773 &gt;0, WBS!$I$5:$I$2773 / WBS!$AU$5:$AU$2773, 0), 0), 0), 0) ))</f>
        <v>0</v>
      </c>
      <c r="BJ9" s="42">
        <f t="array" ref="BJ9">IF(WEEKDAY(BJ$1,2)&gt;=6, 0, SUM( IF(WBS!$J$5:$J$2773=$A9, IF(BJ$1&gt;=WBS!$K$5:$K$2773, IF(BJ$1&lt;=WBS!$L$5:$L$2773, IF(WBS!$AU$5:$AU$2773 &gt;0, WBS!$I$5:$I$2773 / WBS!$AU$5:$AU$2773, 0), 0), 0), 0) ))</f>
        <v>0</v>
      </c>
      <c r="BK9">
        <f t="array" ref="BK9">IF(WEEKDAY(BK$1,2)&gt;=6, 0, SUM( IF(WBS!$J$5:$J$2773=$A9, IF(BK$1&gt;=WBS!$K$5:$K$2773, IF(BK$1&lt;=WBS!$L$5:$L$2773, IF(WBS!$AU$5:$AU$2773 &gt;0, WBS!$I$5:$I$2773 / WBS!$AU$5:$AU$2773, 0), 0), 0), 0) ))</f>
        <v>0</v>
      </c>
      <c r="BL9">
        <f t="array" ref="BL9">IF(WEEKDAY(BL$1,2)&gt;=6, 0, SUM( IF(WBS!$J$5:$J$2773=$A9, IF(BL$1&gt;=WBS!$K$5:$K$2773, IF(BL$1&lt;=WBS!$L$5:$L$2773, IF(WBS!$AU$5:$AU$2773 &gt;0, WBS!$I$5:$I$2773 / WBS!$AU$5:$AU$2773, 0), 0), 0), 0) ))</f>
        <v>0</v>
      </c>
      <c r="BM9">
        <f t="array" ref="BM9">IF(WEEKDAY(BM$1,2)&gt;=6, 0, SUM( IF(WBS!$J$5:$J$2773=$A9, IF(BM$1&gt;=WBS!$K$5:$K$2773, IF(BM$1&lt;=WBS!$L$5:$L$2773, IF(WBS!$AU$5:$AU$2773 &gt;0, WBS!$I$5:$I$2773 / WBS!$AU$5:$AU$2773, 0), 0), 0), 0) ))</f>
        <v>0</v>
      </c>
      <c r="BN9">
        <f t="array" ref="BN9">IF(WEEKDAY(BN$1,2)&gt;=6, 0, SUM( IF(WBS!$J$5:$J$2773=$A9, IF(BN$1&gt;=WBS!$K$5:$K$2773, IF(BN$1&lt;=WBS!$L$5:$L$2773, IF(WBS!$AU$5:$AU$2773 &gt;0, WBS!$I$5:$I$2773 / WBS!$AU$5:$AU$2773, 0), 0), 0), 0) ))</f>
        <v>0</v>
      </c>
      <c r="BO9">
        <f t="array" ref="BO9">IF(WEEKDAY(BO$1,2)&gt;=6, 0, SUM( IF(WBS!$J$5:$J$2773=$A9, IF(BO$1&gt;=WBS!$K$5:$K$2773, IF(BO$1&lt;=WBS!$L$5:$L$2773, IF(WBS!$AU$5:$AU$2773 &gt;0, WBS!$I$5:$I$2773 / WBS!$AU$5:$AU$2773, 0), 0), 0), 0) ))</f>
        <v>0</v>
      </c>
      <c r="BP9" s="42">
        <f t="array" ref="BP9">IF(WEEKDAY(BP$1,2)&gt;=6, 0, SUM( IF(WBS!$J$5:$J$2773=$A9, IF(BP$1&gt;=WBS!$K$5:$K$2773, IF(BP$1&lt;=WBS!$L$5:$L$2773, IF(WBS!$AU$5:$AU$2773 &gt;0, WBS!$I$5:$I$2773 / WBS!$AU$5:$AU$2773, 0), 0), 0), 0) ))</f>
        <v>0</v>
      </c>
      <c r="BQ9" s="42">
        <f t="array" ref="BQ9">IF(WEEKDAY(BQ$1,2)&gt;=6, 0, SUM( IF(WBS!$J$5:$J$2773=$A9, IF(BQ$1&gt;=WBS!$K$5:$K$2773, IF(BQ$1&lt;=WBS!$L$5:$L$2773, IF(WBS!$AU$5:$AU$2773 &gt;0, WBS!$I$5:$I$2773 / WBS!$AU$5:$AU$2773, 0), 0), 0), 0) ))</f>
        <v>0</v>
      </c>
      <c r="BR9">
        <f t="array" ref="BR9">IF(WEEKDAY(BR$1,2)&gt;=6, 0, SUM( IF(WBS!$J$5:$J$2773=$A9, IF(BR$1&gt;=WBS!$K$5:$K$2773, IF(BR$1&lt;=WBS!$L$5:$L$2773, IF(WBS!$AU$5:$AU$2773 &gt;0, WBS!$I$5:$I$2773 / WBS!$AU$5:$AU$2773, 0), 0), 0), 0) ))</f>
        <v>0</v>
      </c>
      <c r="BS9">
        <f t="array" ref="BS9">IF(WEEKDAY(BS$1,2)&gt;=6, 0, SUM( IF(WBS!$J$5:$J$2773=$A9, IF(BS$1&gt;=WBS!$K$5:$K$2773, IF(BS$1&lt;=WBS!$L$5:$L$2773, IF(WBS!$AU$5:$AU$2773 &gt;0, WBS!$I$5:$I$2773 / WBS!$AU$5:$AU$2773, 0), 0), 0), 0) ))</f>
        <v>0</v>
      </c>
      <c r="BT9">
        <f t="array" ref="BT9">IF(WEEKDAY(BT$1,2)&gt;=6, 0, SUM( IF(WBS!$J$5:$J$2773=$A9, IF(BT$1&gt;=WBS!$K$5:$K$2773, IF(BT$1&lt;=WBS!$L$5:$L$2773, IF(WBS!$AU$5:$AU$2773 &gt;0, WBS!$I$5:$I$2773 / WBS!$AU$5:$AU$2773, 0), 0), 0), 0) ))</f>
        <v>0</v>
      </c>
      <c r="BU9">
        <f t="array" ref="BU9">IF(WEEKDAY(BU$1,2)&gt;=6, 0, SUM( IF(WBS!$J$5:$J$2773=$A9, IF(BU$1&gt;=WBS!$K$5:$K$2773, IF(BU$1&lt;=WBS!$L$5:$L$2773, IF(WBS!$AU$5:$AU$2773 &gt;0, WBS!$I$5:$I$2773 / WBS!$AU$5:$AU$2773, 0), 0), 0), 0) ))</f>
        <v>0</v>
      </c>
      <c r="BV9">
        <f t="array" ref="BV9">IF(WEEKDAY(BV$1,2)&gt;=6, 0, SUM( IF(WBS!$J$5:$J$2773=$A9, IF(BV$1&gt;=WBS!$K$5:$K$2773, IF(BV$1&lt;=WBS!$L$5:$L$2773, IF(WBS!$AU$5:$AU$2773 &gt;0, WBS!$I$5:$I$2773 / WBS!$AU$5:$AU$2773, 0), 0), 0), 0) ))</f>
        <v>0</v>
      </c>
      <c r="BW9" s="42">
        <f t="array" ref="BW9">IF(WEEKDAY(BW$1,2)&gt;=6, 0, SUM( IF(WBS!$J$5:$J$2773=$A9, IF(BW$1&gt;=WBS!$K$5:$K$2773, IF(BW$1&lt;=WBS!$L$5:$L$2773, IF(WBS!$AU$5:$AU$2773 &gt;0, WBS!$I$5:$I$2773 / WBS!$AU$5:$AU$2773, 0), 0), 0), 0) ))</f>
        <v>0</v>
      </c>
      <c r="BX9" s="42">
        <f t="array" ref="BX9">IF(WEEKDAY(BX$1,2)&gt;=6, 0, SUM( IF(WBS!$J$5:$J$2773=$A9, IF(BX$1&gt;=WBS!$K$5:$K$2773, IF(BX$1&lt;=WBS!$L$5:$L$2773, IF(WBS!$AU$5:$AU$2773 &gt;0, WBS!$I$5:$I$2773 / WBS!$AU$5:$AU$2773, 0), 0), 0), 0) ))</f>
        <v>0</v>
      </c>
      <c r="BY9">
        <f t="array" ref="BY9">IF(WEEKDAY(BY$1,2)&gt;=6, 0, SUM( IF(WBS!$J$5:$J$2773=$A9, IF(BY$1&gt;=WBS!$K$5:$K$2773, IF(BY$1&lt;=WBS!$L$5:$L$2773, IF(WBS!$AU$5:$AU$2773 &gt;0, WBS!$I$5:$I$2773 / WBS!$AU$5:$AU$2773, 0), 0), 0), 0) ))</f>
        <v>0</v>
      </c>
      <c r="BZ9">
        <f t="array" ref="BZ9">IF(WEEKDAY(BZ$1,2)&gt;=6, 0, SUM( IF(WBS!$J$5:$J$2773=$A9, IF(BZ$1&gt;=WBS!$K$5:$K$2773, IF(BZ$1&lt;=WBS!$L$5:$L$2773, IF(WBS!$AU$5:$AU$2773 &gt;0, WBS!$I$5:$I$2773 / WBS!$AU$5:$AU$2773, 0), 0), 0), 0) ))</f>
        <v>0</v>
      </c>
      <c r="CA9">
        <f t="array" ref="CA9">IF(WEEKDAY(CA$1,2)&gt;=6, 0, SUM( IF(WBS!$J$5:$J$2773=$A9, IF(CA$1&gt;=WBS!$K$5:$K$2773, IF(CA$1&lt;=WBS!$L$5:$L$2773, IF(WBS!$AU$5:$AU$2773 &gt;0, WBS!$I$5:$I$2773 / WBS!$AU$5:$AU$2773, 0), 0), 0), 0) ))</f>
        <v>0</v>
      </c>
      <c r="CB9">
        <f t="array" ref="CB9">IF(WEEKDAY(CB$1,2)&gt;=6, 0, SUM( IF(WBS!$J$5:$J$2773=$A9, IF(CB$1&gt;=WBS!$K$5:$K$2773, IF(CB$1&lt;=WBS!$L$5:$L$2773, IF(WBS!$AU$5:$AU$2773 &gt;0, WBS!$I$5:$I$2773 / WBS!$AU$5:$AU$2773, 0), 0), 0), 0) ))</f>
        <v>0</v>
      </c>
      <c r="CC9">
        <f t="array" ref="CC9">IF(WEEKDAY(CC$1,2)&gt;=6, 0, SUM( IF(WBS!$J$5:$J$2773=$A9, IF(CC$1&gt;=WBS!$K$5:$K$2773, IF(CC$1&lt;=WBS!$L$5:$L$2773, IF(WBS!$AU$5:$AU$2773 &gt;0, WBS!$I$5:$I$2773 / WBS!$AU$5:$AU$2773, 0), 0), 0), 0) ))</f>
        <v>0</v>
      </c>
      <c r="CD9" s="42">
        <f t="array" ref="CD9">IF(WEEKDAY(CD$1,2)&gt;=6, 0, SUM( IF(WBS!$J$5:$J$2773=$A9, IF(CD$1&gt;=WBS!$K$5:$K$2773, IF(CD$1&lt;=WBS!$L$5:$L$2773, IF(WBS!$AU$5:$AU$2773 &gt;0, WBS!$I$5:$I$2773 / WBS!$AU$5:$AU$2773, 0), 0), 0), 0) ))</f>
        <v>0</v>
      </c>
      <c r="CE9" s="42">
        <f t="array" ref="CE9">IF(WEEKDAY(CE$1,2)&gt;=6, 0, SUM( IF(WBS!$J$5:$J$2773=$A9, IF(CE$1&gt;=WBS!$K$5:$K$2773, IF(CE$1&lt;=WBS!$L$5:$L$2773, IF(WBS!$AU$5:$AU$2773 &gt;0, WBS!$I$5:$I$2773 / WBS!$AU$5:$AU$2773, 0), 0), 0), 0) ))</f>
        <v>0</v>
      </c>
      <c r="CF9">
        <f t="array" ref="CF9">IF(WEEKDAY(CF$1,2)&gt;=6, 0, SUM( IF(WBS!$J$5:$J$2773=$A9, IF(CF$1&gt;=WBS!$K$5:$K$2773, IF(CF$1&lt;=WBS!$L$5:$L$2773, IF(WBS!$AU$5:$AU$2773 &gt;0, WBS!$I$5:$I$2773 / WBS!$AU$5:$AU$2773, 0), 0), 0), 0) ))</f>
        <v>0</v>
      </c>
      <c r="CG9">
        <f t="array" ref="CG9">IF(WEEKDAY(CG$1,2)&gt;=6, 0, SUM( IF(WBS!$J$5:$J$2773=$A9, IF(CG$1&gt;=WBS!$K$5:$K$2773, IF(CG$1&lt;=WBS!$L$5:$L$2773, IF(WBS!$AU$5:$AU$2773 &gt;0, WBS!$I$5:$I$2773 / WBS!$AU$5:$AU$2773, 0), 0), 0), 0) ))</f>
        <v>0</v>
      </c>
      <c r="CH9">
        <f t="array" ref="CH9">IF(WEEKDAY(CH$1,2)&gt;=6, 0, SUM( IF(WBS!$J$5:$J$2773=$A9, IF(CH$1&gt;=WBS!$K$5:$K$2773, IF(CH$1&lt;=WBS!$L$5:$L$2773, IF(WBS!$AU$5:$AU$2773 &gt;0, WBS!$I$5:$I$2773 / WBS!$AU$5:$AU$2773, 0), 0), 0), 0) ))</f>
        <v>0</v>
      </c>
      <c r="CI9" s="274"/>
      <c r="CK9" s="42"/>
      <c r="CL9" s="42"/>
      <c r="CR9" s="42"/>
      <c r="CS9" s="42"/>
      <c r="CY9" s="42"/>
      <c r="CZ9" s="42"/>
      <c r="DF9" s="42"/>
      <c r="DG9" s="42"/>
      <c r="DM9" s="42"/>
      <c r="DN9" s="42"/>
      <c r="DT9" s="42"/>
      <c r="DU9" s="42"/>
      <c r="EA9" s="276"/>
      <c r="EB9" s="276"/>
      <c r="EC9" s="274"/>
      <c r="ED9" s="274"/>
      <c r="EE9" s="274"/>
      <c r="EF9" s="274"/>
      <c r="EG9" s="274"/>
      <c r="EH9" s="274"/>
      <c r="EI9" s="274"/>
      <c r="EJ9" s="274"/>
      <c r="EO9" s="42"/>
      <c r="EP9" s="42"/>
      <c r="EV9" s="42"/>
      <c r="EW9" s="42"/>
      <c r="FC9" s="42"/>
      <c r="FD9" s="42"/>
      <c r="FJ9" s="42"/>
      <c r="FK9" s="42"/>
      <c r="FQ9" s="42"/>
      <c r="FR9" s="42"/>
      <c r="FX9" s="42"/>
      <c r="FY9" s="42"/>
      <c r="FZ9" s="274"/>
      <c r="GE9" s="42"/>
      <c r="GF9" s="42"/>
      <c r="GL9" s="42"/>
      <c r="GM9" s="42"/>
      <c r="GS9" s="42"/>
      <c r="GT9" s="42"/>
      <c r="GY9" s="274"/>
      <c r="GZ9" s="42"/>
      <c r="HA9" s="42"/>
      <c r="HB9" s="274"/>
      <c r="HC9" s="274"/>
      <c r="HG9" s="42"/>
      <c r="HH9" s="42"/>
      <c r="HN9" s="42"/>
      <c r="HO9" s="42"/>
      <c r="HU9" s="42"/>
      <c r="HV9" s="42"/>
      <c r="IB9" s="42"/>
      <c r="IC9" s="42"/>
      <c r="II9" s="42"/>
      <c r="IJ9" s="42"/>
      <c r="IP9" s="42"/>
      <c r="IQ9" s="42"/>
      <c r="IV9" s="274"/>
      <c r="IW9" s="42"/>
      <c r="IX9" s="42"/>
      <c r="JD9" s="42"/>
      <c r="JE9" s="42"/>
      <c r="JK9" s="42"/>
      <c r="JL9" s="42"/>
      <c r="JR9" s="42"/>
      <c r="JS9" s="42"/>
      <c r="JY9" s="42"/>
      <c r="JZ9" s="42"/>
      <c r="KF9" s="42"/>
      <c r="KG9" s="42"/>
      <c r="KM9" s="42"/>
      <c r="KN9" s="42"/>
      <c r="KT9" s="42"/>
      <c r="KU9" s="42"/>
      <c r="LA9" s="42"/>
      <c r="LB9" s="42"/>
      <c r="LH9" s="42"/>
      <c r="LI9" s="42"/>
      <c r="LO9" s="42"/>
      <c r="LP9" s="42"/>
      <c r="LV9" s="42"/>
      <c r="LW9" s="42"/>
      <c r="MC9" s="42"/>
      <c r="MD9" s="42"/>
      <c r="MJ9" s="42"/>
      <c r="MK9" s="42"/>
      <c r="MP9" s="274"/>
      <c r="MQ9" s="42"/>
      <c r="MR9" s="276"/>
      <c r="MV9" s="274"/>
      <c r="MW9" s="274"/>
      <c r="MX9" s="42"/>
      <c r="MY9" s="42"/>
      <c r="MZ9" s="274"/>
      <c r="NA9" s="274"/>
      <c r="NB9" s="274"/>
      <c r="NE9" s="276"/>
      <c r="NF9" s="42"/>
      <c r="NL9" s="42"/>
      <c r="NM9" s="42"/>
      <c r="NS9" s="42"/>
      <c r="NT9" s="42"/>
      <c r="NZ9" s="42"/>
      <c r="OA9" s="42"/>
      <c r="OG9" s="42"/>
      <c r="OH9" s="42"/>
      <c r="ON9" s="42"/>
      <c r="OO9" s="42"/>
      <c r="OU9" s="42"/>
      <c r="OV9" s="42"/>
      <c r="PB9" s="42"/>
      <c r="PC9" s="42"/>
      <c r="PI9" s="42"/>
      <c r="PJ9" s="42"/>
      <c r="PP9" s="42"/>
      <c r="PQ9" s="42"/>
      <c r="PW9" s="42"/>
      <c r="PX9" s="42"/>
      <c r="QD9" s="42"/>
      <c r="QE9" s="42"/>
    </row>
    <row r="10" spans="1:451">
      <c r="A10" t="s">
        <v>321</v>
      </c>
      <c r="B10" t="s">
        <v>84</v>
      </c>
      <c r="C10">
        <f t="array" ref="C10">IF(WEEKDAY(C$1,2)&gt;=6, 0, SUM( IF(WBS!$J$5:$J$2773=$A10, IF(C$1&gt;=WBS!$K$5:$K$2773, IF(C$1&lt;=WBS!$L$5:$L$2773, IF(WBS!$AU$5:$AU$2773 &gt;0, WBS!$I$5:$I$2773 / WBS!$AU$5:$AU$2773, 0), 0), 0), 0) ))</f>
        <v>0</v>
      </c>
      <c r="D10">
        <f t="array" ref="D10">IF(WEEKDAY(D$1,2)&gt;=6, 0, SUM( IF(WBS!$J$5:$J$2773=$A10, IF(D$1&gt;=WBS!$K$5:$K$2773, IF(D$1&lt;=WBS!$L$5:$L$2773, IF(WBS!$AU$5:$AU$2773 &gt;0, WBS!$I$5:$I$2773 / WBS!$AU$5:$AU$2773, 0), 0), 0), 0) ))</f>
        <v>0</v>
      </c>
      <c r="E10">
        <f t="array" ref="E10">IF(WEEKDAY(E$1,2)&gt;=6, 0, SUM( IF(WBS!$J$5:$J$2773=$A10, IF(E$1&gt;=WBS!$K$5:$K$2773, IF(E$1&lt;=WBS!$L$5:$L$2773, IF(WBS!$AU$5:$AU$2773 &gt;0, WBS!$I$5:$I$2773 / WBS!$AU$5:$AU$2773, 0), 0), 0), 0) ))</f>
        <v>0</v>
      </c>
      <c r="F10">
        <f t="array" ref="F10">IF(WEEKDAY(F$1,2)&gt;=6, 0, SUM( IF(WBS!$J$5:$J$2773=$A10, IF(F$1&gt;=WBS!$K$5:$K$2773, IF(F$1&lt;=WBS!$L$5:$L$2773, IF(WBS!$AU$5:$AU$2773 &gt;0, WBS!$I$5:$I$2773 / WBS!$AU$5:$AU$2773, 0), 0), 0), 0) ))</f>
        <v>0</v>
      </c>
      <c r="G10">
        <f t="array" ref="G10">IF(WEEKDAY(G$1,2)&gt;=6, 0, SUM( IF(WBS!$J$5:$J$2773=$A10, IF(G$1&gt;=WBS!$K$5:$K$2773, IF(G$1&lt;=WBS!$L$5:$L$2773, IF(WBS!$AU$5:$AU$2773 &gt;0, WBS!$I$5:$I$2773 / WBS!$AU$5:$AU$2773, 0), 0), 0), 0) ))</f>
        <v>0</v>
      </c>
      <c r="H10">
        <f t="array" ref="H10">IF(WEEKDAY(H$1,2)&gt;=6, 0, SUM( IF(WBS!$J$5:$J$2773=$A10, IF(H$1&gt;=WBS!$K$5:$K$2773, IF(H$1&lt;=WBS!$L$5:$L$2773, IF(WBS!$AU$5:$AU$2773 &gt;0, WBS!$I$5:$I$2773 / WBS!$AU$5:$AU$2773, 0), 0), 0), 0) ))</f>
        <v>0</v>
      </c>
      <c r="I10">
        <f t="array" ref="I10">IF(WEEKDAY(I$1,2)&gt;=6, 0, SUM( IF(WBS!$J$5:$J$2773=$A10, IF(I$1&gt;=WBS!$K$5:$K$2773, IF(I$1&lt;=WBS!$L$5:$L$2773, IF(WBS!$AU$5:$AU$2773 &gt;0, WBS!$I$5:$I$2773 / WBS!$AU$5:$AU$2773, 0), 0), 0), 0) ))</f>
        <v>0</v>
      </c>
      <c r="J10">
        <f t="array" ref="J10">IF(WEEKDAY(J$1,2)&gt;=6, 0, SUM( IF(WBS!$J$5:$J$2773=$A10, IF(J$1&gt;=WBS!$K$5:$K$2773, IF(J$1&lt;=WBS!$L$5:$L$2773, IF(WBS!$AU$5:$AU$2773 &gt;0, WBS!$I$5:$I$2773 / WBS!$AU$5:$AU$2773, 0), 0), 0), 0) ))</f>
        <v>0</v>
      </c>
      <c r="K10">
        <f t="array" ref="K10">IF(WEEKDAY(K$1,2)&gt;=6, 0, SUM( IF(WBS!$J$5:$J$2773=$A10, IF(K$1&gt;=WBS!$K$5:$K$2773, IF(K$1&lt;=WBS!$L$5:$L$2773, IF(WBS!$AU$5:$AU$2773 &gt;0, WBS!$I$5:$I$2773 / WBS!$AU$5:$AU$2773, 0), 0), 0), 0) ))</f>
        <v>0</v>
      </c>
      <c r="L10">
        <f t="array" ref="L10">IF(WEEKDAY(L$1,2)&gt;=6, 0, SUM( IF(WBS!$J$5:$J$2773=$A10, IF(L$1&gt;=WBS!$K$5:$K$2773, IF(L$1&lt;=WBS!$L$5:$L$2773, IF(WBS!$AU$5:$AU$2773 &gt;0, WBS!$I$5:$I$2773 / WBS!$AU$5:$AU$2773, 0), 0), 0), 0) ))</f>
        <v>0</v>
      </c>
      <c r="M10">
        <f t="array" ref="M10">IF(WEEKDAY(M$1,2)&gt;=6, 0, SUM( IF(WBS!$J$5:$J$2773=$A10, IF(M$1&gt;=WBS!$K$5:$K$2773, IF(M$1&lt;=WBS!$L$5:$L$2773, IF(WBS!$AU$5:$AU$2773 &gt;0, WBS!$I$5:$I$2773 / WBS!$AU$5:$AU$2773, 0), 0), 0), 0) ))</f>
        <v>0</v>
      </c>
      <c r="N10">
        <f t="array" ref="N10">IF(WEEKDAY(N$1,2)&gt;=6, 0, SUM( IF(WBS!$J$5:$J$2773=$A10, IF(N$1&gt;=WBS!$K$5:$K$2773, IF(N$1&lt;=WBS!$L$5:$L$2773, IF(WBS!$AU$5:$AU$2773 &gt;0, WBS!$I$5:$I$2773 / WBS!$AU$5:$AU$2773, 0), 0), 0), 0) ))</f>
        <v>0</v>
      </c>
      <c r="O10">
        <f t="array" ref="O10">IF(WEEKDAY(O$1,2)&gt;=6, 0, SUM( IF(WBS!$J$5:$J$2773=$A10, IF(O$1&gt;=WBS!$K$5:$K$2773, IF(O$1&lt;=WBS!$L$5:$L$2773, IF(WBS!$AU$5:$AU$2773 &gt;0, WBS!$I$5:$I$2773 / WBS!$AU$5:$AU$2773, 0), 0), 0), 0) ))</f>
        <v>0</v>
      </c>
      <c r="P10">
        <f t="array" ref="P10">IF(WEEKDAY(P$1,2)&gt;=6, 0, SUM( IF(WBS!$J$5:$J$2773=$A10, IF(P$1&gt;=WBS!$K$5:$K$2773, IF(P$1&lt;=WBS!$L$5:$L$2773, IF(WBS!$AU$5:$AU$2773 &gt;0, WBS!$I$5:$I$2773 / WBS!$AU$5:$AU$2773, 0), 0), 0), 0) ))</f>
        <v>0</v>
      </c>
      <c r="Q10">
        <f t="array" ref="Q10">IF(WEEKDAY(Q$1,2)&gt;=6, 0, SUM( IF(WBS!$J$5:$J$2773=$A10, IF(Q$1&gt;=WBS!$K$5:$K$2773, IF(Q$1&lt;=WBS!$L$5:$L$2773, IF(WBS!$AU$5:$AU$2773 &gt;0, WBS!$I$5:$I$2773 / WBS!$AU$5:$AU$2773, 0), 0), 0), 0) ))</f>
        <v>0</v>
      </c>
      <c r="R10">
        <f t="array" ref="R10">IF(WEEKDAY(R$1,2)&gt;=6, 0, SUM( IF(WBS!$J$5:$J$2773=$A10, IF(R$1&gt;=WBS!$K$5:$K$2773, IF(R$1&lt;=WBS!$L$5:$L$2773, IF(WBS!$AU$5:$AU$2773 &gt;0, WBS!$I$5:$I$2773 / WBS!$AU$5:$AU$2773, 0), 0), 0), 0) ))</f>
        <v>0</v>
      </c>
      <c r="S10">
        <f t="array" ref="S10">IF(WEEKDAY(S$1,2)&gt;=6, 0, SUM( IF(WBS!$J$5:$J$2773=$A10, IF(S$1&gt;=WBS!$K$5:$K$2773, IF(S$1&lt;=WBS!$L$5:$L$2773, IF(WBS!$AU$5:$AU$2773 &gt;0, WBS!$I$5:$I$2773 / WBS!$AU$5:$AU$2773, 0), 0), 0), 0) ))</f>
        <v>0</v>
      </c>
      <c r="T10">
        <f t="array" ref="T10">IF(WEEKDAY(T$1,2)&gt;=6, 0, SUM( IF(WBS!$J$5:$J$2773=$A10, IF(T$1&gt;=WBS!$K$5:$K$2773, IF(T$1&lt;=WBS!$L$5:$L$2773, IF(WBS!$AU$5:$AU$2773 &gt;0, WBS!$I$5:$I$2773 / WBS!$AU$5:$AU$2773, 0), 0), 0), 0) ))</f>
        <v>0</v>
      </c>
      <c r="U10">
        <f t="array" ref="U10">IF(WEEKDAY(U$1,2)&gt;=6, 0, SUM( IF(WBS!$J$5:$J$2773=$A10, IF(U$1&gt;=WBS!$K$5:$K$2773, IF(U$1&lt;=WBS!$L$5:$L$2773, IF(WBS!$AU$5:$AU$2773 &gt;0, WBS!$I$5:$I$2773 / WBS!$AU$5:$AU$2773, 0), 0), 0), 0) ))</f>
        <v>0</v>
      </c>
      <c r="V10">
        <f t="array" ref="V10">IF(WEEKDAY(V$1,2)&gt;=6, 0, SUM( IF(WBS!$J$5:$J$2773=$A10, IF(V$1&gt;=WBS!$K$5:$K$2773, IF(V$1&lt;=WBS!$L$5:$L$2773, IF(WBS!$AU$5:$AU$2773 &gt;0, WBS!$I$5:$I$2773 / WBS!$AU$5:$AU$2773, 0), 0), 0), 0) ))</f>
        <v>0</v>
      </c>
      <c r="W10">
        <f t="array" ref="W10">IF(WEEKDAY(W$1,2)&gt;=6, 0, SUM( IF(WBS!$J$5:$J$2773=$A10, IF(W$1&gt;=WBS!$K$5:$K$2773, IF(W$1&lt;=WBS!$L$5:$L$2773, IF(WBS!$AU$5:$AU$2773 &gt;0, WBS!$I$5:$I$2773 / WBS!$AU$5:$AU$2773, 0), 0), 0), 0) ))</f>
        <v>0</v>
      </c>
      <c r="X10">
        <f t="array" ref="X10">IF(WEEKDAY(X$1,2)&gt;=6, 0, SUM( IF(WBS!$J$5:$J$2773=$A10, IF(X$1&gt;=WBS!$K$5:$K$2773, IF(X$1&lt;=WBS!$L$5:$L$2773, IF(WBS!$AU$5:$AU$2773 &gt;0, WBS!$I$5:$I$2773 / WBS!$AU$5:$AU$2773, 0), 0), 0), 0) ))</f>
        <v>0</v>
      </c>
      <c r="Y10">
        <f t="array" ref="Y10">IF(WEEKDAY(Y$1,2)&gt;=6, 0, SUM( IF(WBS!$J$5:$J$2773=$A10, IF(Y$1&gt;=WBS!$K$5:$K$2773, IF(Y$1&lt;=WBS!$L$5:$L$2773, IF(WBS!$AU$5:$AU$2773 &gt;0, WBS!$I$5:$I$2773 / WBS!$AU$5:$AU$2773, 0), 0), 0), 0) ))</f>
        <v>0</v>
      </c>
      <c r="Z10">
        <f t="array" ref="Z10">IF(WEEKDAY(Z$1,2)&gt;=6, 0, SUM( IF(WBS!$J$5:$J$2773=$A10, IF(Z$1&gt;=WBS!$K$5:$K$2773, IF(Z$1&lt;=WBS!$L$5:$L$2773, IF(WBS!$AU$5:$AU$2773 &gt;0, WBS!$I$5:$I$2773 / WBS!$AU$5:$AU$2773, 0), 0), 0), 0) ))</f>
        <v>0</v>
      </c>
      <c r="AA10">
        <f t="array" ref="AA10">IF(WEEKDAY(AA$1,2)&gt;=6, 0, SUM( IF(WBS!$J$5:$J$2773=$A10, IF(AA$1&gt;=WBS!$K$5:$K$2773, IF(AA$1&lt;=WBS!$L$5:$L$2773, IF(WBS!$AU$5:$AU$2773 &gt;0, WBS!$I$5:$I$2773 / WBS!$AU$5:$AU$2773, 0), 0), 0), 0) ))</f>
        <v>0</v>
      </c>
      <c r="AB10">
        <f t="array" ref="AB10">IF(WEEKDAY(AB$1,2)&gt;=6, 0, SUM( IF(WBS!$J$5:$J$2773=$A10, IF(AB$1&gt;=WBS!$K$5:$K$2773, IF(AB$1&lt;=WBS!$L$5:$L$2773, IF(WBS!$AU$5:$AU$2773 &gt;0, WBS!$I$5:$I$2773 / WBS!$AU$5:$AU$2773, 0), 0), 0), 0) ))</f>
        <v>0</v>
      </c>
      <c r="AC10">
        <f t="array" ref="AC10">IF(WEEKDAY(AC$1,2)&gt;=6, 0, SUM( IF(WBS!$J$5:$J$2773=$A10, IF(AC$1&gt;=WBS!$K$5:$K$2773, IF(AC$1&lt;=WBS!$L$5:$L$2773, IF(WBS!$AU$5:$AU$2773 &gt;0, WBS!$I$5:$I$2773 / WBS!$AU$5:$AU$2773, 0), 0), 0), 0) ))</f>
        <v>0</v>
      </c>
      <c r="AD10">
        <f t="array" ref="AD10">IF(WEEKDAY(AD$1,2)&gt;=6, 0, SUM( IF(WBS!$J$5:$J$2773=$A10, IF(AD$1&gt;=WBS!$K$5:$K$2773, IF(AD$1&lt;=WBS!$L$5:$L$2773, IF(WBS!$AU$5:$AU$2773 &gt;0, WBS!$I$5:$I$2773 / WBS!$AU$5:$AU$2773, 0), 0), 0), 0) ))</f>
        <v>0</v>
      </c>
      <c r="AE10">
        <f t="array" ref="AE10">IF(WEEKDAY(AE$1,2)&gt;=6, 0, SUM( IF(WBS!$J$5:$J$2773=$A10, IF(AE$1&gt;=WBS!$K$5:$K$2773, IF(AE$1&lt;=WBS!$L$5:$L$2773, IF(WBS!$AU$5:$AU$2773 &gt;0, WBS!$I$5:$I$2773 / WBS!$AU$5:$AU$2773, 0), 0), 0), 0) ))</f>
        <v>0</v>
      </c>
      <c r="AF10">
        <f t="array" ref="AF10">IF(WEEKDAY(AF$1,2)&gt;=6, 0, SUM( IF(WBS!$J$5:$J$2773=$A10, IF(AF$1&gt;=WBS!$K$5:$K$2773, IF(AF$1&lt;=WBS!$L$5:$L$2773, IF(WBS!$AU$5:$AU$2773 &gt;0, WBS!$I$5:$I$2773 / WBS!$AU$5:$AU$2773, 0), 0), 0), 0) ))</f>
        <v>0</v>
      </c>
      <c r="AG10">
        <f t="array" ref="AG10">IF(WEEKDAY(AG$1,2)&gt;=6, 0, SUM( IF(WBS!$J$5:$J$2773=$A10, IF(AG$1&gt;=WBS!$K$5:$K$2773, IF(AG$1&lt;=WBS!$L$5:$L$2773, IF(WBS!$AU$5:$AU$2773 &gt;0, WBS!$I$5:$I$2773 / WBS!$AU$5:$AU$2773, 0), 0), 0), 0) ))</f>
        <v>0</v>
      </c>
      <c r="AH10">
        <f t="array" ref="AH10">IF(WEEKDAY(AH$1,2)&gt;=6, 0, SUM( IF(WBS!$J$5:$J$2773=$A10, IF(AH$1&gt;=WBS!$K$5:$K$2773, IF(AH$1&lt;=WBS!$L$5:$L$2773, IF(WBS!$AU$5:$AU$2773 &gt;0, WBS!$I$5:$I$2773 / WBS!$AU$5:$AU$2773, 0), 0), 0), 0) ))</f>
        <v>0</v>
      </c>
      <c r="AI10">
        <f t="array" ref="AI10">IF(WEEKDAY(AI$1,2)&gt;=6, 0, SUM( IF(WBS!$J$5:$J$2773=$A10, IF(AI$1&gt;=WBS!$K$5:$K$2773, IF(AI$1&lt;=WBS!$L$5:$L$2773, IF(WBS!$AU$5:$AU$2773 &gt;0, WBS!$I$5:$I$2773 / WBS!$AU$5:$AU$2773, 0), 0), 0), 0) ))</f>
        <v>0</v>
      </c>
      <c r="AJ10">
        <f t="array" ref="AJ10">IF(WEEKDAY(AJ$1,2)&gt;=6, 0, SUM( IF(WBS!$J$5:$J$2773=$A10, IF(AJ$1&gt;=WBS!$K$5:$K$2773, IF(AJ$1&lt;=WBS!$L$5:$L$2773, IF(WBS!$AU$5:$AU$2773 &gt;0, WBS!$I$5:$I$2773 / WBS!$AU$5:$AU$2773, 0), 0), 0), 0) ))</f>
        <v>0</v>
      </c>
      <c r="AK10">
        <f t="array" ref="AK10">IF(WEEKDAY(AK$1,2)&gt;=6, 0, SUM( IF(WBS!$J$5:$J$2773=$A10, IF(AK$1&gt;=WBS!$K$5:$K$2773, IF(AK$1&lt;=WBS!$L$5:$L$2773, IF(WBS!$AU$5:$AU$2773 &gt;0, WBS!$I$5:$I$2773 / WBS!$AU$5:$AU$2773, 0), 0), 0), 0) ))</f>
        <v>0</v>
      </c>
      <c r="AL10">
        <f t="array" ref="AL10">IF(WEEKDAY(AL$1,2)&gt;=6, 0, SUM( IF(WBS!$J$5:$J$2773=$A10, IF(AL$1&gt;=WBS!$K$5:$K$2773, IF(AL$1&lt;=WBS!$L$5:$L$2773, IF(WBS!$AU$5:$AU$2773 &gt;0, WBS!$I$5:$I$2773 / WBS!$AU$5:$AU$2773, 0), 0), 0), 0) ))</f>
        <v>0</v>
      </c>
      <c r="AM10">
        <f t="array" ref="AM10">IF(WEEKDAY(AM$1,2)&gt;=6, 0, SUM( IF(WBS!$J$5:$J$2773=$A10, IF(AM$1&gt;=WBS!$K$5:$K$2773, IF(AM$1&lt;=WBS!$L$5:$L$2773, IF(WBS!$AU$5:$AU$2773 &gt;0, WBS!$I$5:$I$2773 / WBS!$AU$5:$AU$2773, 0), 0), 0), 0) ))</f>
        <v>0</v>
      </c>
      <c r="AN10">
        <f t="array" ref="AN10">IF(WEEKDAY(AN$1,2)&gt;=6, 0, SUM( IF(WBS!$J$5:$J$2773=$A10, IF(AN$1&gt;=WBS!$K$5:$K$2773, IF(AN$1&lt;=WBS!$L$5:$L$2773, IF(WBS!$AU$5:$AU$2773 &gt;0, WBS!$I$5:$I$2773 / WBS!$AU$5:$AU$2773, 0), 0), 0), 0) ))</f>
        <v>0</v>
      </c>
      <c r="AO10">
        <f t="array" ref="AO10">IF(WEEKDAY(AO$1,2)&gt;=6, 0, SUM( IF(WBS!$J$5:$J$2773=$A10, IF(AO$1&gt;=WBS!$K$5:$K$2773, IF(AO$1&lt;=WBS!$L$5:$L$2773, IF(WBS!$AU$5:$AU$2773 &gt;0, WBS!$I$5:$I$2773 / WBS!$AU$5:$AU$2773, 0), 0), 0), 0) ))</f>
        <v>0</v>
      </c>
      <c r="AP10">
        <f t="array" ref="AP10">IF(WEEKDAY(AP$1,2)&gt;=6, 0, SUM( IF(WBS!$J$5:$J$2773=$A10, IF(AP$1&gt;=WBS!$K$5:$K$2773, IF(AP$1&lt;=WBS!$L$5:$L$2773, IF(WBS!$AU$5:$AU$2773 &gt;0, WBS!$I$5:$I$2773 / WBS!$AU$5:$AU$2773, 0), 0), 0), 0) ))</f>
        <v>0</v>
      </c>
      <c r="AQ10">
        <f t="array" ref="AQ10">IF(WEEKDAY(AQ$1,2)&gt;=6, 0, SUM( IF(WBS!$J$5:$J$2773=$A10, IF(AQ$1&gt;=WBS!$K$5:$K$2773, IF(AQ$1&lt;=WBS!$L$5:$L$2773, IF(WBS!$AU$5:$AU$2773 &gt;0, WBS!$I$5:$I$2773 / WBS!$AU$5:$AU$2773, 0), 0), 0), 0) ))</f>
        <v>0</v>
      </c>
      <c r="AR10">
        <f t="array" ref="AR10">IF(WEEKDAY(AR$1,2)&gt;=6, 0, SUM( IF(WBS!$J$5:$J$2773=$A10, IF(AR$1&gt;=WBS!$K$5:$K$2773, IF(AR$1&lt;=WBS!$L$5:$L$2773, IF(WBS!$AU$5:$AU$2773 &gt;0, WBS!$I$5:$I$2773 / WBS!$AU$5:$AU$2773, 0), 0), 0), 0) ))</f>
        <v>0</v>
      </c>
      <c r="AS10">
        <f t="array" ref="AS10">IF(WEEKDAY(AS$1,2)&gt;=6, 0, SUM( IF(WBS!$J$5:$J$2773=$A10, IF(AS$1&gt;=WBS!$K$5:$K$2773, IF(AS$1&lt;=WBS!$L$5:$L$2773, IF(WBS!$AU$5:$AU$2773 &gt;0, WBS!$I$5:$I$2773 / WBS!$AU$5:$AU$2773, 0), 0), 0), 0) ))</f>
        <v>0</v>
      </c>
      <c r="AT10">
        <f t="array" ref="AT10">IF(WEEKDAY(AT$1,2)&gt;=6, 0, SUM( IF(WBS!$J$5:$J$2773=$A10, IF(AT$1&gt;=WBS!$K$5:$K$2773, IF(AT$1&lt;=WBS!$L$5:$L$2773, IF(WBS!$AU$5:$AU$2773 &gt;0, WBS!$I$5:$I$2773 / WBS!$AU$5:$AU$2773, 0), 0), 0), 0) ))</f>
        <v>0</v>
      </c>
      <c r="AU10">
        <f t="array" ref="AU10">IF(WEEKDAY(AU$1,2)&gt;=6, 0, SUM( IF(WBS!$J$5:$J$2773=$A10, IF(AU$1&gt;=WBS!$K$5:$K$2773, IF(AU$1&lt;=WBS!$L$5:$L$2773, IF(WBS!$AU$5:$AU$2773 &gt;0, WBS!$I$5:$I$2773 / WBS!$AU$5:$AU$2773, 0), 0), 0), 0) ))</f>
        <v>0</v>
      </c>
      <c r="AV10">
        <f t="array" ref="AV10">IF(WEEKDAY(AV$1,2)&gt;=6, 0, SUM( IF(WBS!$J$5:$J$2773=$A10, IF(AV$1&gt;=WBS!$K$5:$K$2773, IF(AV$1&lt;=WBS!$L$5:$L$2773, IF(WBS!$AU$5:$AU$2773 &gt;0, WBS!$I$5:$I$2773 / WBS!$AU$5:$AU$2773, 0), 0), 0), 0) ))</f>
        <v>0</v>
      </c>
      <c r="AW10">
        <f t="array" ref="AW10">IF(WEEKDAY(AW$1,2)&gt;=6, 0, SUM( IF(WBS!$J$5:$J$2773=$A10, IF(AW$1&gt;=WBS!$K$5:$K$2773, IF(AW$1&lt;=WBS!$L$5:$L$2773, IF(WBS!$AU$5:$AU$2773 &gt;0, WBS!$I$5:$I$2773 / WBS!$AU$5:$AU$2773, 0), 0), 0), 0) ))</f>
        <v>0</v>
      </c>
      <c r="AX10">
        <f t="array" ref="AX10">IF(WEEKDAY(AX$1,2)&gt;=6, 0, SUM( IF(WBS!$J$5:$J$2773=$A10, IF(AX$1&gt;=WBS!$K$5:$K$2773, IF(AX$1&lt;=WBS!$L$5:$L$2773, IF(WBS!$AU$5:$AU$2773 &gt;0, WBS!$I$5:$I$2773 / WBS!$AU$5:$AU$2773, 0), 0), 0), 0) ))</f>
        <v>0</v>
      </c>
      <c r="AY10">
        <f t="array" ref="AY10">IF(WEEKDAY(AY$1,2)&gt;=6, 0, SUM( IF(WBS!$J$5:$J$2773=$A10, IF(AY$1&gt;=WBS!$K$5:$K$2773, IF(AY$1&lt;=WBS!$L$5:$L$2773, IF(WBS!$AU$5:$AU$2773 &gt;0, WBS!$I$5:$I$2773 / WBS!$AU$5:$AU$2773, 0), 0), 0), 0) ))</f>
        <v>0</v>
      </c>
      <c r="AZ10">
        <f t="array" ref="AZ10">IF(WEEKDAY(AZ$1,2)&gt;=6, 0, SUM( IF(WBS!$J$5:$J$2773=$A10, IF(AZ$1&gt;=WBS!$K$5:$K$2773, IF(AZ$1&lt;=WBS!$L$5:$L$2773, IF(WBS!$AU$5:$AU$2773 &gt;0, WBS!$I$5:$I$2773 / WBS!$AU$5:$AU$2773, 0), 0), 0), 0) ))</f>
        <v>0</v>
      </c>
      <c r="BA10">
        <f t="array" ref="BA10">IF(WEEKDAY(BA$1,2)&gt;=6, 0, SUM( IF(WBS!$J$5:$J$2773=$A10, IF(BA$1&gt;=WBS!$K$5:$K$2773, IF(BA$1&lt;=WBS!$L$5:$L$2773, IF(WBS!$AU$5:$AU$2773 &gt;0, WBS!$I$5:$I$2773 / WBS!$AU$5:$AU$2773, 0), 0), 0), 0) ))</f>
        <v>0</v>
      </c>
      <c r="BB10">
        <f t="array" ref="BB10">IF(WEEKDAY(BB$1,2)&gt;=6, 0, SUM( IF(WBS!$J$5:$J$2773=$A10, IF(BB$1&gt;=WBS!$K$5:$K$2773, IF(BB$1&lt;=WBS!$L$5:$L$2773, IF(WBS!$AU$5:$AU$2773 &gt;0, WBS!$I$5:$I$2773 / WBS!$AU$5:$AU$2773, 0), 0), 0), 0) ))</f>
        <v>0</v>
      </c>
      <c r="BC10">
        <f t="array" ref="BC10">IF(WEEKDAY(BC$1,2)&gt;=6, 0, SUM( IF(WBS!$J$5:$J$2773=$A10, IF(BC$1&gt;=WBS!$K$5:$K$2773, IF(BC$1&lt;=WBS!$L$5:$L$2773, IF(WBS!$AU$5:$AU$2773 &gt;0, WBS!$I$5:$I$2773 / WBS!$AU$5:$AU$2773, 0), 0), 0), 0) ))</f>
        <v>0</v>
      </c>
      <c r="BD10">
        <f t="array" ref="BD10">IF(WEEKDAY(BD$1,2)&gt;=6, 0, SUM( IF(WBS!$J$5:$J$2773=$A10, IF(BD$1&gt;=WBS!$K$5:$K$2773, IF(BD$1&lt;=WBS!$L$5:$L$2773, IF(WBS!$AU$5:$AU$2773 &gt;0, WBS!$I$5:$I$2773 / WBS!$AU$5:$AU$2773, 0), 0), 0), 0) ))</f>
        <v>0</v>
      </c>
      <c r="BE10">
        <f t="array" ref="BE10">IF(WEEKDAY(BE$1,2)&gt;=6, 0, SUM( IF(WBS!$J$5:$J$2773=$A10, IF(BE$1&gt;=WBS!$K$5:$K$2773, IF(BE$1&lt;=WBS!$L$5:$L$2773, IF(WBS!$AU$5:$AU$2773 &gt;0, WBS!$I$5:$I$2773 / WBS!$AU$5:$AU$2773, 0), 0), 0), 0) ))</f>
        <v>0</v>
      </c>
      <c r="BF10">
        <f t="array" ref="BF10">IF(WEEKDAY(BF$1,2)&gt;=6, 0, SUM( IF(WBS!$J$5:$J$2773=$A10, IF(BF$1&gt;=WBS!$K$5:$K$2773, IF(BF$1&lt;=WBS!$L$5:$L$2773, IF(WBS!$AU$5:$AU$2773 &gt;0, WBS!$I$5:$I$2773 / WBS!$AU$5:$AU$2773, 0), 0), 0), 0) ))</f>
        <v>0</v>
      </c>
      <c r="BG10">
        <f t="array" ref="BG10">IF(WEEKDAY(BG$1,2)&gt;=6, 0, SUM( IF(WBS!$J$5:$J$2773=$A10, IF(BG$1&gt;=WBS!$K$5:$K$2773, IF(BG$1&lt;=WBS!$L$5:$L$2773, IF(WBS!$AU$5:$AU$2773 &gt;0, WBS!$I$5:$I$2773 / WBS!$AU$5:$AU$2773, 0), 0), 0), 0) ))</f>
        <v>0</v>
      </c>
      <c r="BH10">
        <f t="array" ref="BH10">IF(WEEKDAY(BH$1,2)&gt;=6, 0, SUM( IF(WBS!$J$5:$J$2773=$A10, IF(BH$1&gt;=WBS!$K$5:$K$2773, IF(BH$1&lt;=WBS!$L$5:$L$2773, IF(WBS!$AU$5:$AU$2773 &gt;0, WBS!$I$5:$I$2773 / WBS!$AU$5:$AU$2773, 0), 0), 0), 0) ))</f>
        <v>0</v>
      </c>
      <c r="BI10" s="42">
        <f t="array" ref="BI10">IF(WEEKDAY(BI$1,2)&gt;=6, 0, SUM( IF(WBS!$J$5:$J$2773=$A10, IF(BI$1&gt;=WBS!$K$5:$K$2773, IF(BI$1&lt;=WBS!$L$5:$L$2773, IF(WBS!$AU$5:$AU$2773 &gt;0, WBS!$I$5:$I$2773 / WBS!$AU$5:$AU$2773, 0), 0), 0), 0) ))</f>
        <v>0</v>
      </c>
      <c r="BJ10" s="42">
        <f t="array" ref="BJ10">IF(WEEKDAY(BJ$1,2)&gt;=6, 0, SUM( IF(WBS!$J$5:$J$2773=$A10, IF(BJ$1&gt;=WBS!$K$5:$K$2773, IF(BJ$1&lt;=WBS!$L$5:$L$2773, IF(WBS!$AU$5:$AU$2773 &gt;0, WBS!$I$5:$I$2773 / WBS!$AU$5:$AU$2773, 0), 0), 0), 0) ))</f>
        <v>0</v>
      </c>
      <c r="BK10">
        <f t="array" ref="BK10">IF(WEEKDAY(BK$1,2)&gt;=6, 0, SUM( IF(WBS!$J$5:$J$2773=$A10, IF(BK$1&gt;=WBS!$K$5:$K$2773, IF(BK$1&lt;=WBS!$L$5:$L$2773, IF(WBS!$AU$5:$AU$2773 &gt;0, WBS!$I$5:$I$2773 / WBS!$AU$5:$AU$2773, 0), 0), 0), 0) ))</f>
        <v>0</v>
      </c>
      <c r="BL10">
        <f t="array" ref="BL10">IF(WEEKDAY(BL$1,2)&gt;=6, 0, SUM( IF(WBS!$J$5:$J$2773=$A10, IF(BL$1&gt;=WBS!$K$5:$K$2773, IF(BL$1&lt;=WBS!$L$5:$L$2773, IF(WBS!$AU$5:$AU$2773 &gt;0, WBS!$I$5:$I$2773 / WBS!$AU$5:$AU$2773, 0), 0), 0), 0) ))</f>
        <v>0</v>
      </c>
      <c r="BM10">
        <f t="array" ref="BM10">IF(WEEKDAY(BM$1,2)&gt;=6, 0, SUM( IF(WBS!$J$5:$J$2773=$A10, IF(BM$1&gt;=WBS!$K$5:$K$2773, IF(BM$1&lt;=WBS!$L$5:$L$2773, IF(WBS!$AU$5:$AU$2773 &gt;0, WBS!$I$5:$I$2773 / WBS!$AU$5:$AU$2773, 0), 0), 0), 0) ))</f>
        <v>0</v>
      </c>
      <c r="BN10">
        <f t="array" ref="BN10">IF(WEEKDAY(BN$1,2)&gt;=6, 0, SUM( IF(WBS!$J$5:$J$2773=$A10, IF(BN$1&gt;=WBS!$K$5:$K$2773, IF(BN$1&lt;=WBS!$L$5:$L$2773, IF(WBS!$AU$5:$AU$2773 &gt;0, WBS!$I$5:$I$2773 / WBS!$AU$5:$AU$2773, 0), 0), 0), 0) ))</f>
        <v>0</v>
      </c>
      <c r="BO10">
        <f t="array" ref="BO10">IF(WEEKDAY(BO$1,2)&gt;=6, 0, SUM( IF(WBS!$J$5:$J$2773=$A10, IF(BO$1&gt;=WBS!$K$5:$K$2773, IF(BO$1&lt;=WBS!$L$5:$L$2773, IF(WBS!$AU$5:$AU$2773 &gt;0, WBS!$I$5:$I$2773 / WBS!$AU$5:$AU$2773, 0), 0), 0), 0) ))</f>
        <v>0</v>
      </c>
      <c r="BP10" s="42">
        <f t="array" ref="BP10">IF(WEEKDAY(BP$1,2)&gt;=6, 0, SUM( IF(WBS!$J$5:$J$2773=$A10, IF(BP$1&gt;=WBS!$K$5:$K$2773, IF(BP$1&lt;=WBS!$L$5:$L$2773, IF(WBS!$AU$5:$AU$2773 &gt;0, WBS!$I$5:$I$2773 / WBS!$AU$5:$AU$2773, 0), 0), 0), 0) ))</f>
        <v>0</v>
      </c>
      <c r="BQ10" s="42">
        <f t="array" ref="BQ10">IF(WEEKDAY(BQ$1,2)&gt;=6, 0, SUM( IF(WBS!$J$5:$J$2773=$A10, IF(BQ$1&gt;=WBS!$K$5:$K$2773, IF(BQ$1&lt;=WBS!$L$5:$L$2773, IF(WBS!$AU$5:$AU$2773 &gt;0, WBS!$I$5:$I$2773 / WBS!$AU$5:$AU$2773, 0), 0), 0), 0) ))</f>
        <v>0</v>
      </c>
      <c r="BR10">
        <f t="array" ref="BR10">IF(WEEKDAY(BR$1,2)&gt;=6, 0, SUM( IF(WBS!$J$5:$J$2773=$A10, IF(BR$1&gt;=WBS!$K$5:$K$2773, IF(BR$1&lt;=WBS!$L$5:$L$2773, IF(WBS!$AU$5:$AU$2773 &gt;0, WBS!$I$5:$I$2773 / WBS!$AU$5:$AU$2773, 0), 0), 0), 0) ))</f>
        <v>0</v>
      </c>
      <c r="BS10">
        <f t="array" ref="BS10">IF(WEEKDAY(BS$1,2)&gt;=6, 0, SUM( IF(WBS!$J$5:$J$2773=$A10, IF(BS$1&gt;=WBS!$K$5:$K$2773, IF(BS$1&lt;=WBS!$L$5:$L$2773, IF(WBS!$AU$5:$AU$2773 &gt;0, WBS!$I$5:$I$2773 / WBS!$AU$5:$AU$2773, 0), 0), 0), 0) ))</f>
        <v>0</v>
      </c>
      <c r="BT10">
        <f t="array" ref="BT10">IF(WEEKDAY(BT$1,2)&gt;=6, 0, SUM( IF(WBS!$J$5:$J$2773=$A10, IF(BT$1&gt;=WBS!$K$5:$K$2773, IF(BT$1&lt;=WBS!$L$5:$L$2773, IF(WBS!$AU$5:$AU$2773 &gt;0, WBS!$I$5:$I$2773 / WBS!$AU$5:$AU$2773, 0), 0), 0), 0) ))</f>
        <v>0</v>
      </c>
      <c r="BU10">
        <f t="array" ref="BU10">IF(WEEKDAY(BU$1,2)&gt;=6, 0, SUM( IF(WBS!$J$5:$J$2773=$A10, IF(BU$1&gt;=WBS!$K$5:$K$2773, IF(BU$1&lt;=WBS!$L$5:$L$2773, IF(WBS!$AU$5:$AU$2773 &gt;0, WBS!$I$5:$I$2773 / WBS!$AU$5:$AU$2773, 0), 0), 0), 0) ))</f>
        <v>0</v>
      </c>
      <c r="BV10">
        <f t="array" ref="BV10">IF(WEEKDAY(BV$1,2)&gt;=6, 0, SUM( IF(WBS!$J$5:$J$2773=$A10, IF(BV$1&gt;=WBS!$K$5:$K$2773, IF(BV$1&lt;=WBS!$L$5:$L$2773, IF(WBS!$AU$5:$AU$2773 &gt;0, WBS!$I$5:$I$2773 / WBS!$AU$5:$AU$2773, 0), 0), 0), 0) ))</f>
        <v>0</v>
      </c>
      <c r="BW10" s="42">
        <f t="array" ref="BW10">IF(WEEKDAY(BW$1,2)&gt;=6, 0, SUM( IF(WBS!$J$5:$J$2773=$A10, IF(BW$1&gt;=WBS!$K$5:$K$2773, IF(BW$1&lt;=WBS!$L$5:$L$2773, IF(WBS!$AU$5:$AU$2773 &gt;0, WBS!$I$5:$I$2773 / WBS!$AU$5:$AU$2773, 0), 0), 0), 0) ))</f>
        <v>0</v>
      </c>
      <c r="BX10" s="42">
        <f t="array" ref="BX10">IF(WEEKDAY(BX$1,2)&gt;=6, 0, SUM( IF(WBS!$J$5:$J$2773=$A10, IF(BX$1&gt;=WBS!$K$5:$K$2773, IF(BX$1&lt;=WBS!$L$5:$L$2773, IF(WBS!$AU$5:$AU$2773 &gt;0, WBS!$I$5:$I$2773 / WBS!$AU$5:$AU$2773, 0), 0), 0), 0) ))</f>
        <v>0</v>
      </c>
      <c r="BY10">
        <f t="array" ref="BY10">IF(WEEKDAY(BY$1,2)&gt;=6, 0, SUM( IF(WBS!$J$5:$J$2773=$A10, IF(BY$1&gt;=WBS!$K$5:$K$2773, IF(BY$1&lt;=WBS!$L$5:$L$2773, IF(WBS!$AU$5:$AU$2773 &gt;0, WBS!$I$5:$I$2773 / WBS!$AU$5:$AU$2773, 0), 0), 0), 0) ))</f>
        <v>0</v>
      </c>
      <c r="BZ10">
        <f t="array" ref="BZ10">IF(WEEKDAY(BZ$1,2)&gt;=6, 0, SUM( IF(WBS!$J$5:$J$2773=$A10, IF(BZ$1&gt;=WBS!$K$5:$K$2773, IF(BZ$1&lt;=WBS!$L$5:$L$2773, IF(WBS!$AU$5:$AU$2773 &gt;0, WBS!$I$5:$I$2773 / WBS!$AU$5:$AU$2773, 0), 0), 0), 0) ))</f>
        <v>0</v>
      </c>
      <c r="CA10">
        <f t="array" ref="CA10">IF(WEEKDAY(CA$1,2)&gt;=6, 0, SUM( IF(WBS!$J$5:$J$2773=$A10, IF(CA$1&gt;=WBS!$K$5:$K$2773, IF(CA$1&lt;=WBS!$L$5:$L$2773, IF(WBS!$AU$5:$AU$2773 &gt;0, WBS!$I$5:$I$2773 / WBS!$AU$5:$AU$2773, 0), 0), 0), 0) ))</f>
        <v>0</v>
      </c>
      <c r="CB10">
        <f t="array" ref="CB10">IF(WEEKDAY(CB$1,2)&gt;=6, 0, SUM( IF(WBS!$J$5:$J$2773=$A10, IF(CB$1&gt;=WBS!$K$5:$K$2773, IF(CB$1&lt;=WBS!$L$5:$L$2773, IF(WBS!$AU$5:$AU$2773 &gt;0, WBS!$I$5:$I$2773 / WBS!$AU$5:$AU$2773, 0), 0), 0), 0) ))</f>
        <v>0</v>
      </c>
      <c r="CC10">
        <f t="array" ref="CC10">IF(WEEKDAY(CC$1,2)&gt;=6, 0, SUM( IF(WBS!$J$5:$J$2773=$A10, IF(CC$1&gt;=WBS!$K$5:$K$2773, IF(CC$1&lt;=WBS!$L$5:$L$2773, IF(WBS!$AU$5:$AU$2773 &gt;0, WBS!$I$5:$I$2773 / WBS!$AU$5:$AU$2773, 0), 0), 0), 0) ))</f>
        <v>0</v>
      </c>
      <c r="CD10" s="42">
        <f t="array" ref="CD10">IF(WEEKDAY(CD$1,2)&gt;=6, 0, SUM( IF(WBS!$J$5:$J$2773=$A10, IF(CD$1&gt;=WBS!$K$5:$K$2773, IF(CD$1&lt;=WBS!$L$5:$L$2773, IF(WBS!$AU$5:$AU$2773 &gt;0, WBS!$I$5:$I$2773 / WBS!$AU$5:$AU$2773, 0), 0), 0), 0) ))</f>
        <v>0</v>
      </c>
      <c r="CE10" s="42">
        <f t="array" ref="CE10">IF(WEEKDAY(CE$1,2)&gt;=6, 0, SUM( IF(WBS!$J$5:$J$2773=$A10, IF(CE$1&gt;=WBS!$K$5:$K$2773, IF(CE$1&lt;=WBS!$L$5:$L$2773, IF(WBS!$AU$5:$AU$2773 &gt;0, WBS!$I$5:$I$2773 / WBS!$AU$5:$AU$2773, 0), 0), 0), 0) ))</f>
        <v>0</v>
      </c>
      <c r="CF10">
        <f t="array" ref="CF10">IF(WEEKDAY(CF$1,2)&gt;=6, 0, SUM( IF(WBS!$J$5:$J$2773=$A10, IF(CF$1&gt;=WBS!$K$5:$K$2773, IF(CF$1&lt;=WBS!$L$5:$L$2773, IF(WBS!$AU$5:$AU$2773 &gt;0, WBS!$I$5:$I$2773 / WBS!$AU$5:$AU$2773, 0), 0), 0), 0) ))</f>
        <v>0</v>
      </c>
      <c r="CG10">
        <f t="array" ref="CG10">IF(WEEKDAY(CG$1,2)&gt;=6, 0, SUM( IF(WBS!$J$5:$J$2773=$A10, IF(CG$1&gt;=WBS!$K$5:$K$2773, IF(CG$1&lt;=WBS!$L$5:$L$2773, IF(WBS!$AU$5:$AU$2773 &gt;0, WBS!$I$5:$I$2773 / WBS!$AU$5:$AU$2773, 0), 0), 0), 0) ))</f>
        <v>0</v>
      </c>
      <c r="CH10">
        <f t="array" ref="CH10">IF(WEEKDAY(CH$1,2)&gt;=6, 0, SUM( IF(WBS!$J$5:$J$2773=$A10, IF(CH$1&gt;=WBS!$K$5:$K$2773, IF(CH$1&lt;=WBS!$L$5:$L$2773, IF(WBS!$AU$5:$AU$2773 &gt;0, WBS!$I$5:$I$2773 / WBS!$AU$5:$AU$2773, 0), 0), 0), 0) ))</f>
        <v>0</v>
      </c>
      <c r="CI10" s="274"/>
      <c r="CK10" s="42"/>
      <c r="CL10" s="42"/>
      <c r="CR10" s="42"/>
      <c r="CS10" s="42"/>
      <c r="CY10" s="42"/>
      <c r="CZ10" s="42"/>
      <c r="DF10" s="42"/>
      <c r="DG10" s="42"/>
      <c r="DM10" s="42"/>
      <c r="DN10" s="42"/>
      <c r="DT10" s="42"/>
      <c r="DU10" s="42"/>
      <c r="EA10" s="276"/>
      <c r="EB10" s="276"/>
      <c r="EC10" s="274"/>
      <c r="ED10" s="274"/>
      <c r="EE10" s="274"/>
      <c r="EF10" s="274"/>
      <c r="EG10" s="274"/>
      <c r="EH10" s="274"/>
      <c r="EI10" s="274"/>
      <c r="EJ10" s="274"/>
      <c r="EO10" s="42"/>
      <c r="EP10" s="42"/>
      <c r="EV10" s="42"/>
      <c r="EW10" s="42"/>
      <c r="FC10" s="42"/>
      <c r="FD10" s="42"/>
      <c r="FJ10" s="42"/>
      <c r="FK10" s="42"/>
      <c r="FQ10" s="42"/>
      <c r="FR10" s="42"/>
      <c r="FX10" s="42"/>
      <c r="FY10" s="42"/>
      <c r="FZ10" s="274"/>
      <c r="GE10" s="42"/>
      <c r="GF10" s="42"/>
      <c r="GL10" s="42"/>
      <c r="GM10" s="42"/>
      <c r="GS10" s="42"/>
      <c r="GT10" s="42"/>
      <c r="GY10" s="274"/>
      <c r="GZ10" s="42"/>
      <c r="HA10" s="42"/>
      <c r="HB10" s="274"/>
      <c r="HC10" s="274"/>
      <c r="HG10" s="42"/>
      <c r="HH10" s="42"/>
      <c r="HN10" s="42"/>
      <c r="HO10" s="42"/>
      <c r="HU10" s="42"/>
      <c r="HV10" s="42"/>
      <c r="IB10" s="42"/>
      <c r="IC10" s="42"/>
      <c r="II10" s="42"/>
      <c r="IJ10" s="42"/>
      <c r="IP10" s="42"/>
      <c r="IQ10" s="42"/>
      <c r="IV10" s="274"/>
      <c r="IW10" s="42"/>
      <c r="IX10" s="42"/>
      <c r="JD10" s="42"/>
      <c r="JE10" s="42"/>
      <c r="JK10" s="42"/>
      <c r="JL10" s="42"/>
      <c r="JR10" s="42"/>
      <c r="JS10" s="42"/>
      <c r="JY10" s="42"/>
      <c r="JZ10" s="42"/>
      <c r="KF10" s="42"/>
      <c r="KG10" s="42"/>
      <c r="KM10" s="42"/>
      <c r="KN10" s="42"/>
      <c r="KT10" s="42"/>
      <c r="KU10" s="42"/>
      <c r="LA10" s="42"/>
      <c r="LB10" s="42"/>
      <c r="LH10" s="42"/>
      <c r="LI10" s="42"/>
      <c r="LO10" s="42"/>
      <c r="LP10" s="42"/>
      <c r="LV10" s="42"/>
      <c r="LW10" s="42"/>
      <c r="MC10" s="42"/>
      <c r="MD10" s="42"/>
      <c r="MJ10" s="42"/>
      <c r="MK10" s="42"/>
      <c r="MP10" s="274"/>
      <c r="MQ10" s="42"/>
      <c r="MR10" s="276"/>
      <c r="MV10" s="274"/>
      <c r="MW10" s="274"/>
      <c r="MX10" s="42"/>
      <c r="MY10" s="42"/>
      <c r="MZ10" s="274"/>
      <c r="NA10" s="274"/>
      <c r="NB10" s="274"/>
      <c r="NE10" s="276"/>
      <c r="NF10" s="42"/>
      <c r="NL10" s="42"/>
      <c r="NM10" s="42"/>
      <c r="NS10" s="42"/>
      <c r="NT10" s="42"/>
      <c r="NZ10" s="42"/>
      <c r="OA10" s="42"/>
      <c r="OG10" s="42"/>
      <c r="OH10" s="42"/>
      <c r="ON10" s="42"/>
      <c r="OO10" s="42"/>
      <c r="OU10" s="42"/>
      <c r="OV10" s="42"/>
      <c r="PB10" s="42"/>
      <c r="PC10" s="42"/>
      <c r="PI10" s="42"/>
      <c r="PJ10" s="42"/>
      <c r="PP10" s="42"/>
      <c r="PQ10" s="42"/>
      <c r="PW10" s="42"/>
      <c r="PX10" s="42"/>
      <c r="QD10" s="42"/>
      <c r="QE10" s="42"/>
    </row>
    <row r="11" spans="1:451">
      <c r="A11" t="s">
        <v>80</v>
      </c>
      <c r="B11" t="s">
        <v>84</v>
      </c>
      <c r="C11">
        <f t="array" ref="C11">IF(WEEKDAY(C$1,2)&gt;=6, 0, SUM( IF(WBS!$J$5:$J$2773=$A11, IF(C$1&gt;=WBS!$K$5:$K$2773, IF(C$1&lt;=WBS!$L$5:$L$2773, IF(WBS!$AU$5:$AU$2773 &gt;0, WBS!$I$5:$I$2773 / WBS!$AU$5:$AU$2773, 0), 0), 0), 0) ))</f>
        <v>0</v>
      </c>
      <c r="D11">
        <f t="array" ref="D11">IF(WEEKDAY(D$1,2)&gt;=6, 0, SUM( IF(WBS!$J$5:$J$2773=$A11, IF(D$1&gt;=WBS!$K$5:$K$2773, IF(D$1&lt;=WBS!$L$5:$L$2773, IF(WBS!$AU$5:$AU$2773 &gt;0, WBS!$I$5:$I$2773 / WBS!$AU$5:$AU$2773, 0), 0), 0), 0) ))</f>
        <v>0</v>
      </c>
      <c r="E11">
        <f t="array" ref="E11">IF(WEEKDAY(E$1,2)&gt;=6, 0, SUM( IF(WBS!$J$5:$J$2773=$A11, IF(E$1&gt;=WBS!$K$5:$K$2773, IF(E$1&lt;=WBS!$L$5:$L$2773, IF(WBS!$AU$5:$AU$2773 &gt;0, WBS!$I$5:$I$2773 / WBS!$AU$5:$AU$2773, 0), 0), 0), 0) ))</f>
        <v>0</v>
      </c>
      <c r="F11">
        <f t="array" ref="F11">IF(WEEKDAY(F$1,2)&gt;=6, 0, SUM( IF(WBS!$J$5:$J$2773=$A11, IF(F$1&gt;=WBS!$K$5:$K$2773, IF(F$1&lt;=WBS!$L$5:$L$2773, IF(WBS!$AU$5:$AU$2773 &gt;0, WBS!$I$5:$I$2773 / WBS!$AU$5:$AU$2773, 0), 0), 0), 0) ))</f>
        <v>0</v>
      </c>
      <c r="G11">
        <f t="array" ref="G11">IF(WEEKDAY(G$1,2)&gt;=6, 0, SUM( IF(WBS!$J$5:$J$2773=$A11, IF(G$1&gt;=WBS!$K$5:$K$2773, IF(G$1&lt;=WBS!$L$5:$L$2773, IF(WBS!$AU$5:$AU$2773 &gt;0, WBS!$I$5:$I$2773 / WBS!$AU$5:$AU$2773, 0), 0), 0), 0) ))</f>
        <v>0</v>
      </c>
      <c r="H11">
        <f t="array" ref="H11">IF(WEEKDAY(H$1,2)&gt;=6, 0, SUM( IF(WBS!$J$5:$J$2773=$A11, IF(H$1&gt;=WBS!$K$5:$K$2773, IF(H$1&lt;=WBS!$L$5:$L$2773, IF(WBS!$AU$5:$AU$2773 &gt;0, WBS!$I$5:$I$2773 / WBS!$AU$5:$AU$2773, 0), 0), 0), 0) ))</f>
        <v>0</v>
      </c>
      <c r="I11">
        <f t="array" ref="I11">IF(WEEKDAY(I$1,2)&gt;=6, 0, SUM( IF(WBS!$J$5:$J$2773=$A11, IF(I$1&gt;=WBS!$K$5:$K$2773, IF(I$1&lt;=WBS!$L$5:$L$2773, IF(WBS!$AU$5:$AU$2773 &gt;0, WBS!$I$5:$I$2773 / WBS!$AU$5:$AU$2773, 0), 0), 0), 0) ))</f>
        <v>0</v>
      </c>
      <c r="J11">
        <f t="array" ref="J11">IF(WEEKDAY(J$1,2)&gt;=6, 0, SUM( IF(WBS!$J$5:$J$2773=$A11, IF(J$1&gt;=WBS!$K$5:$K$2773, IF(J$1&lt;=WBS!$L$5:$L$2773, IF(WBS!$AU$5:$AU$2773 &gt;0, WBS!$I$5:$I$2773 / WBS!$AU$5:$AU$2773, 0), 0), 0), 0) ))</f>
        <v>0</v>
      </c>
      <c r="K11">
        <f t="array" ref="K11">IF(WEEKDAY(K$1,2)&gt;=6, 0, SUM( IF(WBS!$J$5:$J$2773=$A11, IF(K$1&gt;=WBS!$K$5:$K$2773, IF(K$1&lt;=WBS!$L$5:$L$2773, IF(WBS!$AU$5:$AU$2773 &gt;0, WBS!$I$5:$I$2773 / WBS!$AU$5:$AU$2773, 0), 0), 0), 0) ))</f>
        <v>0</v>
      </c>
      <c r="L11">
        <f t="array" ref="L11">IF(WEEKDAY(L$1,2)&gt;=6, 0, SUM( IF(WBS!$J$5:$J$2773=$A11, IF(L$1&gt;=WBS!$K$5:$K$2773, IF(L$1&lt;=WBS!$L$5:$L$2773, IF(WBS!$AU$5:$AU$2773 &gt;0, WBS!$I$5:$I$2773 / WBS!$AU$5:$AU$2773, 0), 0), 0), 0) ))</f>
        <v>0</v>
      </c>
      <c r="M11">
        <f t="array" ref="M11">IF(WEEKDAY(M$1,2)&gt;=6, 0, SUM( IF(WBS!$J$5:$J$2773=$A11, IF(M$1&gt;=WBS!$K$5:$K$2773, IF(M$1&lt;=WBS!$L$5:$L$2773, IF(WBS!$AU$5:$AU$2773 &gt;0, WBS!$I$5:$I$2773 / WBS!$AU$5:$AU$2773, 0), 0), 0), 0) ))</f>
        <v>0</v>
      </c>
      <c r="N11">
        <f t="array" ref="N11">IF(WEEKDAY(N$1,2)&gt;=6, 0, SUM( IF(WBS!$J$5:$J$2773=$A11, IF(N$1&gt;=WBS!$K$5:$K$2773, IF(N$1&lt;=WBS!$L$5:$L$2773, IF(WBS!$AU$5:$AU$2773 &gt;0, WBS!$I$5:$I$2773 / WBS!$AU$5:$AU$2773, 0), 0), 0), 0) ))</f>
        <v>0</v>
      </c>
      <c r="O11">
        <f t="array" ref="O11">IF(WEEKDAY(O$1,2)&gt;=6, 0, SUM( IF(WBS!$J$5:$J$2773=$A11, IF(O$1&gt;=WBS!$K$5:$K$2773, IF(O$1&lt;=WBS!$L$5:$L$2773, IF(WBS!$AU$5:$AU$2773 &gt;0, WBS!$I$5:$I$2773 / WBS!$AU$5:$AU$2773, 0), 0), 0), 0) ))</f>
        <v>0</v>
      </c>
      <c r="P11">
        <f t="array" ref="P11">IF(WEEKDAY(P$1,2)&gt;=6, 0, SUM( IF(WBS!$J$5:$J$2773=$A11, IF(P$1&gt;=WBS!$K$5:$K$2773, IF(P$1&lt;=WBS!$L$5:$L$2773, IF(WBS!$AU$5:$AU$2773 &gt;0, WBS!$I$5:$I$2773 / WBS!$AU$5:$AU$2773, 0), 0), 0), 0) ))</f>
        <v>0</v>
      </c>
      <c r="Q11">
        <f t="array" ref="Q11">IF(WEEKDAY(Q$1,2)&gt;=6, 0, SUM( IF(WBS!$J$5:$J$2773=$A11, IF(Q$1&gt;=WBS!$K$5:$K$2773, IF(Q$1&lt;=WBS!$L$5:$L$2773, IF(WBS!$AU$5:$AU$2773 &gt;0, WBS!$I$5:$I$2773 / WBS!$AU$5:$AU$2773, 0), 0), 0), 0) ))</f>
        <v>0</v>
      </c>
      <c r="R11">
        <f t="array" ref="R11">IF(WEEKDAY(R$1,2)&gt;=6, 0, SUM( IF(WBS!$J$5:$J$2773=$A11, IF(R$1&gt;=WBS!$K$5:$K$2773, IF(R$1&lt;=WBS!$L$5:$L$2773, IF(WBS!$AU$5:$AU$2773 &gt;0, WBS!$I$5:$I$2773 / WBS!$AU$5:$AU$2773, 0), 0), 0), 0) ))</f>
        <v>0</v>
      </c>
      <c r="S11">
        <f t="array" ref="S11">IF(WEEKDAY(S$1,2)&gt;=6, 0, SUM( IF(WBS!$J$5:$J$2773=$A11, IF(S$1&gt;=WBS!$K$5:$K$2773, IF(S$1&lt;=WBS!$L$5:$L$2773, IF(WBS!$AU$5:$AU$2773 &gt;0, WBS!$I$5:$I$2773 / WBS!$AU$5:$AU$2773, 0), 0), 0), 0) ))</f>
        <v>0</v>
      </c>
      <c r="T11">
        <f t="array" ref="T11">IF(WEEKDAY(T$1,2)&gt;=6, 0, SUM( IF(WBS!$J$5:$J$2773=$A11, IF(T$1&gt;=WBS!$K$5:$K$2773, IF(T$1&lt;=WBS!$L$5:$L$2773, IF(WBS!$AU$5:$AU$2773 &gt;0, WBS!$I$5:$I$2773 / WBS!$AU$5:$AU$2773, 0), 0), 0), 0) ))</f>
        <v>0</v>
      </c>
      <c r="U11">
        <f t="array" ref="U11">IF(WEEKDAY(U$1,2)&gt;=6, 0, SUM( IF(WBS!$J$5:$J$2773=$A11, IF(U$1&gt;=WBS!$K$5:$K$2773, IF(U$1&lt;=WBS!$L$5:$L$2773, IF(WBS!$AU$5:$AU$2773 &gt;0, WBS!$I$5:$I$2773 / WBS!$AU$5:$AU$2773, 0), 0), 0), 0) ))</f>
        <v>0</v>
      </c>
      <c r="V11">
        <f t="array" ref="V11">IF(WEEKDAY(V$1,2)&gt;=6, 0, SUM( IF(WBS!$J$5:$J$2773=$A11, IF(V$1&gt;=WBS!$K$5:$K$2773, IF(V$1&lt;=WBS!$L$5:$L$2773, IF(WBS!$AU$5:$AU$2773 &gt;0, WBS!$I$5:$I$2773 / WBS!$AU$5:$AU$2773, 0), 0), 0), 0) ))</f>
        <v>0</v>
      </c>
      <c r="W11">
        <f t="array" ref="W11">IF(WEEKDAY(W$1,2)&gt;=6, 0, SUM( IF(WBS!$J$5:$J$2773=$A11, IF(W$1&gt;=WBS!$K$5:$K$2773, IF(W$1&lt;=WBS!$L$5:$L$2773, IF(WBS!$AU$5:$AU$2773 &gt;0, WBS!$I$5:$I$2773 / WBS!$AU$5:$AU$2773, 0), 0), 0), 0) ))</f>
        <v>0</v>
      </c>
      <c r="X11">
        <f t="array" ref="X11">IF(WEEKDAY(X$1,2)&gt;=6, 0, SUM( IF(WBS!$J$5:$J$2773=$A11, IF(X$1&gt;=WBS!$K$5:$K$2773, IF(X$1&lt;=WBS!$L$5:$L$2773, IF(WBS!$AU$5:$AU$2773 &gt;0, WBS!$I$5:$I$2773 / WBS!$AU$5:$AU$2773, 0), 0), 0), 0) ))</f>
        <v>0</v>
      </c>
      <c r="Y11">
        <f t="array" ref="Y11">IF(WEEKDAY(Y$1,2)&gt;=6, 0, SUM( IF(WBS!$J$5:$J$2773=$A11, IF(Y$1&gt;=WBS!$K$5:$K$2773, IF(Y$1&lt;=WBS!$L$5:$L$2773, IF(WBS!$AU$5:$AU$2773 &gt;0, WBS!$I$5:$I$2773 / WBS!$AU$5:$AU$2773, 0), 0), 0), 0) ))</f>
        <v>0</v>
      </c>
      <c r="Z11">
        <f t="array" ref="Z11">IF(WEEKDAY(Z$1,2)&gt;=6, 0, SUM( IF(WBS!$J$5:$J$2773=$A11, IF(Z$1&gt;=WBS!$K$5:$K$2773, IF(Z$1&lt;=WBS!$L$5:$L$2773, IF(WBS!$AU$5:$AU$2773 &gt;0, WBS!$I$5:$I$2773 / WBS!$AU$5:$AU$2773, 0), 0), 0), 0) ))</f>
        <v>0</v>
      </c>
      <c r="AA11">
        <f t="array" ref="AA11">IF(WEEKDAY(AA$1,2)&gt;=6, 0, SUM( IF(WBS!$J$5:$J$2773=$A11, IF(AA$1&gt;=WBS!$K$5:$K$2773, IF(AA$1&lt;=WBS!$L$5:$L$2773, IF(WBS!$AU$5:$AU$2773 &gt;0, WBS!$I$5:$I$2773 / WBS!$AU$5:$AU$2773, 0), 0), 0), 0) ))</f>
        <v>0</v>
      </c>
      <c r="AB11">
        <f t="array" ref="AB11">IF(WEEKDAY(AB$1,2)&gt;=6, 0, SUM( IF(WBS!$J$5:$J$2773=$A11, IF(AB$1&gt;=WBS!$K$5:$K$2773, IF(AB$1&lt;=WBS!$L$5:$L$2773, IF(WBS!$AU$5:$AU$2773 &gt;0, WBS!$I$5:$I$2773 / WBS!$AU$5:$AU$2773, 0), 0), 0), 0) ))</f>
        <v>0</v>
      </c>
      <c r="AC11">
        <f t="array" ref="AC11">IF(WEEKDAY(AC$1,2)&gt;=6, 0, SUM( IF(WBS!$J$5:$J$2773=$A11, IF(AC$1&gt;=WBS!$K$5:$K$2773, IF(AC$1&lt;=WBS!$L$5:$L$2773, IF(WBS!$AU$5:$AU$2773 &gt;0, WBS!$I$5:$I$2773 / WBS!$AU$5:$AU$2773, 0), 0), 0), 0) ))</f>
        <v>0</v>
      </c>
      <c r="AD11">
        <f t="array" ref="AD11">IF(WEEKDAY(AD$1,2)&gt;=6, 0, SUM( IF(WBS!$J$5:$J$2773=$A11, IF(AD$1&gt;=WBS!$K$5:$K$2773, IF(AD$1&lt;=WBS!$L$5:$L$2773, IF(WBS!$AU$5:$AU$2773 &gt;0, WBS!$I$5:$I$2773 / WBS!$AU$5:$AU$2773, 0), 0), 0), 0) ))</f>
        <v>0</v>
      </c>
      <c r="AE11">
        <f t="array" ref="AE11">IF(WEEKDAY(AE$1,2)&gt;=6, 0, SUM( IF(WBS!$J$5:$J$2773=$A11, IF(AE$1&gt;=WBS!$K$5:$K$2773, IF(AE$1&lt;=WBS!$L$5:$L$2773, IF(WBS!$AU$5:$AU$2773 &gt;0, WBS!$I$5:$I$2773 / WBS!$AU$5:$AU$2773, 0), 0), 0), 0) ))</f>
        <v>0</v>
      </c>
      <c r="AF11">
        <f t="array" ref="AF11">IF(WEEKDAY(AF$1,2)&gt;=6, 0, SUM( IF(WBS!$J$5:$J$2773=$A11, IF(AF$1&gt;=WBS!$K$5:$K$2773, IF(AF$1&lt;=WBS!$L$5:$L$2773, IF(WBS!$AU$5:$AU$2773 &gt;0, WBS!$I$5:$I$2773 / WBS!$AU$5:$AU$2773, 0), 0), 0), 0) ))</f>
        <v>0</v>
      </c>
      <c r="AG11">
        <f t="array" ref="AG11">IF(WEEKDAY(AG$1,2)&gt;=6, 0, SUM( IF(WBS!$J$5:$J$2773=$A11, IF(AG$1&gt;=WBS!$K$5:$K$2773, IF(AG$1&lt;=WBS!$L$5:$L$2773, IF(WBS!$AU$5:$AU$2773 &gt;0, WBS!$I$5:$I$2773 / WBS!$AU$5:$AU$2773, 0), 0), 0), 0) ))</f>
        <v>0</v>
      </c>
      <c r="AH11">
        <f t="array" ref="AH11">IF(WEEKDAY(AH$1,2)&gt;=6, 0, SUM( IF(WBS!$J$5:$J$2773=$A11, IF(AH$1&gt;=WBS!$K$5:$K$2773, IF(AH$1&lt;=WBS!$L$5:$L$2773, IF(WBS!$AU$5:$AU$2773 &gt;0, WBS!$I$5:$I$2773 / WBS!$AU$5:$AU$2773, 0), 0), 0), 0) ))</f>
        <v>0</v>
      </c>
      <c r="AI11">
        <f t="array" ref="AI11">IF(WEEKDAY(AI$1,2)&gt;=6, 0, SUM( IF(WBS!$J$5:$J$2773=$A11, IF(AI$1&gt;=WBS!$K$5:$K$2773, IF(AI$1&lt;=WBS!$L$5:$L$2773, IF(WBS!$AU$5:$AU$2773 &gt;0, WBS!$I$5:$I$2773 / WBS!$AU$5:$AU$2773, 0), 0), 0), 0) ))</f>
        <v>0</v>
      </c>
      <c r="AJ11">
        <f t="array" ref="AJ11">IF(WEEKDAY(AJ$1,2)&gt;=6, 0, SUM( IF(WBS!$J$5:$J$2773=$A11, IF(AJ$1&gt;=WBS!$K$5:$K$2773, IF(AJ$1&lt;=WBS!$L$5:$L$2773, IF(WBS!$AU$5:$AU$2773 &gt;0, WBS!$I$5:$I$2773 / WBS!$AU$5:$AU$2773, 0), 0), 0), 0) ))</f>
        <v>0</v>
      </c>
      <c r="AK11">
        <f t="array" ref="AK11">IF(WEEKDAY(AK$1,2)&gt;=6, 0, SUM( IF(WBS!$J$5:$J$2773=$A11, IF(AK$1&gt;=WBS!$K$5:$K$2773, IF(AK$1&lt;=WBS!$L$5:$L$2773, IF(WBS!$AU$5:$AU$2773 &gt;0, WBS!$I$5:$I$2773 / WBS!$AU$5:$AU$2773, 0), 0), 0), 0) ))</f>
        <v>0</v>
      </c>
      <c r="AL11">
        <f t="array" ref="AL11">IF(WEEKDAY(AL$1,2)&gt;=6, 0, SUM( IF(WBS!$J$5:$J$2773=$A11, IF(AL$1&gt;=WBS!$K$5:$K$2773, IF(AL$1&lt;=WBS!$L$5:$L$2773, IF(WBS!$AU$5:$AU$2773 &gt;0, WBS!$I$5:$I$2773 / WBS!$AU$5:$AU$2773, 0), 0), 0), 0) ))</f>
        <v>0</v>
      </c>
      <c r="AM11">
        <f t="array" ref="AM11">IF(WEEKDAY(AM$1,2)&gt;=6, 0, SUM( IF(WBS!$J$5:$J$2773=$A11, IF(AM$1&gt;=WBS!$K$5:$K$2773, IF(AM$1&lt;=WBS!$L$5:$L$2773, IF(WBS!$AU$5:$AU$2773 &gt;0, WBS!$I$5:$I$2773 / WBS!$AU$5:$AU$2773, 0), 0), 0), 0) ))</f>
        <v>0</v>
      </c>
      <c r="AN11">
        <f t="array" ref="AN11">IF(WEEKDAY(AN$1,2)&gt;=6, 0, SUM( IF(WBS!$J$5:$J$2773=$A11, IF(AN$1&gt;=WBS!$K$5:$K$2773, IF(AN$1&lt;=WBS!$L$5:$L$2773, IF(WBS!$AU$5:$AU$2773 &gt;0, WBS!$I$5:$I$2773 / WBS!$AU$5:$AU$2773, 0), 0), 0), 0) ))</f>
        <v>0</v>
      </c>
      <c r="AO11">
        <f t="array" ref="AO11">IF(WEEKDAY(AO$1,2)&gt;=6, 0, SUM( IF(WBS!$J$5:$J$2773=$A11, IF(AO$1&gt;=WBS!$K$5:$K$2773, IF(AO$1&lt;=WBS!$L$5:$L$2773, IF(WBS!$AU$5:$AU$2773 &gt;0, WBS!$I$5:$I$2773 / WBS!$AU$5:$AU$2773, 0), 0), 0), 0) ))</f>
        <v>0</v>
      </c>
      <c r="AP11">
        <f t="array" ref="AP11">IF(WEEKDAY(AP$1,2)&gt;=6, 0, SUM( IF(WBS!$J$5:$J$2773=$A11, IF(AP$1&gt;=WBS!$K$5:$K$2773, IF(AP$1&lt;=WBS!$L$5:$L$2773, IF(WBS!$AU$5:$AU$2773 &gt;0, WBS!$I$5:$I$2773 / WBS!$AU$5:$AU$2773, 0), 0), 0), 0) ))</f>
        <v>0</v>
      </c>
      <c r="AQ11">
        <f t="array" ref="AQ11">IF(WEEKDAY(AQ$1,2)&gt;=6, 0, SUM( IF(WBS!$J$5:$J$2773=$A11, IF(AQ$1&gt;=WBS!$K$5:$K$2773, IF(AQ$1&lt;=WBS!$L$5:$L$2773, IF(WBS!$AU$5:$AU$2773 &gt;0, WBS!$I$5:$I$2773 / WBS!$AU$5:$AU$2773, 0), 0), 0), 0) ))</f>
        <v>0</v>
      </c>
      <c r="AR11">
        <f t="array" ref="AR11">IF(WEEKDAY(AR$1,2)&gt;=6, 0, SUM( IF(WBS!$J$5:$J$2773=$A11, IF(AR$1&gt;=WBS!$K$5:$K$2773, IF(AR$1&lt;=WBS!$L$5:$L$2773, IF(WBS!$AU$5:$AU$2773 &gt;0, WBS!$I$5:$I$2773 / WBS!$AU$5:$AU$2773, 0), 0), 0), 0) ))</f>
        <v>0</v>
      </c>
      <c r="AS11">
        <f t="array" ref="AS11">IF(WEEKDAY(AS$1,2)&gt;=6, 0, SUM( IF(WBS!$J$5:$J$2773=$A11, IF(AS$1&gt;=WBS!$K$5:$K$2773, IF(AS$1&lt;=WBS!$L$5:$L$2773, IF(WBS!$AU$5:$AU$2773 &gt;0, WBS!$I$5:$I$2773 / WBS!$AU$5:$AU$2773, 0), 0), 0), 0) ))</f>
        <v>0</v>
      </c>
      <c r="AT11">
        <f t="array" ref="AT11">IF(WEEKDAY(AT$1,2)&gt;=6, 0, SUM( IF(WBS!$J$5:$J$2773=$A11, IF(AT$1&gt;=WBS!$K$5:$K$2773, IF(AT$1&lt;=WBS!$L$5:$L$2773, IF(WBS!$AU$5:$AU$2773 &gt;0, WBS!$I$5:$I$2773 / WBS!$AU$5:$AU$2773, 0), 0), 0), 0) ))</f>
        <v>0</v>
      </c>
      <c r="AU11">
        <f t="array" ref="AU11">IF(WEEKDAY(AU$1,2)&gt;=6, 0, SUM( IF(WBS!$J$5:$J$2773=$A11, IF(AU$1&gt;=WBS!$K$5:$K$2773, IF(AU$1&lt;=WBS!$L$5:$L$2773, IF(WBS!$AU$5:$AU$2773 &gt;0, WBS!$I$5:$I$2773 / WBS!$AU$5:$AU$2773, 0), 0), 0), 0) ))</f>
        <v>0</v>
      </c>
      <c r="AV11">
        <f t="array" ref="AV11">IF(WEEKDAY(AV$1,2)&gt;=6, 0, SUM( IF(WBS!$J$5:$J$2773=$A11, IF(AV$1&gt;=WBS!$K$5:$K$2773, IF(AV$1&lt;=WBS!$L$5:$L$2773, IF(WBS!$AU$5:$AU$2773 &gt;0, WBS!$I$5:$I$2773 / WBS!$AU$5:$AU$2773, 0), 0), 0), 0) ))</f>
        <v>0</v>
      </c>
      <c r="AW11">
        <f t="array" ref="AW11">IF(WEEKDAY(AW$1,2)&gt;=6, 0, SUM( IF(WBS!$J$5:$J$2773=$A11, IF(AW$1&gt;=WBS!$K$5:$K$2773, IF(AW$1&lt;=WBS!$L$5:$L$2773, IF(WBS!$AU$5:$AU$2773 &gt;0, WBS!$I$5:$I$2773 / WBS!$AU$5:$AU$2773, 0), 0), 0), 0) ))</f>
        <v>0</v>
      </c>
      <c r="AX11">
        <f t="array" ref="AX11">IF(WEEKDAY(AX$1,2)&gt;=6, 0, SUM( IF(WBS!$J$5:$J$2773=$A11, IF(AX$1&gt;=WBS!$K$5:$K$2773, IF(AX$1&lt;=WBS!$L$5:$L$2773, IF(WBS!$AU$5:$AU$2773 &gt;0, WBS!$I$5:$I$2773 / WBS!$AU$5:$AU$2773, 0), 0), 0), 0) ))</f>
        <v>0</v>
      </c>
      <c r="AY11">
        <f t="array" ref="AY11">IF(WEEKDAY(AY$1,2)&gt;=6, 0, SUM( IF(WBS!$J$5:$J$2773=$A11, IF(AY$1&gt;=WBS!$K$5:$K$2773, IF(AY$1&lt;=WBS!$L$5:$L$2773, IF(WBS!$AU$5:$AU$2773 &gt;0, WBS!$I$5:$I$2773 / WBS!$AU$5:$AU$2773, 0), 0), 0), 0) ))</f>
        <v>0</v>
      </c>
      <c r="AZ11">
        <f t="array" ref="AZ11">IF(WEEKDAY(AZ$1,2)&gt;=6, 0, SUM( IF(WBS!$J$5:$J$2773=$A11, IF(AZ$1&gt;=WBS!$K$5:$K$2773, IF(AZ$1&lt;=WBS!$L$5:$L$2773, IF(WBS!$AU$5:$AU$2773 &gt;0, WBS!$I$5:$I$2773 / WBS!$AU$5:$AU$2773, 0), 0), 0), 0) ))</f>
        <v>0</v>
      </c>
      <c r="BA11">
        <f t="array" ref="BA11">IF(WEEKDAY(BA$1,2)&gt;=6, 0, SUM( IF(WBS!$J$5:$J$2773=$A11, IF(BA$1&gt;=WBS!$K$5:$K$2773, IF(BA$1&lt;=WBS!$L$5:$L$2773, IF(WBS!$AU$5:$AU$2773 &gt;0, WBS!$I$5:$I$2773 / WBS!$AU$5:$AU$2773, 0), 0), 0), 0) ))</f>
        <v>0</v>
      </c>
      <c r="BB11">
        <f t="array" ref="BB11">IF(WEEKDAY(BB$1,2)&gt;=6, 0, SUM( IF(WBS!$J$5:$J$2773=$A11, IF(BB$1&gt;=WBS!$K$5:$K$2773, IF(BB$1&lt;=WBS!$L$5:$L$2773, IF(WBS!$AU$5:$AU$2773 &gt;0, WBS!$I$5:$I$2773 / WBS!$AU$5:$AU$2773, 0), 0), 0), 0) ))</f>
        <v>0</v>
      </c>
      <c r="BC11">
        <f t="array" ref="BC11">IF(WEEKDAY(BC$1,2)&gt;=6, 0, SUM( IF(WBS!$J$5:$J$2773=$A11, IF(BC$1&gt;=WBS!$K$5:$K$2773, IF(BC$1&lt;=WBS!$L$5:$L$2773, IF(WBS!$AU$5:$AU$2773 &gt;0, WBS!$I$5:$I$2773 / WBS!$AU$5:$AU$2773, 0), 0), 0), 0) ))</f>
        <v>0</v>
      </c>
      <c r="BD11">
        <f t="array" ref="BD11">IF(WEEKDAY(BD$1,2)&gt;=6, 0, SUM( IF(WBS!$J$5:$J$2773=$A11, IF(BD$1&gt;=WBS!$K$5:$K$2773, IF(BD$1&lt;=WBS!$L$5:$L$2773, IF(WBS!$AU$5:$AU$2773 &gt;0, WBS!$I$5:$I$2773 / WBS!$AU$5:$AU$2773, 0), 0), 0), 0) ))</f>
        <v>0</v>
      </c>
      <c r="BE11">
        <f t="array" ref="BE11">IF(WEEKDAY(BE$1,2)&gt;=6, 0, SUM( IF(WBS!$J$5:$J$2773=$A11, IF(BE$1&gt;=WBS!$K$5:$K$2773, IF(BE$1&lt;=WBS!$L$5:$L$2773, IF(WBS!$AU$5:$AU$2773 &gt;0, WBS!$I$5:$I$2773 / WBS!$AU$5:$AU$2773, 0), 0), 0), 0) ))</f>
        <v>0</v>
      </c>
      <c r="BF11">
        <f t="array" ref="BF11">IF(WEEKDAY(BF$1,2)&gt;=6, 0, SUM( IF(WBS!$J$5:$J$2773=$A11, IF(BF$1&gt;=WBS!$K$5:$K$2773, IF(BF$1&lt;=WBS!$L$5:$L$2773, IF(WBS!$AU$5:$AU$2773 &gt;0, WBS!$I$5:$I$2773 / WBS!$AU$5:$AU$2773, 0), 0), 0), 0) ))</f>
        <v>0</v>
      </c>
      <c r="BG11">
        <f t="array" ref="BG11">IF(WEEKDAY(BG$1,2)&gt;=6, 0, SUM( IF(WBS!$J$5:$J$2773=$A11, IF(BG$1&gt;=WBS!$K$5:$K$2773, IF(BG$1&lt;=WBS!$L$5:$L$2773, IF(WBS!$AU$5:$AU$2773 &gt;0, WBS!$I$5:$I$2773 / WBS!$AU$5:$AU$2773, 0), 0), 0), 0) ))</f>
        <v>0</v>
      </c>
      <c r="BH11">
        <f t="array" ref="BH11">IF(WEEKDAY(BH$1,2)&gt;=6, 0, SUM( IF(WBS!$J$5:$J$2773=$A11, IF(BH$1&gt;=WBS!$K$5:$K$2773, IF(BH$1&lt;=WBS!$L$5:$L$2773, IF(WBS!$AU$5:$AU$2773 &gt;0, WBS!$I$5:$I$2773 / WBS!$AU$5:$AU$2773, 0), 0), 0), 0) ))</f>
        <v>0</v>
      </c>
      <c r="BI11" s="42">
        <f t="array" ref="BI11">IF(WEEKDAY(BI$1,2)&gt;=6, 0, SUM( IF(WBS!$J$5:$J$2773=$A11, IF(BI$1&gt;=WBS!$K$5:$K$2773, IF(BI$1&lt;=WBS!$L$5:$L$2773, IF(WBS!$AU$5:$AU$2773 &gt;0, WBS!$I$5:$I$2773 / WBS!$AU$5:$AU$2773, 0), 0), 0), 0) ))</f>
        <v>0</v>
      </c>
      <c r="BJ11" s="42">
        <f t="array" ref="BJ11">IF(WEEKDAY(BJ$1,2)&gt;=6, 0, SUM( IF(WBS!$J$5:$J$2773=$A11, IF(BJ$1&gt;=WBS!$K$5:$K$2773, IF(BJ$1&lt;=WBS!$L$5:$L$2773, IF(WBS!$AU$5:$AU$2773 &gt;0, WBS!$I$5:$I$2773 / WBS!$AU$5:$AU$2773, 0), 0), 0), 0) ))</f>
        <v>0</v>
      </c>
      <c r="BK11">
        <f t="array" ref="BK11">IF(WEEKDAY(BK$1,2)&gt;=6, 0, SUM( IF(WBS!$J$5:$J$2773=$A11, IF(BK$1&gt;=WBS!$K$5:$K$2773, IF(BK$1&lt;=WBS!$L$5:$L$2773, IF(WBS!$AU$5:$AU$2773 &gt;0, WBS!$I$5:$I$2773 / WBS!$AU$5:$AU$2773, 0), 0), 0), 0) ))</f>
        <v>0</v>
      </c>
      <c r="BL11">
        <f t="array" ref="BL11">IF(WEEKDAY(BL$1,2)&gt;=6, 0, SUM( IF(WBS!$J$5:$J$2773=$A11, IF(BL$1&gt;=WBS!$K$5:$K$2773, IF(BL$1&lt;=WBS!$L$5:$L$2773, IF(WBS!$AU$5:$AU$2773 &gt;0, WBS!$I$5:$I$2773 / WBS!$AU$5:$AU$2773, 0), 0), 0), 0) ))</f>
        <v>0</v>
      </c>
      <c r="BM11">
        <f t="array" ref="BM11">IF(WEEKDAY(BM$1,2)&gt;=6, 0, SUM( IF(WBS!$J$5:$J$2773=$A11, IF(BM$1&gt;=WBS!$K$5:$K$2773, IF(BM$1&lt;=WBS!$L$5:$L$2773, IF(WBS!$AU$5:$AU$2773 &gt;0, WBS!$I$5:$I$2773 / WBS!$AU$5:$AU$2773, 0), 0), 0), 0) ))</f>
        <v>0</v>
      </c>
      <c r="BN11">
        <f t="array" ref="BN11">IF(WEEKDAY(BN$1,2)&gt;=6, 0, SUM( IF(WBS!$J$5:$J$2773=$A11, IF(BN$1&gt;=WBS!$K$5:$K$2773, IF(BN$1&lt;=WBS!$L$5:$L$2773, IF(WBS!$AU$5:$AU$2773 &gt;0, WBS!$I$5:$I$2773 / WBS!$AU$5:$AU$2773, 0), 0), 0), 0) ))</f>
        <v>0</v>
      </c>
      <c r="BO11">
        <f t="array" ref="BO11">IF(WEEKDAY(BO$1,2)&gt;=6, 0, SUM( IF(WBS!$J$5:$J$2773=$A11, IF(BO$1&gt;=WBS!$K$5:$K$2773, IF(BO$1&lt;=WBS!$L$5:$L$2773, IF(WBS!$AU$5:$AU$2773 &gt;0, WBS!$I$5:$I$2773 / WBS!$AU$5:$AU$2773, 0), 0), 0), 0) ))</f>
        <v>0</v>
      </c>
      <c r="BP11" s="42">
        <f t="array" ref="BP11">IF(WEEKDAY(BP$1,2)&gt;=6, 0, SUM( IF(WBS!$J$5:$J$2773=$A11, IF(BP$1&gt;=WBS!$K$5:$K$2773, IF(BP$1&lt;=WBS!$L$5:$L$2773, IF(WBS!$AU$5:$AU$2773 &gt;0, WBS!$I$5:$I$2773 / WBS!$AU$5:$AU$2773, 0), 0), 0), 0) ))</f>
        <v>0</v>
      </c>
      <c r="BQ11" s="42">
        <f t="array" ref="BQ11">IF(WEEKDAY(BQ$1,2)&gt;=6, 0, SUM( IF(WBS!$J$5:$J$2773=$A11, IF(BQ$1&gt;=WBS!$K$5:$K$2773, IF(BQ$1&lt;=WBS!$L$5:$L$2773, IF(WBS!$AU$5:$AU$2773 &gt;0, WBS!$I$5:$I$2773 / WBS!$AU$5:$AU$2773, 0), 0), 0), 0) ))</f>
        <v>0</v>
      </c>
      <c r="BR11">
        <f t="array" ref="BR11">IF(WEEKDAY(BR$1,2)&gt;=6, 0, SUM( IF(WBS!$J$5:$J$2773=$A11, IF(BR$1&gt;=WBS!$K$5:$K$2773, IF(BR$1&lt;=WBS!$L$5:$L$2773, IF(WBS!$AU$5:$AU$2773 &gt;0, WBS!$I$5:$I$2773 / WBS!$AU$5:$AU$2773, 0), 0), 0), 0) ))</f>
        <v>0</v>
      </c>
      <c r="BS11">
        <f t="array" ref="BS11">IF(WEEKDAY(BS$1,2)&gt;=6, 0, SUM( IF(WBS!$J$5:$J$2773=$A11, IF(BS$1&gt;=WBS!$K$5:$K$2773, IF(BS$1&lt;=WBS!$L$5:$L$2773, IF(WBS!$AU$5:$AU$2773 &gt;0, WBS!$I$5:$I$2773 / WBS!$AU$5:$AU$2773, 0), 0), 0), 0) ))</f>
        <v>0</v>
      </c>
      <c r="BT11">
        <f t="array" ref="BT11">IF(WEEKDAY(BT$1,2)&gt;=6, 0, SUM( IF(WBS!$J$5:$J$2773=$A11, IF(BT$1&gt;=WBS!$K$5:$K$2773, IF(BT$1&lt;=WBS!$L$5:$L$2773, IF(WBS!$AU$5:$AU$2773 &gt;0, WBS!$I$5:$I$2773 / WBS!$AU$5:$AU$2773, 0), 0), 0), 0) ))</f>
        <v>0</v>
      </c>
      <c r="BU11">
        <f t="array" ref="BU11">IF(WEEKDAY(BU$1,2)&gt;=6, 0, SUM( IF(WBS!$J$5:$J$2773=$A11, IF(BU$1&gt;=WBS!$K$5:$K$2773, IF(BU$1&lt;=WBS!$L$5:$L$2773, IF(WBS!$AU$5:$AU$2773 &gt;0, WBS!$I$5:$I$2773 / WBS!$AU$5:$AU$2773, 0), 0), 0), 0) ))</f>
        <v>0</v>
      </c>
      <c r="BV11">
        <f t="array" ref="BV11">IF(WEEKDAY(BV$1,2)&gt;=6, 0, SUM( IF(WBS!$J$5:$J$2773=$A11, IF(BV$1&gt;=WBS!$K$5:$K$2773, IF(BV$1&lt;=WBS!$L$5:$L$2773, IF(WBS!$AU$5:$AU$2773 &gt;0, WBS!$I$5:$I$2773 / WBS!$AU$5:$AU$2773, 0), 0), 0), 0) ))</f>
        <v>0</v>
      </c>
      <c r="BW11" s="42">
        <f t="array" ref="BW11">IF(WEEKDAY(BW$1,2)&gt;=6, 0, SUM( IF(WBS!$J$5:$J$2773=$A11, IF(BW$1&gt;=WBS!$K$5:$K$2773, IF(BW$1&lt;=WBS!$L$5:$L$2773, IF(WBS!$AU$5:$AU$2773 &gt;0, WBS!$I$5:$I$2773 / WBS!$AU$5:$AU$2773, 0), 0), 0), 0) ))</f>
        <v>0</v>
      </c>
      <c r="BX11" s="42">
        <f t="array" ref="BX11">IF(WEEKDAY(BX$1,2)&gt;=6, 0, SUM( IF(WBS!$J$5:$J$2773=$A11, IF(BX$1&gt;=WBS!$K$5:$K$2773, IF(BX$1&lt;=WBS!$L$5:$L$2773, IF(WBS!$AU$5:$AU$2773 &gt;0, WBS!$I$5:$I$2773 / WBS!$AU$5:$AU$2773, 0), 0), 0), 0) ))</f>
        <v>0</v>
      </c>
      <c r="BY11">
        <f t="array" ref="BY11">IF(WEEKDAY(BY$1,2)&gt;=6, 0, SUM( IF(WBS!$J$5:$J$2773=$A11, IF(BY$1&gt;=WBS!$K$5:$K$2773, IF(BY$1&lt;=WBS!$L$5:$L$2773, IF(WBS!$AU$5:$AU$2773 &gt;0, WBS!$I$5:$I$2773 / WBS!$AU$5:$AU$2773, 0), 0), 0), 0) ))</f>
        <v>0</v>
      </c>
      <c r="BZ11">
        <f t="array" ref="BZ11">IF(WEEKDAY(BZ$1,2)&gt;=6, 0, SUM( IF(WBS!$J$5:$J$2773=$A11, IF(BZ$1&gt;=WBS!$K$5:$K$2773, IF(BZ$1&lt;=WBS!$L$5:$L$2773, IF(WBS!$AU$5:$AU$2773 &gt;0, WBS!$I$5:$I$2773 / WBS!$AU$5:$AU$2773, 0), 0), 0), 0) ))</f>
        <v>0</v>
      </c>
      <c r="CA11">
        <f t="array" ref="CA11">IF(WEEKDAY(CA$1,2)&gt;=6, 0, SUM( IF(WBS!$J$5:$J$2773=$A11, IF(CA$1&gt;=WBS!$K$5:$K$2773, IF(CA$1&lt;=WBS!$L$5:$L$2773, IF(WBS!$AU$5:$AU$2773 &gt;0, WBS!$I$5:$I$2773 / WBS!$AU$5:$AU$2773, 0), 0), 0), 0) ))</f>
        <v>0</v>
      </c>
      <c r="CB11">
        <f t="array" ref="CB11">IF(WEEKDAY(CB$1,2)&gt;=6, 0, SUM( IF(WBS!$J$5:$J$2773=$A11, IF(CB$1&gt;=WBS!$K$5:$K$2773, IF(CB$1&lt;=WBS!$L$5:$L$2773, IF(WBS!$AU$5:$AU$2773 &gt;0, WBS!$I$5:$I$2773 / WBS!$AU$5:$AU$2773, 0), 0), 0), 0) ))</f>
        <v>0</v>
      </c>
      <c r="CC11">
        <f t="array" ref="CC11">IF(WEEKDAY(CC$1,2)&gt;=6, 0, SUM( IF(WBS!$J$5:$J$2773=$A11, IF(CC$1&gt;=WBS!$K$5:$K$2773, IF(CC$1&lt;=WBS!$L$5:$L$2773, IF(WBS!$AU$5:$AU$2773 &gt;0, WBS!$I$5:$I$2773 / WBS!$AU$5:$AU$2773, 0), 0), 0), 0) ))</f>
        <v>0</v>
      </c>
      <c r="CD11" s="42">
        <f t="array" ref="CD11">IF(WEEKDAY(CD$1,2)&gt;=6, 0, SUM( IF(WBS!$J$5:$J$2773=$A11, IF(CD$1&gt;=WBS!$K$5:$K$2773, IF(CD$1&lt;=WBS!$L$5:$L$2773, IF(WBS!$AU$5:$AU$2773 &gt;0, WBS!$I$5:$I$2773 / WBS!$AU$5:$AU$2773, 0), 0), 0), 0) ))</f>
        <v>0</v>
      </c>
      <c r="CE11" s="42">
        <f t="array" ref="CE11">IF(WEEKDAY(CE$1,2)&gt;=6, 0, SUM( IF(WBS!$J$5:$J$2773=$A11, IF(CE$1&gt;=WBS!$K$5:$K$2773, IF(CE$1&lt;=WBS!$L$5:$L$2773, IF(WBS!$AU$5:$AU$2773 &gt;0, WBS!$I$5:$I$2773 / WBS!$AU$5:$AU$2773, 0), 0), 0), 0) ))</f>
        <v>0</v>
      </c>
      <c r="CF11">
        <f t="array" ref="CF11">IF(WEEKDAY(CF$1,2)&gt;=6, 0, SUM( IF(WBS!$J$5:$J$2773=$A11, IF(CF$1&gt;=WBS!$K$5:$K$2773, IF(CF$1&lt;=WBS!$L$5:$L$2773, IF(WBS!$AU$5:$AU$2773 &gt;0, WBS!$I$5:$I$2773 / WBS!$AU$5:$AU$2773, 0), 0), 0), 0) ))</f>
        <v>0</v>
      </c>
      <c r="CG11">
        <f t="array" ref="CG11">IF(WEEKDAY(CG$1,2)&gt;=6, 0, SUM( IF(WBS!$J$5:$J$2773=$A11, IF(CG$1&gt;=WBS!$K$5:$K$2773, IF(CG$1&lt;=WBS!$L$5:$L$2773, IF(WBS!$AU$5:$AU$2773 &gt;0, WBS!$I$5:$I$2773 / WBS!$AU$5:$AU$2773, 0), 0), 0), 0) ))</f>
        <v>0</v>
      </c>
      <c r="CH11">
        <f t="array" ref="CH11">IF(WEEKDAY(CH$1,2)&gt;=6, 0, SUM( IF(WBS!$J$5:$J$2773=$A11, IF(CH$1&gt;=WBS!$K$5:$K$2773, IF(CH$1&lt;=WBS!$L$5:$L$2773, IF(WBS!$AU$5:$AU$2773 &gt;0, WBS!$I$5:$I$2773 / WBS!$AU$5:$AU$2773, 0), 0), 0), 0) ))</f>
        <v>0</v>
      </c>
      <c r="CI11" s="274"/>
      <c r="CK11" s="42"/>
      <c r="CL11" s="42"/>
      <c r="CR11" s="42"/>
      <c r="CS11" s="42"/>
      <c r="CY11" s="42"/>
      <c r="CZ11" s="42"/>
      <c r="DF11" s="42"/>
      <c r="DG11" s="42"/>
      <c r="DM11" s="42"/>
      <c r="DN11" s="42"/>
      <c r="DT11" s="42"/>
      <c r="DU11" s="42"/>
      <c r="EA11" s="276"/>
      <c r="EB11" s="276"/>
      <c r="EC11" s="274"/>
      <c r="ED11" s="274"/>
      <c r="EE11" s="274"/>
      <c r="EF11" s="274"/>
      <c r="EG11" s="274"/>
      <c r="EH11" s="274"/>
      <c r="EI11" s="274"/>
      <c r="EJ11" s="274"/>
      <c r="EO11" s="42"/>
      <c r="EP11" s="42"/>
      <c r="EV11" s="42"/>
      <c r="EW11" s="42"/>
      <c r="FC11" s="42"/>
      <c r="FD11" s="42"/>
      <c r="FJ11" s="42"/>
      <c r="FK11" s="42"/>
      <c r="FQ11" s="42"/>
      <c r="FR11" s="42"/>
      <c r="FX11" s="42"/>
      <c r="FY11" s="42"/>
      <c r="FZ11" s="274"/>
      <c r="GE11" s="42"/>
      <c r="GF11" s="42"/>
      <c r="GL11" s="42"/>
      <c r="GM11" s="42"/>
      <c r="GS11" s="42"/>
      <c r="GT11" s="42"/>
      <c r="GY11" s="274"/>
      <c r="GZ11" s="42"/>
      <c r="HA11" s="42"/>
      <c r="HB11" s="274"/>
      <c r="HC11" s="274"/>
      <c r="HG11" s="42"/>
      <c r="HH11" s="42"/>
      <c r="HN11" s="42"/>
      <c r="HO11" s="42"/>
      <c r="HU11" s="42"/>
      <c r="HV11" s="42"/>
      <c r="IB11" s="42"/>
      <c r="IC11" s="42"/>
      <c r="II11" s="42"/>
      <c r="IJ11" s="42"/>
      <c r="IP11" s="42"/>
      <c r="IQ11" s="42"/>
      <c r="IV11" s="274"/>
      <c r="IW11" s="42"/>
      <c r="IX11" s="42"/>
      <c r="JD11" s="42"/>
      <c r="JE11" s="42"/>
      <c r="JK11" s="42"/>
      <c r="JL11" s="42"/>
      <c r="JR11" s="42"/>
      <c r="JS11" s="42"/>
      <c r="JY11" s="42"/>
      <c r="JZ11" s="42"/>
      <c r="KF11" s="42"/>
      <c r="KG11" s="42"/>
      <c r="KM11" s="42"/>
      <c r="KN11" s="42"/>
      <c r="KT11" s="42"/>
      <c r="KU11" s="42"/>
      <c r="LA11" s="42"/>
      <c r="LB11" s="42"/>
      <c r="LH11" s="42"/>
      <c r="LI11" s="42"/>
      <c r="LO11" s="42"/>
      <c r="LP11" s="42"/>
      <c r="LV11" s="42"/>
      <c r="LW11" s="42"/>
      <c r="MC11" s="42"/>
      <c r="MD11" s="42"/>
      <c r="MJ11" s="42"/>
      <c r="MK11" s="42"/>
      <c r="MP11" s="274"/>
      <c r="MQ11" s="42"/>
      <c r="MR11" s="276"/>
      <c r="MV11" s="274"/>
      <c r="MW11" s="274"/>
      <c r="MX11" s="42"/>
      <c r="MY11" s="42"/>
      <c r="MZ11" s="274"/>
      <c r="NA11" s="274"/>
      <c r="NB11" s="274"/>
      <c r="NE11" s="276"/>
      <c r="NF11" s="42"/>
      <c r="NL11" s="42"/>
      <c r="NM11" s="42"/>
      <c r="NS11" s="42"/>
      <c r="NT11" s="42"/>
      <c r="NZ11" s="42"/>
      <c r="OA11" s="42"/>
      <c r="OG11" s="42"/>
      <c r="OH11" s="42"/>
      <c r="ON11" s="42"/>
      <c r="OO11" s="42"/>
      <c r="OU11" s="42"/>
      <c r="OV11" s="42"/>
      <c r="PB11" s="42"/>
      <c r="PC11" s="42"/>
      <c r="PI11" s="42"/>
      <c r="PJ11" s="42"/>
      <c r="PP11" s="42"/>
      <c r="PQ11" s="42"/>
      <c r="PW11" s="42"/>
      <c r="PX11" s="42"/>
      <c r="QD11" s="42"/>
      <c r="QE11" s="42"/>
    </row>
    <row r="12" spans="1:451" s="44" customFormat="1">
      <c r="A12" s="44" t="s">
        <v>82</v>
      </c>
      <c r="B12" s="44" t="s">
        <v>81</v>
      </c>
      <c r="C12">
        <f t="array" ref="C12">IF(WEEKDAY(C$1,2)&gt;=6, 0, SUM( IF(WBS!$J$5:$J$2773=$A12, IF(C$1&gt;=WBS!$K$5:$K$2773, IF(C$1&lt;=WBS!$L$5:$L$2773, IF(WBS!$AU$5:$AU$2773 &gt;0, WBS!$I$5:$I$2773 / WBS!$AU$5:$AU$2773, 0), 0), 0), 0) ))</f>
        <v>0</v>
      </c>
      <c r="D12">
        <f t="array" ref="D12">IF(WEEKDAY(D$1,2)&gt;=6, 0, SUM( IF(WBS!$J$5:$J$2773=$A12, IF(D$1&gt;=WBS!$K$5:$K$2773, IF(D$1&lt;=WBS!$L$5:$L$2773, IF(WBS!$AU$5:$AU$2773 &gt;0, WBS!$I$5:$I$2773 / WBS!$AU$5:$AU$2773, 0), 0), 0), 0) ))</f>
        <v>0</v>
      </c>
      <c r="E12">
        <f t="array" ref="E12">IF(WEEKDAY(E$1,2)&gt;=6, 0, SUM( IF(WBS!$J$5:$J$2773=$A12, IF(E$1&gt;=WBS!$K$5:$K$2773, IF(E$1&lt;=WBS!$L$5:$L$2773, IF(WBS!$AU$5:$AU$2773 &gt;0, WBS!$I$5:$I$2773 / WBS!$AU$5:$AU$2773, 0), 0), 0), 0) ))</f>
        <v>0</v>
      </c>
      <c r="F12">
        <f t="array" ref="F12">IF(WEEKDAY(F$1,2)&gt;=6, 0, SUM( IF(WBS!$J$5:$J$2773=$A12, IF(F$1&gt;=WBS!$K$5:$K$2773, IF(F$1&lt;=WBS!$L$5:$L$2773, IF(WBS!$AU$5:$AU$2773 &gt;0, WBS!$I$5:$I$2773 / WBS!$AU$5:$AU$2773, 0), 0), 0), 0) ))</f>
        <v>0</v>
      </c>
      <c r="G12">
        <f t="array" ref="G12">IF(WEEKDAY(G$1,2)&gt;=6, 0, SUM( IF(WBS!$J$5:$J$2773=$A12, IF(G$1&gt;=WBS!$K$5:$K$2773, IF(G$1&lt;=WBS!$L$5:$L$2773, IF(WBS!$AU$5:$AU$2773 &gt;0, WBS!$I$5:$I$2773 / WBS!$AU$5:$AU$2773, 0), 0), 0), 0) ))</f>
        <v>0</v>
      </c>
      <c r="H12">
        <f t="array" ref="H12">IF(WEEKDAY(H$1,2)&gt;=6, 0, SUM( IF(WBS!$J$5:$J$2773=$A12, IF(H$1&gt;=WBS!$K$5:$K$2773, IF(H$1&lt;=WBS!$L$5:$L$2773, IF(WBS!$AU$5:$AU$2773 &gt;0, WBS!$I$5:$I$2773 / WBS!$AU$5:$AU$2773, 0), 0), 0), 0) ))</f>
        <v>0</v>
      </c>
      <c r="I12">
        <f t="array" ref="I12">IF(WEEKDAY(I$1,2)&gt;=6, 0, SUM( IF(WBS!$J$5:$J$2773=$A12, IF(I$1&gt;=WBS!$K$5:$K$2773, IF(I$1&lt;=WBS!$L$5:$L$2773, IF(WBS!$AU$5:$AU$2773 &gt;0, WBS!$I$5:$I$2773 / WBS!$AU$5:$AU$2773, 0), 0), 0), 0) ))</f>
        <v>0</v>
      </c>
      <c r="J12">
        <f t="array" ref="J12">IF(WEEKDAY(J$1,2)&gt;=6, 0, SUM( IF(WBS!$J$5:$J$2773=$A12, IF(J$1&gt;=WBS!$K$5:$K$2773, IF(J$1&lt;=WBS!$L$5:$L$2773, IF(WBS!$AU$5:$AU$2773 &gt;0, WBS!$I$5:$I$2773 / WBS!$AU$5:$AU$2773, 0), 0), 0), 0) ))</f>
        <v>0</v>
      </c>
      <c r="K12">
        <f t="array" ref="K12">IF(WEEKDAY(K$1,2)&gt;=6, 0, SUM( IF(WBS!$J$5:$J$2773=$A12, IF(K$1&gt;=WBS!$K$5:$K$2773, IF(K$1&lt;=WBS!$L$5:$L$2773, IF(WBS!$AU$5:$AU$2773 &gt;0, WBS!$I$5:$I$2773 / WBS!$AU$5:$AU$2773, 0), 0), 0), 0) ))</f>
        <v>0</v>
      </c>
      <c r="L12">
        <f t="array" ref="L12">IF(WEEKDAY(L$1,2)&gt;=6, 0, SUM( IF(WBS!$J$5:$J$2773=$A12, IF(L$1&gt;=WBS!$K$5:$K$2773, IF(L$1&lt;=WBS!$L$5:$L$2773, IF(WBS!$AU$5:$AU$2773 &gt;0, WBS!$I$5:$I$2773 / WBS!$AU$5:$AU$2773, 0), 0), 0), 0) ))</f>
        <v>0</v>
      </c>
      <c r="M12">
        <f t="array" ref="M12">IF(WEEKDAY(M$1,2)&gt;=6, 0, SUM( IF(WBS!$J$5:$J$2773=$A12, IF(M$1&gt;=WBS!$K$5:$K$2773, IF(M$1&lt;=WBS!$L$5:$L$2773, IF(WBS!$AU$5:$AU$2773 &gt;0, WBS!$I$5:$I$2773 / WBS!$AU$5:$AU$2773, 0), 0), 0), 0) ))</f>
        <v>0</v>
      </c>
      <c r="N12">
        <f t="array" ref="N12">IF(WEEKDAY(N$1,2)&gt;=6, 0, SUM( IF(WBS!$J$5:$J$2773=$A12, IF(N$1&gt;=WBS!$K$5:$K$2773, IF(N$1&lt;=WBS!$L$5:$L$2773, IF(WBS!$AU$5:$AU$2773 &gt;0, WBS!$I$5:$I$2773 / WBS!$AU$5:$AU$2773, 0), 0), 0), 0) ))</f>
        <v>0</v>
      </c>
      <c r="O12">
        <f t="array" ref="O12">IF(WEEKDAY(O$1,2)&gt;=6, 0, SUM( IF(WBS!$J$5:$J$2773=$A12, IF(O$1&gt;=WBS!$K$5:$K$2773, IF(O$1&lt;=WBS!$L$5:$L$2773, IF(WBS!$AU$5:$AU$2773 &gt;0, WBS!$I$5:$I$2773 / WBS!$AU$5:$AU$2773, 0), 0), 0), 0) ))</f>
        <v>0</v>
      </c>
      <c r="P12">
        <f t="array" ref="P12">IF(WEEKDAY(P$1,2)&gt;=6, 0, SUM( IF(WBS!$J$5:$J$2773=$A12, IF(P$1&gt;=WBS!$K$5:$K$2773, IF(P$1&lt;=WBS!$L$5:$L$2773, IF(WBS!$AU$5:$AU$2773 &gt;0, WBS!$I$5:$I$2773 / WBS!$AU$5:$AU$2773, 0), 0), 0), 0) ))</f>
        <v>0</v>
      </c>
      <c r="Q12">
        <f t="array" ref="Q12">IF(WEEKDAY(Q$1,2)&gt;=6, 0, SUM( IF(WBS!$J$5:$J$2773=$A12, IF(Q$1&gt;=WBS!$K$5:$K$2773, IF(Q$1&lt;=WBS!$L$5:$L$2773, IF(WBS!$AU$5:$AU$2773 &gt;0, WBS!$I$5:$I$2773 / WBS!$AU$5:$AU$2773, 0), 0), 0), 0) ))</f>
        <v>0</v>
      </c>
      <c r="R12">
        <f t="array" ref="R12">IF(WEEKDAY(R$1,2)&gt;=6, 0, SUM( IF(WBS!$J$5:$J$2773=$A12, IF(R$1&gt;=WBS!$K$5:$K$2773, IF(R$1&lt;=WBS!$L$5:$L$2773, IF(WBS!$AU$5:$AU$2773 &gt;0, WBS!$I$5:$I$2773 / WBS!$AU$5:$AU$2773, 0), 0), 0), 0) ))</f>
        <v>0</v>
      </c>
      <c r="S12">
        <f t="array" ref="S12">IF(WEEKDAY(S$1,2)&gt;=6, 0, SUM( IF(WBS!$J$5:$J$2773=$A12, IF(S$1&gt;=WBS!$K$5:$K$2773, IF(S$1&lt;=WBS!$L$5:$L$2773, IF(WBS!$AU$5:$AU$2773 &gt;0, WBS!$I$5:$I$2773 / WBS!$AU$5:$AU$2773, 0), 0), 0), 0) ))</f>
        <v>0</v>
      </c>
      <c r="T12">
        <f t="array" ref="T12">IF(WEEKDAY(T$1,2)&gt;=6, 0, SUM( IF(WBS!$J$5:$J$2773=$A12, IF(T$1&gt;=WBS!$K$5:$K$2773, IF(T$1&lt;=WBS!$L$5:$L$2773, IF(WBS!$AU$5:$AU$2773 &gt;0, WBS!$I$5:$I$2773 / WBS!$AU$5:$AU$2773, 0), 0), 0), 0) ))</f>
        <v>0</v>
      </c>
      <c r="U12">
        <f t="array" ref="U12">IF(WEEKDAY(U$1,2)&gt;=6, 0, SUM( IF(WBS!$J$5:$J$2773=$A12, IF(U$1&gt;=WBS!$K$5:$K$2773, IF(U$1&lt;=WBS!$L$5:$L$2773, IF(WBS!$AU$5:$AU$2773 &gt;0, WBS!$I$5:$I$2773 / WBS!$AU$5:$AU$2773, 0), 0), 0), 0) ))</f>
        <v>0</v>
      </c>
      <c r="V12">
        <f t="array" ref="V12">IF(WEEKDAY(V$1,2)&gt;=6, 0, SUM( IF(WBS!$J$5:$J$2773=$A12, IF(V$1&gt;=WBS!$K$5:$K$2773, IF(V$1&lt;=WBS!$L$5:$L$2773, IF(WBS!$AU$5:$AU$2773 &gt;0, WBS!$I$5:$I$2773 / WBS!$AU$5:$AU$2773, 0), 0), 0), 0) ))</f>
        <v>0</v>
      </c>
      <c r="W12">
        <f t="array" ref="W12">IF(WEEKDAY(W$1,2)&gt;=6, 0, SUM( IF(WBS!$J$5:$J$2773=$A12, IF(W$1&gt;=WBS!$K$5:$K$2773, IF(W$1&lt;=WBS!$L$5:$L$2773, IF(WBS!$AU$5:$AU$2773 &gt;0, WBS!$I$5:$I$2773 / WBS!$AU$5:$AU$2773, 0), 0), 0), 0) ))</f>
        <v>0</v>
      </c>
      <c r="X12">
        <f t="array" ref="X12">IF(WEEKDAY(X$1,2)&gt;=6, 0, SUM( IF(WBS!$J$5:$J$2773=$A12, IF(X$1&gt;=WBS!$K$5:$K$2773, IF(X$1&lt;=WBS!$L$5:$L$2773, IF(WBS!$AU$5:$AU$2773 &gt;0, WBS!$I$5:$I$2773 / WBS!$AU$5:$AU$2773, 0), 0), 0), 0) ))</f>
        <v>0</v>
      </c>
      <c r="Y12">
        <f t="array" ref="Y12">IF(WEEKDAY(Y$1,2)&gt;=6, 0, SUM( IF(WBS!$J$5:$J$2773=$A12, IF(Y$1&gt;=WBS!$K$5:$K$2773, IF(Y$1&lt;=WBS!$L$5:$L$2773, IF(WBS!$AU$5:$AU$2773 &gt;0, WBS!$I$5:$I$2773 / WBS!$AU$5:$AU$2773, 0), 0), 0), 0) ))</f>
        <v>0</v>
      </c>
      <c r="Z12">
        <f t="array" ref="Z12">IF(WEEKDAY(Z$1,2)&gt;=6, 0, SUM( IF(WBS!$J$5:$J$2773=$A12, IF(Z$1&gt;=WBS!$K$5:$K$2773, IF(Z$1&lt;=WBS!$L$5:$L$2773, IF(WBS!$AU$5:$AU$2773 &gt;0, WBS!$I$5:$I$2773 / WBS!$AU$5:$AU$2773, 0), 0), 0), 0) ))</f>
        <v>0</v>
      </c>
      <c r="AA12">
        <f t="array" ref="AA12">IF(WEEKDAY(AA$1,2)&gt;=6, 0, SUM( IF(WBS!$J$5:$J$2773=$A12, IF(AA$1&gt;=WBS!$K$5:$K$2773, IF(AA$1&lt;=WBS!$L$5:$L$2773, IF(WBS!$AU$5:$AU$2773 &gt;0, WBS!$I$5:$I$2773 / WBS!$AU$5:$AU$2773, 0), 0), 0), 0) ))</f>
        <v>0</v>
      </c>
      <c r="AB12">
        <f t="array" ref="AB12">IF(WEEKDAY(AB$1,2)&gt;=6, 0, SUM( IF(WBS!$J$5:$J$2773=$A12, IF(AB$1&gt;=WBS!$K$5:$K$2773, IF(AB$1&lt;=WBS!$L$5:$L$2773, IF(WBS!$AU$5:$AU$2773 &gt;0, WBS!$I$5:$I$2773 / WBS!$AU$5:$AU$2773, 0), 0), 0), 0) ))</f>
        <v>0</v>
      </c>
      <c r="AC12">
        <f t="array" ref="AC12">IF(WEEKDAY(AC$1,2)&gt;=6, 0, SUM( IF(WBS!$J$5:$J$2773=$A12, IF(AC$1&gt;=WBS!$K$5:$K$2773, IF(AC$1&lt;=WBS!$L$5:$L$2773, IF(WBS!$AU$5:$AU$2773 &gt;0, WBS!$I$5:$I$2773 / WBS!$AU$5:$AU$2773, 0), 0), 0), 0) ))</f>
        <v>0</v>
      </c>
      <c r="AD12">
        <f t="array" ref="AD12">IF(WEEKDAY(AD$1,2)&gt;=6, 0, SUM( IF(WBS!$J$5:$J$2773=$A12, IF(AD$1&gt;=WBS!$K$5:$K$2773, IF(AD$1&lt;=WBS!$L$5:$L$2773, IF(WBS!$AU$5:$AU$2773 &gt;0, WBS!$I$5:$I$2773 / WBS!$AU$5:$AU$2773, 0), 0), 0), 0) ))</f>
        <v>0</v>
      </c>
      <c r="AE12">
        <f t="array" ref="AE12">IF(WEEKDAY(AE$1,2)&gt;=6, 0, SUM( IF(WBS!$J$5:$J$2773=$A12, IF(AE$1&gt;=WBS!$K$5:$K$2773, IF(AE$1&lt;=WBS!$L$5:$L$2773, IF(WBS!$AU$5:$AU$2773 &gt;0, WBS!$I$5:$I$2773 / WBS!$AU$5:$AU$2773, 0), 0), 0), 0) ))</f>
        <v>0</v>
      </c>
      <c r="AF12">
        <f t="array" ref="AF12">IF(WEEKDAY(AF$1,2)&gt;=6, 0, SUM( IF(WBS!$J$5:$J$2773=$A12, IF(AF$1&gt;=WBS!$K$5:$K$2773, IF(AF$1&lt;=WBS!$L$5:$L$2773, IF(WBS!$AU$5:$AU$2773 &gt;0, WBS!$I$5:$I$2773 / WBS!$AU$5:$AU$2773, 0), 0), 0), 0) ))</f>
        <v>0</v>
      </c>
      <c r="AG12">
        <f t="array" ref="AG12">IF(WEEKDAY(AG$1,2)&gt;=6, 0, SUM( IF(WBS!$J$5:$J$2773=$A12, IF(AG$1&gt;=WBS!$K$5:$K$2773, IF(AG$1&lt;=WBS!$L$5:$L$2773, IF(WBS!$AU$5:$AU$2773 &gt;0, WBS!$I$5:$I$2773 / WBS!$AU$5:$AU$2773, 0), 0), 0), 0) ))</f>
        <v>0</v>
      </c>
      <c r="AH12">
        <f t="array" ref="AH12">IF(WEEKDAY(AH$1,2)&gt;=6, 0, SUM( IF(WBS!$J$5:$J$2773=$A12, IF(AH$1&gt;=WBS!$K$5:$K$2773, IF(AH$1&lt;=WBS!$L$5:$L$2773, IF(WBS!$AU$5:$AU$2773 &gt;0, WBS!$I$5:$I$2773 / WBS!$AU$5:$AU$2773, 0), 0), 0), 0) ))</f>
        <v>0</v>
      </c>
      <c r="AI12">
        <f t="array" ref="AI12">IF(WEEKDAY(AI$1,2)&gt;=6, 0, SUM( IF(WBS!$J$5:$J$2773=$A12, IF(AI$1&gt;=WBS!$K$5:$K$2773, IF(AI$1&lt;=WBS!$L$5:$L$2773, IF(WBS!$AU$5:$AU$2773 &gt;0, WBS!$I$5:$I$2773 / WBS!$AU$5:$AU$2773, 0), 0), 0), 0) ))</f>
        <v>0</v>
      </c>
      <c r="AJ12">
        <f t="array" ref="AJ12">IF(WEEKDAY(AJ$1,2)&gt;=6, 0, SUM( IF(WBS!$J$5:$J$2773=$A12, IF(AJ$1&gt;=WBS!$K$5:$K$2773, IF(AJ$1&lt;=WBS!$L$5:$L$2773, IF(WBS!$AU$5:$AU$2773 &gt;0, WBS!$I$5:$I$2773 / WBS!$AU$5:$AU$2773, 0), 0), 0), 0) ))</f>
        <v>0</v>
      </c>
      <c r="AK12">
        <f t="array" ref="AK12">IF(WEEKDAY(AK$1,2)&gt;=6, 0, SUM( IF(WBS!$J$5:$J$2773=$A12, IF(AK$1&gt;=WBS!$K$5:$K$2773, IF(AK$1&lt;=WBS!$L$5:$L$2773, IF(WBS!$AU$5:$AU$2773 &gt;0, WBS!$I$5:$I$2773 / WBS!$AU$5:$AU$2773, 0), 0), 0), 0) ))</f>
        <v>0</v>
      </c>
      <c r="AL12">
        <f t="array" ref="AL12">IF(WEEKDAY(AL$1,2)&gt;=6, 0, SUM( IF(WBS!$J$5:$J$2773=$A12, IF(AL$1&gt;=WBS!$K$5:$K$2773, IF(AL$1&lt;=WBS!$L$5:$L$2773, IF(WBS!$AU$5:$AU$2773 &gt;0, WBS!$I$5:$I$2773 / WBS!$AU$5:$AU$2773, 0), 0), 0), 0) ))</f>
        <v>0</v>
      </c>
      <c r="AM12">
        <f t="array" ref="AM12">IF(WEEKDAY(AM$1,2)&gt;=6, 0, SUM( IF(WBS!$J$5:$J$2773=$A12, IF(AM$1&gt;=WBS!$K$5:$K$2773, IF(AM$1&lt;=WBS!$L$5:$L$2773, IF(WBS!$AU$5:$AU$2773 &gt;0, WBS!$I$5:$I$2773 / WBS!$AU$5:$AU$2773, 0), 0), 0), 0) ))</f>
        <v>0</v>
      </c>
      <c r="AN12">
        <f t="array" ref="AN12">IF(WEEKDAY(AN$1,2)&gt;=6, 0, SUM( IF(WBS!$J$5:$J$2773=$A12, IF(AN$1&gt;=WBS!$K$5:$K$2773, IF(AN$1&lt;=WBS!$L$5:$L$2773, IF(WBS!$AU$5:$AU$2773 &gt;0, WBS!$I$5:$I$2773 / WBS!$AU$5:$AU$2773, 0), 0), 0), 0) ))</f>
        <v>0</v>
      </c>
      <c r="AO12">
        <f t="array" ref="AO12">IF(WEEKDAY(AO$1,2)&gt;=6, 0, SUM( IF(WBS!$J$5:$J$2773=$A12, IF(AO$1&gt;=WBS!$K$5:$K$2773, IF(AO$1&lt;=WBS!$L$5:$L$2773, IF(WBS!$AU$5:$AU$2773 &gt;0, WBS!$I$5:$I$2773 / WBS!$AU$5:$AU$2773, 0), 0), 0), 0) ))</f>
        <v>0</v>
      </c>
      <c r="AP12">
        <f t="array" ref="AP12">IF(WEEKDAY(AP$1,2)&gt;=6, 0, SUM( IF(WBS!$J$5:$J$2773=$A12, IF(AP$1&gt;=WBS!$K$5:$K$2773, IF(AP$1&lt;=WBS!$L$5:$L$2773, IF(WBS!$AU$5:$AU$2773 &gt;0, WBS!$I$5:$I$2773 / WBS!$AU$5:$AU$2773, 0), 0), 0), 0) ))</f>
        <v>0</v>
      </c>
      <c r="AQ12">
        <f t="array" ref="AQ12">IF(WEEKDAY(AQ$1,2)&gt;=6, 0, SUM( IF(WBS!$J$5:$J$2773=$A12, IF(AQ$1&gt;=WBS!$K$5:$K$2773, IF(AQ$1&lt;=WBS!$L$5:$L$2773, IF(WBS!$AU$5:$AU$2773 &gt;0, WBS!$I$5:$I$2773 / WBS!$AU$5:$AU$2773, 0), 0), 0), 0) ))</f>
        <v>0</v>
      </c>
      <c r="AR12">
        <f t="array" ref="AR12">IF(WEEKDAY(AR$1,2)&gt;=6, 0, SUM( IF(WBS!$J$5:$J$2773=$A12, IF(AR$1&gt;=WBS!$K$5:$K$2773, IF(AR$1&lt;=WBS!$L$5:$L$2773, IF(WBS!$AU$5:$AU$2773 &gt;0, WBS!$I$5:$I$2773 / WBS!$AU$5:$AU$2773, 0), 0), 0), 0) ))</f>
        <v>0</v>
      </c>
      <c r="AS12">
        <f t="array" ref="AS12">IF(WEEKDAY(AS$1,2)&gt;=6, 0, SUM( IF(WBS!$J$5:$J$2773=$A12, IF(AS$1&gt;=WBS!$K$5:$K$2773, IF(AS$1&lt;=WBS!$L$5:$L$2773, IF(WBS!$AU$5:$AU$2773 &gt;0, WBS!$I$5:$I$2773 / WBS!$AU$5:$AU$2773, 0), 0), 0), 0) ))</f>
        <v>0</v>
      </c>
      <c r="AT12">
        <f t="array" ref="AT12">IF(WEEKDAY(AT$1,2)&gt;=6, 0, SUM( IF(WBS!$J$5:$J$2773=$A12, IF(AT$1&gt;=WBS!$K$5:$K$2773, IF(AT$1&lt;=WBS!$L$5:$L$2773, IF(WBS!$AU$5:$AU$2773 &gt;0, WBS!$I$5:$I$2773 / WBS!$AU$5:$AU$2773, 0), 0), 0), 0) ))</f>
        <v>0</v>
      </c>
      <c r="AU12">
        <f t="array" ref="AU12">IF(WEEKDAY(AU$1,2)&gt;=6, 0, SUM( IF(WBS!$J$5:$J$2773=$A12, IF(AU$1&gt;=WBS!$K$5:$K$2773, IF(AU$1&lt;=WBS!$L$5:$L$2773, IF(WBS!$AU$5:$AU$2773 &gt;0, WBS!$I$5:$I$2773 / WBS!$AU$5:$AU$2773, 0), 0), 0), 0) ))</f>
        <v>0</v>
      </c>
      <c r="AV12">
        <f t="array" ref="AV12">IF(WEEKDAY(AV$1,2)&gt;=6, 0, SUM( IF(WBS!$J$5:$J$2773=$A12, IF(AV$1&gt;=WBS!$K$5:$K$2773, IF(AV$1&lt;=WBS!$L$5:$L$2773, IF(WBS!$AU$5:$AU$2773 &gt;0, WBS!$I$5:$I$2773 / WBS!$AU$5:$AU$2773, 0), 0), 0), 0) ))</f>
        <v>0</v>
      </c>
      <c r="AW12">
        <f t="array" ref="AW12">IF(WEEKDAY(AW$1,2)&gt;=6, 0, SUM( IF(WBS!$J$5:$J$2773=$A12, IF(AW$1&gt;=WBS!$K$5:$K$2773, IF(AW$1&lt;=WBS!$L$5:$L$2773, IF(WBS!$AU$5:$AU$2773 &gt;0, WBS!$I$5:$I$2773 / WBS!$AU$5:$AU$2773, 0), 0), 0), 0) ))</f>
        <v>0</v>
      </c>
      <c r="AX12">
        <f t="array" ref="AX12">IF(WEEKDAY(AX$1,2)&gt;=6, 0, SUM( IF(WBS!$J$5:$J$2773=$A12, IF(AX$1&gt;=WBS!$K$5:$K$2773, IF(AX$1&lt;=WBS!$L$5:$L$2773, IF(WBS!$AU$5:$AU$2773 &gt;0, WBS!$I$5:$I$2773 / WBS!$AU$5:$AU$2773, 0), 0), 0), 0) ))</f>
        <v>0</v>
      </c>
      <c r="AY12">
        <f t="array" ref="AY12">IF(WEEKDAY(AY$1,2)&gt;=6, 0, SUM( IF(WBS!$J$5:$J$2773=$A12, IF(AY$1&gt;=WBS!$K$5:$K$2773, IF(AY$1&lt;=WBS!$L$5:$L$2773, IF(WBS!$AU$5:$AU$2773 &gt;0, WBS!$I$5:$I$2773 / WBS!$AU$5:$AU$2773, 0), 0), 0), 0) ))</f>
        <v>0</v>
      </c>
      <c r="AZ12">
        <f t="array" ref="AZ12">IF(WEEKDAY(AZ$1,2)&gt;=6, 0, SUM( IF(WBS!$J$5:$J$2773=$A12, IF(AZ$1&gt;=WBS!$K$5:$K$2773, IF(AZ$1&lt;=WBS!$L$5:$L$2773, IF(WBS!$AU$5:$AU$2773 &gt;0, WBS!$I$5:$I$2773 / WBS!$AU$5:$AU$2773, 0), 0), 0), 0) ))</f>
        <v>0</v>
      </c>
      <c r="BA12">
        <f t="array" ref="BA12">IF(WEEKDAY(BA$1,2)&gt;=6, 0, SUM( IF(WBS!$J$5:$J$2773=$A12, IF(BA$1&gt;=WBS!$K$5:$K$2773, IF(BA$1&lt;=WBS!$L$5:$L$2773, IF(WBS!$AU$5:$AU$2773 &gt;0, WBS!$I$5:$I$2773 / WBS!$AU$5:$AU$2773, 0), 0), 0), 0) ))</f>
        <v>0</v>
      </c>
      <c r="BB12">
        <f t="array" ref="BB12">IF(WEEKDAY(BB$1,2)&gt;=6, 0, SUM( IF(WBS!$J$5:$J$2773=$A12, IF(BB$1&gt;=WBS!$K$5:$K$2773, IF(BB$1&lt;=WBS!$L$5:$L$2773, IF(WBS!$AU$5:$AU$2773 &gt;0, WBS!$I$5:$I$2773 / WBS!$AU$5:$AU$2773, 0), 0), 0), 0) ))</f>
        <v>0</v>
      </c>
      <c r="BC12">
        <f t="array" ref="BC12">IF(WEEKDAY(BC$1,2)&gt;=6, 0, SUM( IF(WBS!$J$5:$J$2773=$A12, IF(BC$1&gt;=WBS!$K$5:$K$2773, IF(BC$1&lt;=WBS!$L$5:$L$2773, IF(WBS!$AU$5:$AU$2773 &gt;0, WBS!$I$5:$I$2773 / WBS!$AU$5:$AU$2773, 0), 0), 0), 0) ))</f>
        <v>0</v>
      </c>
      <c r="BD12">
        <f t="array" ref="BD12">IF(WEEKDAY(BD$1,2)&gt;=6, 0, SUM( IF(WBS!$J$5:$J$2773=$A12, IF(BD$1&gt;=WBS!$K$5:$K$2773, IF(BD$1&lt;=WBS!$L$5:$L$2773, IF(WBS!$AU$5:$AU$2773 &gt;0, WBS!$I$5:$I$2773 / WBS!$AU$5:$AU$2773, 0), 0), 0), 0) ))</f>
        <v>0</v>
      </c>
      <c r="BE12">
        <f t="array" ref="BE12">IF(WEEKDAY(BE$1,2)&gt;=6, 0, SUM( IF(WBS!$J$5:$J$2773=$A12, IF(BE$1&gt;=WBS!$K$5:$K$2773, IF(BE$1&lt;=WBS!$L$5:$L$2773, IF(WBS!$AU$5:$AU$2773 &gt;0, WBS!$I$5:$I$2773 / WBS!$AU$5:$AU$2773, 0), 0), 0), 0) ))</f>
        <v>0</v>
      </c>
      <c r="BF12">
        <f t="array" ref="BF12">IF(WEEKDAY(BF$1,2)&gt;=6, 0, SUM( IF(WBS!$J$5:$J$2773=$A12, IF(BF$1&gt;=WBS!$K$5:$K$2773, IF(BF$1&lt;=WBS!$L$5:$L$2773, IF(WBS!$AU$5:$AU$2773 &gt;0, WBS!$I$5:$I$2773 / WBS!$AU$5:$AU$2773, 0), 0), 0), 0) ))</f>
        <v>0</v>
      </c>
      <c r="BG12">
        <f t="array" ref="BG12">IF(WEEKDAY(BG$1,2)&gt;=6, 0, SUM( IF(WBS!$J$5:$J$2773=$A12, IF(BG$1&gt;=WBS!$K$5:$K$2773, IF(BG$1&lt;=WBS!$L$5:$L$2773, IF(WBS!$AU$5:$AU$2773 &gt;0, WBS!$I$5:$I$2773 / WBS!$AU$5:$AU$2773, 0), 0), 0), 0) ))</f>
        <v>0</v>
      </c>
      <c r="BH12">
        <f t="array" ref="BH12">IF(WEEKDAY(BH$1,2)&gt;=6, 0, SUM( IF(WBS!$J$5:$J$2773=$A12, IF(BH$1&gt;=WBS!$K$5:$K$2773, IF(BH$1&lt;=WBS!$L$5:$L$2773, IF(WBS!$AU$5:$AU$2773 &gt;0, WBS!$I$5:$I$2773 / WBS!$AU$5:$AU$2773, 0), 0), 0), 0) ))</f>
        <v>0</v>
      </c>
      <c r="BI12" s="42">
        <f t="array" ref="BI12">IF(WEEKDAY(BI$1,2)&gt;=6, 0, SUM( IF(WBS!$J$5:$J$2773=$A12, IF(BI$1&gt;=WBS!$K$5:$K$2773, IF(BI$1&lt;=WBS!$L$5:$L$2773, IF(WBS!$AU$5:$AU$2773 &gt;0, WBS!$I$5:$I$2773 / WBS!$AU$5:$AU$2773, 0), 0), 0), 0) ))</f>
        <v>0</v>
      </c>
      <c r="BJ12" s="42">
        <f t="array" ref="BJ12">IF(WEEKDAY(BJ$1,2)&gt;=6, 0, SUM( IF(WBS!$J$5:$J$2773=$A12, IF(BJ$1&gt;=WBS!$K$5:$K$2773, IF(BJ$1&lt;=WBS!$L$5:$L$2773, IF(WBS!$AU$5:$AU$2773 &gt;0, WBS!$I$5:$I$2773 / WBS!$AU$5:$AU$2773, 0), 0), 0), 0) ))</f>
        <v>0</v>
      </c>
      <c r="BK12">
        <f t="array" ref="BK12">IF(WEEKDAY(BK$1,2)&gt;=6, 0, SUM( IF(WBS!$J$5:$J$2773=$A12, IF(BK$1&gt;=WBS!$K$5:$K$2773, IF(BK$1&lt;=WBS!$L$5:$L$2773, IF(WBS!$AU$5:$AU$2773 &gt;0, WBS!$I$5:$I$2773 / WBS!$AU$5:$AU$2773, 0), 0), 0), 0) ))</f>
        <v>0</v>
      </c>
      <c r="BL12">
        <f t="array" ref="BL12">IF(WEEKDAY(BL$1,2)&gt;=6, 0, SUM( IF(WBS!$J$5:$J$2773=$A12, IF(BL$1&gt;=WBS!$K$5:$K$2773, IF(BL$1&lt;=WBS!$L$5:$L$2773, IF(WBS!$AU$5:$AU$2773 &gt;0, WBS!$I$5:$I$2773 / WBS!$AU$5:$AU$2773, 0), 0), 0), 0) ))</f>
        <v>0</v>
      </c>
      <c r="BM12">
        <f t="array" ref="BM12">IF(WEEKDAY(BM$1,2)&gt;=6, 0, SUM( IF(WBS!$J$5:$J$2773=$A12, IF(BM$1&gt;=WBS!$K$5:$K$2773, IF(BM$1&lt;=WBS!$L$5:$L$2773, IF(WBS!$AU$5:$AU$2773 &gt;0, WBS!$I$5:$I$2773 / WBS!$AU$5:$AU$2773, 0), 0), 0), 0) ))</f>
        <v>0</v>
      </c>
      <c r="BN12">
        <f t="array" ref="BN12">IF(WEEKDAY(BN$1,2)&gt;=6, 0, SUM( IF(WBS!$J$5:$J$2773=$A12, IF(BN$1&gt;=WBS!$K$5:$K$2773, IF(BN$1&lt;=WBS!$L$5:$L$2773, IF(WBS!$AU$5:$AU$2773 &gt;0, WBS!$I$5:$I$2773 / WBS!$AU$5:$AU$2773, 0), 0), 0), 0) ))</f>
        <v>0</v>
      </c>
      <c r="BO12">
        <f t="array" ref="BO12">IF(WEEKDAY(BO$1,2)&gt;=6, 0, SUM( IF(WBS!$J$5:$J$2773=$A12, IF(BO$1&gt;=WBS!$K$5:$K$2773, IF(BO$1&lt;=WBS!$L$5:$L$2773, IF(WBS!$AU$5:$AU$2773 &gt;0, WBS!$I$5:$I$2773 / WBS!$AU$5:$AU$2773, 0), 0), 0), 0) ))</f>
        <v>0</v>
      </c>
      <c r="BP12" s="42">
        <f t="array" ref="BP12">IF(WEEKDAY(BP$1,2)&gt;=6, 0, SUM( IF(WBS!$J$5:$J$2773=$A12, IF(BP$1&gt;=WBS!$K$5:$K$2773, IF(BP$1&lt;=WBS!$L$5:$L$2773, IF(WBS!$AU$5:$AU$2773 &gt;0, WBS!$I$5:$I$2773 / WBS!$AU$5:$AU$2773, 0), 0), 0), 0) ))</f>
        <v>0</v>
      </c>
      <c r="BQ12" s="42">
        <f t="array" ref="BQ12">IF(WEEKDAY(BQ$1,2)&gt;=6, 0, SUM( IF(WBS!$J$5:$J$2773=$A12, IF(BQ$1&gt;=WBS!$K$5:$K$2773, IF(BQ$1&lt;=WBS!$L$5:$L$2773, IF(WBS!$AU$5:$AU$2773 &gt;0, WBS!$I$5:$I$2773 / WBS!$AU$5:$AU$2773, 0), 0), 0), 0) ))</f>
        <v>0</v>
      </c>
      <c r="BR12">
        <f t="array" ref="BR12">IF(WEEKDAY(BR$1,2)&gt;=6, 0, SUM( IF(WBS!$J$5:$J$2773=$A12, IF(BR$1&gt;=WBS!$K$5:$K$2773, IF(BR$1&lt;=WBS!$L$5:$L$2773, IF(WBS!$AU$5:$AU$2773 &gt;0, WBS!$I$5:$I$2773 / WBS!$AU$5:$AU$2773, 0), 0), 0), 0) ))</f>
        <v>0</v>
      </c>
      <c r="BS12">
        <f t="array" ref="BS12">IF(WEEKDAY(BS$1,2)&gt;=6, 0, SUM( IF(WBS!$J$5:$J$2773=$A12, IF(BS$1&gt;=WBS!$K$5:$K$2773, IF(BS$1&lt;=WBS!$L$5:$L$2773, IF(WBS!$AU$5:$AU$2773 &gt;0, WBS!$I$5:$I$2773 / WBS!$AU$5:$AU$2773, 0), 0), 0), 0) ))</f>
        <v>0</v>
      </c>
      <c r="BT12">
        <f t="array" ref="BT12">IF(WEEKDAY(BT$1,2)&gt;=6, 0, SUM( IF(WBS!$J$5:$J$2773=$A12, IF(BT$1&gt;=WBS!$K$5:$K$2773, IF(BT$1&lt;=WBS!$L$5:$L$2773, IF(WBS!$AU$5:$AU$2773 &gt;0, WBS!$I$5:$I$2773 / WBS!$AU$5:$AU$2773, 0), 0), 0), 0) ))</f>
        <v>0</v>
      </c>
      <c r="BU12">
        <f t="array" ref="BU12">IF(WEEKDAY(BU$1,2)&gt;=6, 0, SUM( IF(WBS!$J$5:$J$2773=$A12, IF(BU$1&gt;=WBS!$K$5:$K$2773, IF(BU$1&lt;=WBS!$L$5:$L$2773, IF(WBS!$AU$5:$AU$2773 &gt;0, WBS!$I$5:$I$2773 / WBS!$AU$5:$AU$2773, 0), 0), 0), 0) ))</f>
        <v>0</v>
      </c>
      <c r="BV12">
        <f t="array" ref="BV12">IF(WEEKDAY(BV$1,2)&gt;=6, 0, SUM( IF(WBS!$J$5:$J$2773=$A12, IF(BV$1&gt;=WBS!$K$5:$K$2773, IF(BV$1&lt;=WBS!$L$5:$L$2773, IF(WBS!$AU$5:$AU$2773 &gt;0, WBS!$I$5:$I$2773 / WBS!$AU$5:$AU$2773, 0), 0), 0), 0) ))</f>
        <v>0</v>
      </c>
      <c r="BW12" s="42">
        <f t="array" ref="BW12">IF(WEEKDAY(BW$1,2)&gt;=6, 0, SUM( IF(WBS!$J$5:$J$2773=$A12, IF(BW$1&gt;=WBS!$K$5:$K$2773, IF(BW$1&lt;=WBS!$L$5:$L$2773, IF(WBS!$AU$5:$AU$2773 &gt;0, WBS!$I$5:$I$2773 / WBS!$AU$5:$AU$2773, 0), 0), 0), 0) ))</f>
        <v>0</v>
      </c>
      <c r="BX12" s="42">
        <f t="array" ref="BX12">IF(WEEKDAY(BX$1,2)&gt;=6, 0, SUM( IF(WBS!$J$5:$J$2773=$A12, IF(BX$1&gt;=WBS!$K$5:$K$2773, IF(BX$1&lt;=WBS!$L$5:$L$2773, IF(WBS!$AU$5:$AU$2773 &gt;0, WBS!$I$5:$I$2773 / WBS!$AU$5:$AU$2773, 0), 0), 0), 0) ))</f>
        <v>0</v>
      </c>
      <c r="BY12">
        <f t="array" ref="BY12">IF(WEEKDAY(BY$1,2)&gt;=6, 0, SUM( IF(WBS!$J$5:$J$2773=$A12, IF(BY$1&gt;=WBS!$K$5:$K$2773, IF(BY$1&lt;=WBS!$L$5:$L$2773, IF(WBS!$AU$5:$AU$2773 &gt;0, WBS!$I$5:$I$2773 / WBS!$AU$5:$AU$2773, 0), 0), 0), 0) ))</f>
        <v>0</v>
      </c>
      <c r="BZ12">
        <f t="array" ref="BZ12">IF(WEEKDAY(BZ$1,2)&gt;=6, 0, SUM( IF(WBS!$J$5:$J$2773=$A12, IF(BZ$1&gt;=WBS!$K$5:$K$2773, IF(BZ$1&lt;=WBS!$L$5:$L$2773, IF(WBS!$AU$5:$AU$2773 &gt;0, WBS!$I$5:$I$2773 / WBS!$AU$5:$AU$2773, 0), 0), 0), 0) ))</f>
        <v>0</v>
      </c>
      <c r="CA12">
        <f t="array" ref="CA12">IF(WEEKDAY(CA$1,2)&gt;=6, 0, SUM( IF(WBS!$J$5:$J$2773=$A12, IF(CA$1&gt;=WBS!$K$5:$K$2773, IF(CA$1&lt;=WBS!$L$5:$L$2773, IF(WBS!$AU$5:$AU$2773 &gt;0, WBS!$I$5:$I$2773 / WBS!$AU$5:$AU$2773, 0), 0), 0), 0) ))</f>
        <v>0</v>
      </c>
      <c r="CB12">
        <f t="array" ref="CB12">IF(WEEKDAY(CB$1,2)&gt;=6, 0, SUM( IF(WBS!$J$5:$J$2773=$A12, IF(CB$1&gt;=WBS!$K$5:$K$2773, IF(CB$1&lt;=WBS!$L$5:$L$2773, IF(WBS!$AU$5:$AU$2773 &gt;0, WBS!$I$5:$I$2773 / WBS!$AU$5:$AU$2773, 0), 0), 0), 0) ))</f>
        <v>0</v>
      </c>
      <c r="CC12">
        <f t="array" ref="CC12">IF(WEEKDAY(CC$1,2)&gt;=6, 0, SUM( IF(WBS!$J$5:$J$2773=$A12, IF(CC$1&gt;=WBS!$K$5:$K$2773, IF(CC$1&lt;=WBS!$L$5:$L$2773, IF(WBS!$AU$5:$AU$2773 &gt;0, WBS!$I$5:$I$2773 / WBS!$AU$5:$AU$2773, 0), 0), 0), 0) ))</f>
        <v>0</v>
      </c>
      <c r="CD12" s="42">
        <f t="array" ref="CD12">IF(WEEKDAY(CD$1,2)&gt;=6, 0, SUM( IF(WBS!$J$5:$J$2773=$A12, IF(CD$1&gt;=WBS!$K$5:$K$2773, IF(CD$1&lt;=WBS!$L$5:$L$2773, IF(WBS!$AU$5:$AU$2773 &gt;0, WBS!$I$5:$I$2773 / WBS!$AU$5:$AU$2773, 0), 0), 0), 0) ))</f>
        <v>0</v>
      </c>
      <c r="CE12" s="42">
        <f t="array" ref="CE12">IF(WEEKDAY(CE$1,2)&gt;=6, 0, SUM( IF(WBS!$J$5:$J$2773=$A12, IF(CE$1&gt;=WBS!$K$5:$K$2773, IF(CE$1&lt;=WBS!$L$5:$L$2773, IF(WBS!$AU$5:$AU$2773 &gt;0, WBS!$I$5:$I$2773 / WBS!$AU$5:$AU$2773, 0), 0), 0), 0) ))</f>
        <v>0</v>
      </c>
      <c r="CF12">
        <f t="array" ref="CF12">IF(WEEKDAY(CF$1,2)&gt;=6, 0, SUM( IF(WBS!$J$5:$J$2773=$A12, IF(CF$1&gt;=WBS!$K$5:$K$2773, IF(CF$1&lt;=WBS!$L$5:$L$2773, IF(WBS!$AU$5:$AU$2773 &gt;0, WBS!$I$5:$I$2773 / WBS!$AU$5:$AU$2773, 0), 0), 0), 0) ))</f>
        <v>0</v>
      </c>
      <c r="CG12">
        <f t="array" ref="CG12">IF(WEEKDAY(CG$1,2)&gt;=6, 0, SUM( IF(WBS!$J$5:$J$2773=$A12, IF(CG$1&gt;=WBS!$K$5:$K$2773, IF(CG$1&lt;=WBS!$L$5:$L$2773, IF(WBS!$AU$5:$AU$2773 &gt;0, WBS!$I$5:$I$2773 / WBS!$AU$5:$AU$2773, 0), 0), 0), 0) ))</f>
        <v>0</v>
      </c>
      <c r="CH12">
        <f t="array" ref="CH12">IF(WEEKDAY(CH$1,2)&gt;=6, 0, SUM( IF(WBS!$J$5:$J$2773=$A12, IF(CH$1&gt;=WBS!$K$5:$K$2773, IF(CH$1&lt;=WBS!$L$5:$L$2773, IF(WBS!$AU$5:$AU$2773 &gt;0, WBS!$I$5:$I$2773 / WBS!$AU$5:$AU$2773, 0), 0), 0), 0) ))</f>
        <v>0</v>
      </c>
      <c r="CI12" s="274"/>
      <c r="CJ12"/>
      <c r="CK12" s="42"/>
      <c r="CL12" s="42"/>
      <c r="CM12"/>
      <c r="CN12"/>
      <c r="CO12"/>
      <c r="CP12"/>
      <c r="CQ12"/>
      <c r="CR12" s="42"/>
      <c r="CS12" s="42"/>
      <c r="CT12"/>
      <c r="CU12"/>
      <c r="CV12"/>
      <c r="CW12"/>
      <c r="CX12"/>
      <c r="CY12" s="42"/>
      <c r="CZ12" s="42"/>
      <c r="DA12"/>
      <c r="DB12"/>
      <c r="DC12"/>
      <c r="DD12"/>
      <c r="DE12"/>
      <c r="DF12" s="42"/>
      <c r="DG12" s="42"/>
      <c r="DH12"/>
      <c r="DI12"/>
      <c r="DJ12"/>
      <c r="DK12"/>
      <c r="DL12"/>
      <c r="DM12" s="42"/>
      <c r="DN12" s="42"/>
      <c r="DO12"/>
      <c r="DP12"/>
      <c r="DQ12"/>
      <c r="DR12"/>
      <c r="DS12"/>
      <c r="DT12" s="42"/>
      <c r="DU12" s="42"/>
      <c r="DV12"/>
      <c r="DW12"/>
      <c r="DX12"/>
      <c r="DY12"/>
      <c r="DZ12"/>
      <c r="EA12" s="276"/>
      <c r="EB12" s="276"/>
      <c r="EC12" s="274"/>
      <c r="ED12" s="274"/>
      <c r="EE12" s="274"/>
      <c r="EF12" s="274"/>
      <c r="EG12" s="274"/>
      <c r="EH12" s="274"/>
      <c r="EI12" s="274"/>
      <c r="EJ12" s="274"/>
      <c r="EK12"/>
      <c r="EL12"/>
      <c r="EM12"/>
      <c r="EN12"/>
      <c r="EO12" s="42"/>
      <c r="EP12" s="42"/>
      <c r="EQ12"/>
      <c r="ER12"/>
      <c r="ES12"/>
      <c r="ET12"/>
      <c r="EU12"/>
      <c r="EV12" s="42"/>
      <c r="EW12" s="42"/>
      <c r="EX12"/>
      <c r="EY12"/>
      <c r="EZ12"/>
      <c r="FA12"/>
      <c r="FB12"/>
      <c r="FC12" s="42"/>
      <c r="FD12" s="42"/>
      <c r="FE12"/>
      <c r="FF12"/>
      <c r="FG12"/>
      <c r="FH12"/>
      <c r="FI12"/>
      <c r="FJ12" s="42"/>
      <c r="FK12" s="42"/>
      <c r="FL12"/>
      <c r="FM12"/>
      <c r="FN12"/>
      <c r="FO12"/>
      <c r="FP12"/>
      <c r="FQ12" s="42"/>
      <c r="FR12" s="42"/>
      <c r="FS12"/>
      <c r="FT12"/>
      <c r="FU12"/>
      <c r="FV12"/>
      <c r="FW12"/>
      <c r="FX12" s="42"/>
      <c r="FY12" s="42"/>
      <c r="FZ12" s="274"/>
      <c r="GA12"/>
      <c r="GB12"/>
      <c r="GC12"/>
      <c r="GD12"/>
      <c r="GE12" s="42"/>
      <c r="GF12" s="42"/>
      <c r="GG12"/>
      <c r="GH12"/>
      <c r="GI12"/>
      <c r="GJ12"/>
      <c r="GK12"/>
      <c r="GL12" s="42"/>
      <c r="GM12" s="42"/>
      <c r="GN12"/>
      <c r="GO12"/>
      <c r="GP12"/>
      <c r="GQ12"/>
      <c r="GR12"/>
      <c r="GS12" s="42"/>
      <c r="GT12" s="42"/>
      <c r="GU12"/>
      <c r="GV12"/>
      <c r="GW12"/>
      <c r="GX12"/>
      <c r="GY12" s="274"/>
      <c r="GZ12" s="42"/>
      <c r="HA12" s="42"/>
      <c r="HB12" s="274"/>
      <c r="HC12" s="274"/>
      <c r="HD12"/>
      <c r="HE12"/>
      <c r="HF12"/>
      <c r="HG12" s="42"/>
      <c r="HH12" s="42"/>
      <c r="HI12"/>
      <c r="HJ12"/>
      <c r="HK12"/>
      <c r="HL12"/>
      <c r="HM12"/>
      <c r="HN12" s="42"/>
      <c r="HO12" s="42"/>
      <c r="HP12"/>
      <c r="HQ12"/>
      <c r="HR12"/>
      <c r="HS12"/>
      <c r="HT12"/>
      <c r="HU12" s="42"/>
      <c r="HV12" s="42"/>
      <c r="HW12"/>
      <c r="HX12"/>
      <c r="HY12"/>
      <c r="HZ12"/>
      <c r="IA12"/>
      <c r="IB12" s="42"/>
      <c r="IC12" s="42"/>
      <c r="ID12"/>
      <c r="IE12"/>
      <c r="IF12"/>
      <c r="IG12"/>
      <c r="IH12"/>
      <c r="II12" s="42"/>
      <c r="IJ12" s="42"/>
      <c r="IK12"/>
      <c r="IL12"/>
      <c r="IM12"/>
      <c r="IN12"/>
      <c r="IO12"/>
      <c r="IP12" s="42"/>
      <c r="IQ12" s="42"/>
      <c r="IR12"/>
      <c r="IS12"/>
      <c r="IT12"/>
      <c r="IU12"/>
      <c r="IV12" s="274"/>
      <c r="IW12" s="42"/>
      <c r="IX12" s="42"/>
      <c r="IY12"/>
      <c r="IZ12"/>
      <c r="JA12"/>
      <c r="JB12"/>
      <c r="JC12"/>
      <c r="JD12" s="42"/>
      <c r="JE12" s="42"/>
      <c r="JF12"/>
      <c r="JG12"/>
      <c r="JH12"/>
      <c r="JI12"/>
      <c r="JJ12"/>
      <c r="JK12" s="42"/>
      <c r="JL12" s="42"/>
      <c r="JM12"/>
      <c r="JN12"/>
      <c r="JO12"/>
      <c r="JP12"/>
      <c r="JQ12"/>
      <c r="JR12" s="42"/>
      <c r="JS12" s="42"/>
      <c r="JT12"/>
      <c r="JU12"/>
      <c r="JV12"/>
      <c r="JW12"/>
      <c r="JX12"/>
      <c r="JY12" s="42"/>
      <c r="JZ12" s="42"/>
      <c r="KA12"/>
      <c r="KB12"/>
      <c r="KC12"/>
      <c r="KD12"/>
      <c r="KE12"/>
      <c r="KF12" s="42"/>
      <c r="KG12" s="42"/>
      <c r="KH12"/>
      <c r="KI12"/>
      <c r="KJ12"/>
      <c r="KK12"/>
      <c r="KL12"/>
      <c r="KM12" s="42"/>
      <c r="KN12" s="42"/>
      <c r="KO12"/>
      <c r="KP12"/>
      <c r="KQ12"/>
      <c r="KR12"/>
      <c r="KS12"/>
      <c r="KT12" s="42"/>
      <c r="KU12" s="42"/>
      <c r="KV12"/>
      <c r="KW12"/>
      <c r="KX12"/>
      <c r="KY12"/>
      <c r="KZ12"/>
      <c r="LA12" s="42"/>
      <c r="LB12" s="42"/>
      <c r="LC12"/>
      <c r="LD12"/>
      <c r="LE12"/>
      <c r="LF12"/>
      <c r="LG12"/>
      <c r="LH12" s="42"/>
      <c r="LI12" s="42"/>
      <c r="LJ12"/>
      <c r="LK12"/>
      <c r="LL12"/>
      <c r="LM12"/>
      <c r="LN12"/>
      <c r="LO12" s="42"/>
      <c r="LP12" s="42"/>
      <c r="LQ12"/>
      <c r="LR12"/>
      <c r="LS12"/>
      <c r="LT12"/>
      <c r="LU12"/>
      <c r="LV12" s="42"/>
      <c r="LW12" s="42"/>
      <c r="LX12"/>
      <c r="LY12"/>
      <c r="LZ12"/>
      <c r="MA12"/>
      <c r="MB12"/>
      <c r="MC12" s="42"/>
      <c r="MD12" s="42"/>
      <c r="ME12"/>
      <c r="MF12"/>
      <c r="MG12"/>
      <c r="MH12"/>
      <c r="MI12"/>
      <c r="MJ12" s="42"/>
      <c r="MK12" s="42"/>
      <c r="ML12"/>
      <c r="MM12"/>
      <c r="MN12"/>
      <c r="MO12"/>
      <c r="MP12" s="274"/>
      <c r="MQ12" s="42"/>
      <c r="MR12" s="276"/>
      <c r="MS12"/>
      <c r="MT12"/>
      <c r="MU12"/>
      <c r="MV12" s="274"/>
      <c r="MW12" s="274"/>
      <c r="MX12" s="42"/>
      <c r="MY12" s="42"/>
      <c r="MZ12" s="274"/>
      <c r="NA12" s="274"/>
      <c r="NB12" s="274"/>
      <c r="NC12"/>
      <c r="ND12"/>
      <c r="NE12" s="276"/>
      <c r="NF12" s="42"/>
      <c r="NG12"/>
      <c r="NH12"/>
      <c r="NI12"/>
      <c r="NJ12"/>
      <c r="NK12"/>
      <c r="NL12" s="42"/>
      <c r="NM12" s="42"/>
      <c r="NN12"/>
      <c r="NO12"/>
      <c r="NP12"/>
      <c r="NQ12"/>
      <c r="NR12"/>
      <c r="NS12" s="42"/>
      <c r="NT12" s="42"/>
      <c r="NU12"/>
      <c r="NV12"/>
      <c r="NW12"/>
      <c r="NX12"/>
      <c r="NY12"/>
      <c r="NZ12" s="42"/>
      <c r="OA12" s="42"/>
      <c r="OB12"/>
      <c r="OC12"/>
      <c r="OD12"/>
      <c r="OE12"/>
      <c r="OF12"/>
      <c r="OG12" s="42"/>
      <c r="OH12" s="42"/>
      <c r="OI12"/>
      <c r="OJ12"/>
      <c r="OK12"/>
      <c r="OL12"/>
      <c r="OM12"/>
      <c r="ON12" s="42"/>
      <c r="OO12" s="42"/>
      <c r="OP12"/>
      <c r="OQ12"/>
      <c r="OR12"/>
      <c r="OS12"/>
      <c r="OT12"/>
      <c r="OU12" s="42"/>
      <c r="OV12" s="42"/>
      <c r="OW12"/>
      <c r="OX12"/>
      <c r="OY12"/>
      <c r="OZ12"/>
      <c r="PA12"/>
      <c r="PB12" s="42"/>
      <c r="PC12" s="42"/>
      <c r="PD12"/>
      <c r="PE12"/>
      <c r="PF12"/>
      <c r="PG12"/>
      <c r="PH12"/>
      <c r="PI12" s="42"/>
      <c r="PJ12" s="42"/>
      <c r="PK12"/>
      <c r="PL12"/>
      <c r="PM12"/>
      <c r="PN12"/>
      <c r="PO12"/>
      <c r="PP12" s="42"/>
      <c r="PQ12" s="42"/>
      <c r="PR12"/>
      <c r="PS12"/>
      <c r="PT12"/>
      <c r="PU12"/>
      <c r="PV12"/>
      <c r="PW12" s="42"/>
      <c r="PX12" s="42"/>
      <c r="PY12"/>
      <c r="PZ12"/>
      <c r="QA12"/>
      <c r="QB12"/>
      <c r="QC12"/>
      <c r="QD12" s="42"/>
      <c r="QE12" s="42"/>
      <c r="QF12"/>
      <c r="QG12"/>
      <c r="QH12"/>
      <c r="QI12"/>
    </row>
    <row r="13" spans="1:451" s="44" customFormat="1">
      <c r="A13" s="44" t="s">
        <v>83</v>
      </c>
      <c r="B13" s="44" t="s">
        <v>84</v>
      </c>
      <c r="C13">
        <f t="array" ref="C13">IF(WEEKDAY(C$1,2)&gt;=6, 0, SUM( IF(WBS!$J$5:$J$2773=$A13, IF(C$1&gt;=WBS!$K$5:$K$2773, IF(C$1&lt;=WBS!$L$5:$L$2773, IF(WBS!$AU$5:$AU$2773 &gt;0, WBS!$I$5:$I$2773 / WBS!$AU$5:$AU$2773, 0), 0), 0), 0) ))</f>
        <v>0</v>
      </c>
      <c r="D13">
        <f t="array" ref="D13">IF(WEEKDAY(D$1,2)&gt;=6, 0, SUM( IF(WBS!$J$5:$J$2773=$A13, IF(D$1&gt;=WBS!$K$5:$K$2773, IF(D$1&lt;=WBS!$L$5:$L$2773, IF(WBS!$AU$5:$AU$2773 &gt;0, WBS!$I$5:$I$2773 / WBS!$AU$5:$AU$2773, 0), 0), 0), 0) ))</f>
        <v>0</v>
      </c>
      <c r="E13">
        <f t="array" ref="E13">IF(WEEKDAY(E$1,2)&gt;=6, 0, SUM( IF(WBS!$J$5:$J$2773=$A13, IF(E$1&gt;=WBS!$K$5:$K$2773, IF(E$1&lt;=WBS!$L$5:$L$2773, IF(WBS!$AU$5:$AU$2773 &gt;0, WBS!$I$5:$I$2773 / WBS!$AU$5:$AU$2773, 0), 0), 0), 0) ))</f>
        <v>0</v>
      </c>
      <c r="F13">
        <f t="array" ref="F13">IF(WEEKDAY(F$1,2)&gt;=6, 0, SUM( IF(WBS!$J$5:$J$2773=$A13, IF(F$1&gt;=WBS!$K$5:$K$2773, IF(F$1&lt;=WBS!$L$5:$L$2773, IF(WBS!$AU$5:$AU$2773 &gt;0, WBS!$I$5:$I$2773 / WBS!$AU$5:$AU$2773, 0), 0), 0), 0) ))</f>
        <v>0</v>
      </c>
      <c r="G13">
        <f t="array" ref="G13">IF(WEEKDAY(G$1,2)&gt;=6, 0, SUM( IF(WBS!$J$5:$J$2773=$A13, IF(G$1&gt;=WBS!$K$5:$K$2773, IF(G$1&lt;=WBS!$L$5:$L$2773, IF(WBS!$AU$5:$AU$2773 &gt;0, WBS!$I$5:$I$2773 / WBS!$AU$5:$AU$2773, 0), 0), 0), 0) ))</f>
        <v>0</v>
      </c>
      <c r="H13">
        <f t="array" ref="H13">IF(WEEKDAY(H$1,2)&gt;=6, 0, SUM( IF(WBS!$J$5:$J$2773=$A13, IF(H$1&gt;=WBS!$K$5:$K$2773, IF(H$1&lt;=WBS!$L$5:$L$2773, IF(WBS!$AU$5:$AU$2773 &gt;0, WBS!$I$5:$I$2773 / WBS!$AU$5:$AU$2773, 0), 0), 0), 0) ))</f>
        <v>0</v>
      </c>
      <c r="I13">
        <f t="array" ref="I13">IF(WEEKDAY(I$1,2)&gt;=6, 0, SUM( IF(WBS!$J$5:$J$2773=$A13, IF(I$1&gt;=WBS!$K$5:$K$2773, IF(I$1&lt;=WBS!$L$5:$L$2773, IF(WBS!$AU$5:$AU$2773 &gt;0, WBS!$I$5:$I$2773 / WBS!$AU$5:$AU$2773, 0), 0), 0), 0) ))</f>
        <v>0</v>
      </c>
      <c r="J13">
        <f t="array" ref="J13">IF(WEEKDAY(J$1,2)&gt;=6, 0, SUM( IF(WBS!$J$5:$J$2773=$A13, IF(J$1&gt;=WBS!$K$5:$K$2773, IF(J$1&lt;=WBS!$L$5:$L$2773, IF(WBS!$AU$5:$AU$2773 &gt;0, WBS!$I$5:$I$2773 / WBS!$AU$5:$AU$2773, 0), 0), 0), 0) ))</f>
        <v>0</v>
      </c>
      <c r="K13">
        <f t="array" ref="K13">IF(WEEKDAY(K$1,2)&gt;=6, 0, SUM( IF(WBS!$J$5:$J$2773=$A13, IF(K$1&gt;=WBS!$K$5:$K$2773, IF(K$1&lt;=WBS!$L$5:$L$2773, IF(WBS!$AU$5:$AU$2773 &gt;0, WBS!$I$5:$I$2773 / WBS!$AU$5:$AU$2773, 0), 0), 0), 0) ))</f>
        <v>0</v>
      </c>
      <c r="L13">
        <f t="array" ref="L13">IF(WEEKDAY(L$1,2)&gt;=6, 0, SUM( IF(WBS!$J$5:$J$2773=$A13, IF(L$1&gt;=WBS!$K$5:$K$2773, IF(L$1&lt;=WBS!$L$5:$L$2773, IF(WBS!$AU$5:$AU$2773 &gt;0, WBS!$I$5:$I$2773 / WBS!$AU$5:$AU$2773, 0), 0), 0), 0) ))</f>
        <v>0</v>
      </c>
      <c r="M13">
        <f t="array" ref="M13">IF(WEEKDAY(M$1,2)&gt;=6, 0, SUM( IF(WBS!$J$5:$J$2773=$A13, IF(M$1&gt;=WBS!$K$5:$K$2773, IF(M$1&lt;=WBS!$L$5:$L$2773, IF(WBS!$AU$5:$AU$2773 &gt;0, WBS!$I$5:$I$2773 / WBS!$AU$5:$AU$2773, 0), 0), 0), 0) ))</f>
        <v>0</v>
      </c>
      <c r="N13">
        <f t="array" ref="N13">IF(WEEKDAY(N$1,2)&gt;=6, 0, SUM( IF(WBS!$J$5:$J$2773=$A13, IF(N$1&gt;=WBS!$K$5:$K$2773, IF(N$1&lt;=WBS!$L$5:$L$2773, IF(WBS!$AU$5:$AU$2773 &gt;0, WBS!$I$5:$I$2773 / WBS!$AU$5:$AU$2773, 0), 0), 0), 0) ))</f>
        <v>0</v>
      </c>
      <c r="O13">
        <f t="array" ref="O13">IF(WEEKDAY(O$1,2)&gt;=6, 0, SUM( IF(WBS!$J$5:$J$2773=$A13, IF(O$1&gt;=WBS!$K$5:$K$2773, IF(O$1&lt;=WBS!$L$5:$L$2773, IF(WBS!$AU$5:$AU$2773 &gt;0, WBS!$I$5:$I$2773 / WBS!$AU$5:$AU$2773, 0), 0), 0), 0) ))</f>
        <v>0</v>
      </c>
      <c r="P13">
        <f t="array" ref="P13">IF(WEEKDAY(P$1,2)&gt;=6, 0, SUM( IF(WBS!$J$5:$J$2773=$A13, IF(P$1&gt;=WBS!$K$5:$K$2773, IF(P$1&lt;=WBS!$L$5:$L$2773, IF(WBS!$AU$5:$AU$2773 &gt;0, WBS!$I$5:$I$2773 / WBS!$AU$5:$AU$2773, 0), 0), 0), 0) ))</f>
        <v>0</v>
      </c>
      <c r="Q13">
        <f t="array" ref="Q13">IF(WEEKDAY(Q$1,2)&gt;=6, 0, SUM( IF(WBS!$J$5:$J$2773=$A13, IF(Q$1&gt;=WBS!$K$5:$K$2773, IF(Q$1&lt;=WBS!$L$5:$L$2773, IF(WBS!$AU$5:$AU$2773 &gt;0, WBS!$I$5:$I$2773 / WBS!$AU$5:$AU$2773, 0), 0), 0), 0) ))</f>
        <v>0</v>
      </c>
      <c r="R13">
        <f t="array" ref="R13">IF(WEEKDAY(R$1,2)&gt;=6, 0, SUM( IF(WBS!$J$5:$J$2773=$A13, IF(R$1&gt;=WBS!$K$5:$K$2773, IF(R$1&lt;=WBS!$L$5:$L$2773, IF(WBS!$AU$5:$AU$2773 &gt;0, WBS!$I$5:$I$2773 / WBS!$AU$5:$AU$2773, 0), 0), 0), 0) ))</f>
        <v>0</v>
      </c>
      <c r="S13">
        <f t="array" ref="S13">IF(WEEKDAY(S$1,2)&gt;=6, 0, SUM( IF(WBS!$J$5:$J$2773=$A13, IF(S$1&gt;=WBS!$K$5:$K$2773, IF(S$1&lt;=WBS!$L$5:$L$2773, IF(WBS!$AU$5:$AU$2773 &gt;0, WBS!$I$5:$I$2773 / WBS!$AU$5:$AU$2773, 0), 0), 0), 0) ))</f>
        <v>0</v>
      </c>
      <c r="T13">
        <f t="array" ref="T13">IF(WEEKDAY(T$1,2)&gt;=6, 0, SUM( IF(WBS!$J$5:$J$2773=$A13, IF(T$1&gt;=WBS!$K$5:$K$2773, IF(T$1&lt;=WBS!$L$5:$L$2773, IF(WBS!$AU$5:$AU$2773 &gt;0, WBS!$I$5:$I$2773 / WBS!$AU$5:$AU$2773, 0), 0), 0), 0) ))</f>
        <v>0</v>
      </c>
      <c r="U13">
        <f t="array" ref="U13">IF(WEEKDAY(U$1,2)&gt;=6, 0, SUM( IF(WBS!$J$5:$J$2773=$A13, IF(U$1&gt;=WBS!$K$5:$K$2773, IF(U$1&lt;=WBS!$L$5:$L$2773, IF(WBS!$AU$5:$AU$2773 &gt;0, WBS!$I$5:$I$2773 / WBS!$AU$5:$AU$2773, 0), 0), 0), 0) ))</f>
        <v>0</v>
      </c>
      <c r="V13">
        <f t="array" ref="V13">IF(WEEKDAY(V$1,2)&gt;=6, 0, SUM( IF(WBS!$J$5:$J$2773=$A13, IF(V$1&gt;=WBS!$K$5:$K$2773, IF(V$1&lt;=WBS!$L$5:$L$2773, IF(WBS!$AU$5:$AU$2773 &gt;0, WBS!$I$5:$I$2773 / WBS!$AU$5:$AU$2773, 0), 0), 0), 0) ))</f>
        <v>0</v>
      </c>
      <c r="W13">
        <f t="array" ref="W13">IF(WEEKDAY(W$1,2)&gt;=6, 0, SUM( IF(WBS!$J$5:$J$2773=$A13, IF(W$1&gt;=WBS!$K$5:$K$2773, IF(W$1&lt;=WBS!$L$5:$L$2773, IF(WBS!$AU$5:$AU$2773 &gt;0, WBS!$I$5:$I$2773 / WBS!$AU$5:$AU$2773, 0), 0), 0), 0) ))</f>
        <v>0</v>
      </c>
      <c r="X13">
        <f t="array" ref="X13">IF(WEEKDAY(X$1,2)&gt;=6, 0, SUM( IF(WBS!$J$5:$J$2773=$A13, IF(X$1&gt;=WBS!$K$5:$K$2773, IF(X$1&lt;=WBS!$L$5:$L$2773, IF(WBS!$AU$5:$AU$2773 &gt;0, WBS!$I$5:$I$2773 / WBS!$AU$5:$AU$2773, 0), 0), 0), 0) ))</f>
        <v>0</v>
      </c>
      <c r="Y13">
        <f t="array" ref="Y13">IF(WEEKDAY(Y$1,2)&gt;=6, 0, SUM( IF(WBS!$J$5:$J$2773=$A13, IF(Y$1&gt;=WBS!$K$5:$K$2773, IF(Y$1&lt;=WBS!$L$5:$L$2773, IF(WBS!$AU$5:$AU$2773 &gt;0, WBS!$I$5:$I$2773 / WBS!$AU$5:$AU$2773, 0), 0), 0), 0) ))</f>
        <v>0</v>
      </c>
      <c r="Z13">
        <f t="array" ref="Z13">IF(WEEKDAY(Z$1,2)&gt;=6, 0, SUM( IF(WBS!$J$5:$J$2773=$A13, IF(Z$1&gt;=WBS!$K$5:$K$2773, IF(Z$1&lt;=WBS!$L$5:$L$2773, IF(WBS!$AU$5:$AU$2773 &gt;0, WBS!$I$5:$I$2773 / WBS!$AU$5:$AU$2773, 0), 0), 0), 0) ))</f>
        <v>0</v>
      </c>
      <c r="AA13">
        <f t="array" ref="AA13">IF(WEEKDAY(AA$1,2)&gt;=6, 0, SUM( IF(WBS!$J$5:$J$2773=$A13, IF(AA$1&gt;=WBS!$K$5:$K$2773, IF(AA$1&lt;=WBS!$L$5:$L$2773, IF(WBS!$AU$5:$AU$2773 &gt;0, WBS!$I$5:$I$2773 / WBS!$AU$5:$AU$2773, 0), 0), 0), 0) ))</f>
        <v>0</v>
      </c>
      <c r="AB13">
        <f t="array" ref="AB13">IF(WEEKDAY(AB$1,2)&gt;=6, 0, SUM( IF(WBS!$J$5:$J$2773=$A13, IF(AB$1&gt;=WBS!$K$5:$K$2773, IF(AB$1&lt;=WBS!$L$5:$L$2773, IF(WBS!$AU$5:$AU$2773 &gt;0, WBS!$I$5:$I$2773 / WBS!$AU$5:$AU$2773, 0), 0), 0), 0) ))</f>
        <v>0</v>
      </c>
      <c r="AC13">
        <f t="array" ref="AC13">IF(WEEKDAY(AC$1,2)&gt;=6, 0, SUM( IF(WBS!$J$5:$J$2773=$A13, IF(AC$1&gt;=WBS!$K$5:$K$2773, IF(AC$1&lt;=WBS!$L$5:$L$2773, IF(WBS!$AU$5:$AU$2773 &gt;0, WBS!$I$5:$I$2773 / WBS!$AU$5:$AU$2773, 0), 0), 0), 0) ))</f>
        <v>0</v>
      </c>
      <c r="AD13">
        <f t="array" ref="AD13">IF(WEEKDAY(AD$1,2)&gt;=6, 0, SUM( IF(WBS!$J$5:$J$2773=$A13, IF(AD$1&gt;=WBS!$K$5:$K$2773, IF(AD$1&lt;=WBS!$L$5:$L$2773, IF(WBS!$AU$5:$AU$2773 &gt;0, WBS!$I$5:$I$2773 / WBS!$AU$5:$AU$2773, 0), 0), 0), 0) ))</f>
        <v>0</v>
      </c>
      <c r="AE13">
        <f t="array" ref="AE13">IF(WEEKDAY(AE$1,2)&gt;=6, 0, SUM( IF(WBS!$J$5:$J$2773=$A13, IF(AE$1&gt;=WBS!$K$5:$K$2773, IF(AE$1&lt;=WBS!$L$5:$L$2773, IF(WBS!$AU$5:$AU$2773 &gt;0, WBS!$I$5:$I$2773 / WBS!$AU$5:$AU$2773, 0), 0), 0), 0) ))</f>
        <v>0</v>
      </c>
      <c r="AF13">
        <f t="array" ref="AF13">IF(WEEKDAY(AF$1,2)&gt;=6, 0, SUM( IF(WBS!$J$5:$J$2773=$A13, IF(AF$1&gt;=WBS!$K$5:$K$2773, IF(AF$1&lt;=WBS!$L$5:$L$2773, IF(WBS!$AU$5:$AU$2773 &gt;0, WBS!$I$5:$I$2773 / WBS!$AU$5:$AU$2773, 0), 0), 0), 0) ))</f>
        <v>0</v>
      </c>
      <c r="AG13">
        <f t="array" ref="AG13">IF(WEEKDAY(AG$1,2)&gt;=6, 0, SUM( IF(WBS!$J$5:$J$2773=$A13, IF(AG$1&gt;=WBS!$K$5:$K$2773, IF(AG$1&lt;=WBS!$L$5:$L$2773, IF(WBS!$AU$5:$AU$2773 &gt;0, WBS!$I$5:$I$2773 / WBS!$AU$5:$AU$2773, 0), 0), 0), 0) ))</f>
        <v>0</v>
      </c>
      <c r="AH13">
        <f t="array" ref="AH13">IF(WEEKDAY(AH$1,2)&gt;=6, 0, SUM( IF(WBS!$J$5:$J$2773=$A13, IF(AH$1&gt;=WBS!$K$5:$K$2773, IF(AH$1&lt;=WBS!$L$5:$L$2773, IF(WBS!$AU$5:$AU$2773 &gt;0, WBS!$I$5:$I$2773 / WBS!$AU$5:$AU$2773, 0), 0), 0), 0) ))</f>
        <v>0</v>
      </c>
      <c r="AI13">
        <f t="array" ref="AI13">IF(WEEKDAY(AI$1,2)&gt;=6, 0, SUM( IF(WBS!$J$5:$J$2773=$A13, IF(AI$1&gt;=WBS!$K$5:$K$2773, IF(AI$1&lt;=WBS!$L$5:$L$2773, IF(WBS!$AU$5:$AU$2773 &gt;0, WBS!$I$5:$I$2773 / WBS!$AU$5:$AU$2773, 0), 0), 0), 0) ))</f>
        <v>0</v>
      </c>
      <c r="AJ13">
        <f t="array" ref="AJ13">IF(WEEKDAY(AJ$1,2)&gt;=6, 0, SUM( IF(WBS!$J$5:$J$2773=$A13, IF(AJ$1&gt;=WBS!$K$5:$K$2773, IF(AJ$1&lt;=WBS!$L$5:$L$2773, IF(WBS!$AU$5:$AU$2773 &gt;0, WBS!$I$5:$I$2773 / WBS!$AU$5:$AU$2773, 0), 0), 0), 0) ))</f>
        <v>0</v>
      </c>
      <c r="AK13">
        <f t="array" ref="AK13">IF(WEEKDAY(AK$1,2)&gt;=6, 0, SUM( IF(WBS!$J$5:$J$2773=$A13, IF(AK$1&gt;=WBS!$K$5:$K$2773, IF(AK$1&lt;=WBS!$L$5:$L$2773, IF(WBS!$AU$5:$AU$2773 &gt;0, WBS!$I$5:$I$2773 / WBS!$AU$5:$AU$2773, 0), 0), 0), 0) ))</f>
        <v>0</v>
      </c>
      <c r="AL13">
        <f t="array" ref="AL13">IF(WEEKDAY(AL$1,2)&gt;=6, 0, SUM( IF(WBS!$J$5:$J$2773=$A13, IF(AL$1&gt;=WBS!$K$5:$K$2773, IF(AL$1&lt;=WBS!$L$5:$L$2773, IF(WBS!$AU$5:$AU$2773 &gt;0, WBS!$I$5:$I$2773 / WBS!$AU$5:$AU$2773, 0), 0), 0), 0) ))</f>
        <v>0</v>
      </c>
      <c r="AM13">
        <f t="array" ref="AM13">IF(WEEKDAY(AM$1,2)&gt;=6, 0, SUM( IF(WBS!$J$5:$J$2773=$A13, IF(AM$1&gt;=WBS!$K$5:$K$2773, IF(AM$1&lt;=WBS!$L$5:$L$2773, IF(WBS!$AU$5:$AU$2773 &gt;0, WBS!$I$5:$I$2773 / WBS!$AU$5:$AU$2773, 0), 0), 0), 0) ))</f>
        <v>0</v>
      </c>
      <c r="AN13">
        <f t="array" ref="AN13">IF(WEEKDAY(AN$1,2)&gt;=6, 0, SUM( IF(WBS!$J$5:$J$2773=$A13, IF(AN$1&gt;=WBS!$K$5:$K$2773, IF(AN$1&lt;=WBS!$L$5:$L$2773, IF(WBS!$AU$5:$AU$2773 &gt;0, WBS!$I$5:$I$2773 / WBS!$AU$5:$AU$2773, 0), 0), 0), 0) ))</f>
        <v>0</v>
      </c>
      <c r="AO13">
        <f t="array" ref="AO13">IF(WEEKDAY(AO$1,2)&gt;=6, 0, SUM( IF(WBS!$J$5:$J$2773=$A13, IF(AO$1&gt;=WBS!$K$5:$K$2773, IF(AO$1&lt;=WBS!$L$5:$L$2773, IF(WBS!$AU$5:$AU$2773 &gt;0, WBS!$I$5:$I$2773 / WBS!$AU$5:$AU$2773, 0), 0), 0), 0) ))</f>
        <v>0</v>
      </c>
      <c r="AP13">
        <f t="array" ref="AP13">IF(WEEKDAY(AP$1,2)&gt;=6, 0, SUM( IF(WBS!$J$5:$J$2773=$A13, IF(AP$1&gt;=WBS!$K$5:$K$2773, IF(AP$1&lt;=WBS!$L$5:$L$2773, IF(WBS!$AU$5:$AU$2773 &gt;0, WBS!$I$5:$I$2773 / WBS!$AU$5:$AU$2773, 0), 0), 0), 0) ))</f>
        <v>0</v>
      </c>
      <c r="AQ13">
        <f t="array" ref="AQ13">IF(WEEKDAY(AQ$1,2)&gt;=6, 0, SUM( IF(WBS!$J$5:$J$2773=$A13, IF(AQ$1&gt;=WBS!$K$5:$K$2773, IF(AQ$1&lt;=WBS!$L$5:$L$2773, IF(WBS!$AU$5:$AU$2773 &gt;0, WBS!$I$5:$I$2773 / WBS!$AU$5:$AU$2773, 0), 0), 0), 0) ))</f>
        <v>0</v>
      </c>
      <c r="AR13">
        <f t="array" ref="AR13">IF(WEEKDAY(AR$1,2)&gt;=6, 0, SUM( IF(WBS!$J$5:$J$2773=$A13, IF(AR$1&gt;=WBS!$K$5:$K$2773, IF(AR$1&lt;=WBS!$L$5:$L$2773, IF(WBS!$AU$5:$AU$2773 &gt;0, WBS!$I$5:$I$2773 / WBS!$AU$5:$AU$2773, 0), 0), 0), 0) ))</f>
        <v>0</v>
      </c>
      <c r="AS13">
        <f t="array" ref="AS13">IF(WEEKDAY(AS$1,2)&gt;=6, 0, SUM( IF(WBS!$J$5:$J$2773=$A13, IF(AS$1&gt;=WBS!$K$5:$K$2773, IF(AS$1&lt;=WBS!$L$5:$L$2773, IF(WBS!$AU$5:$AU$2773 &gt;0, WBS!$I$5:$I$2773 / WBS!$AU$5:$AU$2773, 0), 0), 0), 0) ))</f>
        <v>0</v>
      </c>
      <c r="AT13">
        <f t="array" ref="AT13">IF(WEEKDAY(AT$1,2)&gt;=6, 0, SUM( IF(WBS!$J$5:$J$2773=$A13, IF(AT$1&gt;=WBS!$K$5:$K$2773, IF(AT$1&lt;=WBS!$L$5:$L$2773, IF(WBS!$AU$5:$AU$2773 &gt;0, WBS!$I$5:$I$2773 / WBS!$AU$5:$AU$2773, 0), 0), 0), 0) ))</f>
        <v>0</v>
      </c>
      <c r="AU13">
        <f t="array" ref="AU13">IF(WEEKDAY(AU$1,2)&gt;=6, 0, SUM( IF(WBS!$J$5:$J$2773=$A13, IF(AU$1&gt;=WBS!$K$5:$K$2773, IF(AU$1&lt;=WBS!$L$5:$L$2773, IF(WBS!$AU$5:$AU$2773 &gt;0, WBS!$I$5:$I$2773 / WBS!$AU$5:$AU$2773, 0), 0), 0), 0) ))</f>
        <v>0</v>
      </c>
      <c r="AV13">
        <f t="array" ref="AV13">IF(WEEKDAY(AV$1,2)&gt;=6, 0, SUM( IF(WBS!$J$5:$J$2773=$A13, IF(AV$1&gt;=WBS!$K$5:$K$2773, IF(AV$1&lt;=WBS!$L$5:$L$2773, IF(WBS!$AU$5:$AU$2773 &gt;0, WBS!$I$5:$I$2773 / WBS!$AU$5:$AU$2773, 0), 0), 0), 0) ))</f>
        <v>0</v>
      </c>
      <c r="AW13">
        <f t="array" ref="AW13">IF(WEEKDAY(AW$1,2)&gt;=6, 0, SUM( IF(WBS!$J$5:$J$2773=$A13, IF(AW$1&gt;=WBS!$K$5:$K$2773, IF(AW$1&lt;=WBS!$L$5:$L$2773, IF(WBS!$AU$5:$AU$2773 &gt;0, WBS!$I$5:$I$2773 / WBS!$AU$5:$AU$2773, 0), 0), 0), 0) ))</f>
        <v>0</v>
      </c>
      <c r="AX13">
        <f t="array" ref="AX13">IF(WEEKDAY(AX$1,2)&gt;=6, 0, SUM( IF(WBS!$J$5:$J$2773=$A13, IF(AX$1&gt;=WBS!$K$5:$K$2773, IF(AX$1&lt;=WBS!$L$5:$L$2773, IF(WBS!$AU$5:$AU$2773 &gt;0, WBS!$I$5:$I$2773 / WBS!$AU$5:$AU$2773, 0), 0), 0), 0) ))</f>
        <v>0</v>
      </c>
      <c r="AY13">
        <f t="array" ref="AY13">IF(WEEKDAY(AY$1,2)&gt;=6, 0, SUM( IF(WBS!$J$5:$J$2773=$A13, IF(AY$1&gt;=WBS!$K$5:$K$2773, IF(AY$1&lt;=WBS!$L$5:$L$2773, IF(WBS!$AU$5:$AU$2773 &gt;0, WBS!$I$5:$I$2773 / WBS!$AU$5:$AU$2773, 0), 0), 0), 0) ))</f>
        <v>0</v>
      </c>
      <c r="AZ13">
        <f t="array" ref="AZ13">IF(WEEKDAY(AZ$1,2)&gt;=6, 0, SUM( IF(WBS!$J$5:$J$2773=$A13, IF(AZ$1&gt;=WBS!$K$5:$K$2773, IF(AZ$1&lt;=WBS!$L$5:$L$2773, IF(WBS!$AU$5:$AU$2773 &gt;0, WBS!$I$5:$I$2773 / WBS!$AU$5:$AU$2773, 0), 0), 0), 0) ))</f>
        <v>0</v>
      </c>
      <c r="BA13">
        <f t="array" ref="BA13">IF(WEEKDAY(BA$1,2)&gt;=6, 0, SUM( IF(WBS!$J$5:$J$2773=$A13, IF(BA$1&gt;=WBS!$K$5:$K$2773, IF(BA$1&lt;=WBS!$L$5:$L$2773, IF(WBS!$AU$5:$AU$2773 &gt;0, WBS!$I$5:$I$2773 / WBS!$AU$5:$AU$2773, 0), 0), 0), 0) ))</f>
        <v>0</v>
      </c>
      <c r="BB13">
        <f t="array" ref="BB13">IF(WEEKDAY(BB$1,2)&gt;=6, 0, SUM( IF(WBS!$J$5:$J$2773=$A13, IF(BB$1&gt;=WBS!$K$5:$K$2773, IF(BB$1&lt;=WBS!$L$5:$L$2773, IF(WBS!$AU$5:$AU$2773 &gt;0, WBS!$I$5:$I$2773 / WBS!$AU$5:$AU$2773, 0), 0), 0), 0) ))</f>
        <v>0</v>
      </c>
      <c r="BC13">
        <f t="array" ref="BC13">IF(WEEKDAY(BC$1,2)&gt;=6, 0, SUM( IF(WBS!$J$5:$J$2773=$A13, IF(BC$1&gt;=WBS!$K$5:$K$2773, IF(BC$1&lt;=WBS!$L$5:$L$2773, IF(WBS!$AU$5:$AU$2773 &gt;0, WBS!$I$5:$I$2773 / WBS!$AU$5:$AU$2773, 0), 0), 0), 0) ))</f>
        <v>0</v>
      </c>
      <c r="BD13">
        <f t="array" ref="BD13">IF(WEEKDAY(BD$1,2)&gt;=6, 0, SUM( IF(WBS!$J$5:$J$2773=$A13, IF(BD$1&gt;=WBS!$K$5:$K$2773, IF(BD$1&lt;=WBS!$L$5:$L$2773, IF(WBS!$AU$5:$AU$2773 &gt;0, WBS!$I$5:$I$2773 / WBS!$AU$5:$AU$2773, 0), 0), 0), 0) ))</f>
        <v>0</v>
      </c>
      <c r="BE13">
        <f t="array" ref="BE13">IF(WEEKDAY(BE$1,2)&gt;=6, 0, SUM( IF(WBS!$J$5:$J$2773=$A13, IF(BE$1&gt;=WBS!$K$5:$K$2773, IF(BE$1&lt;=WBS!$L$5:$L$2773, IF(WBS!$AU$5:$AU$2773 &gt;0, WBS!$I$5:$I$2773 / WBS!$AU$5:$AU$2773, 0), 0), 0), 0) ))</f>
        <v>0</v>
      </c>
      <c r="BF13">
        <f t="array" ref="BF13">IF(WEEKDAY(BF$1,2)&gt;=6, 0, SUM( IF(WBS!$J$5:$J$2773=$A13, IF(BF$1&gt;=WBS!$K$5:$K$2773, IF(BF$1&lt;=WBS!$L$5:$L$2773, IF(WBS!$AU$5:$AU$2773 &gt;0, WBS!$I$5:$I$2773 / WBS!$AU$5:$AU$2773, 0), 0), 0), 0) ))</f>
        <v>0</v>
      </c>
      <c r="BG13">
        <f t="array" ref="BG13">IF(WEEKDAY(BG$1,2)&gt;=6, 0, SUM( IF(WBS!$J$5:$J$2773=$A13, IF(BG$1&gt;=WBS!$K$5:$K$2773, IF(BG$1&lt;=WBS!$L$5:$L$2773, IF(WBS!$AU$5:$AU$2773 &gt;0, WBS!$I$5:$I$2773 / WBS!$AU$5:$AU$2773, 0), 0), 0), 0) ))</f>
        <v>0</v>
      </c>
      <c r="BH13">
        <f t="array" ref="BH13">IF(WEEKDAY(BH$1,2)&gt;=6, 0, SUM( IF(WBS!$J$5:$J$2773=$A13, IF(BH$1&gt;=WBS!$K$5:$K$2773, IF(BH$1&lt;=WBS!$L$5:$L$2773, IF(WBS!$AU$5:$AU$2773 &gt;0, WBS!$I$5:$I$2773 / WBS!$AU$5:$AU$2773, 0), 0), 0), 0) ))</f>
        <v>0</v>
      </c>
      <c r="BI13" s="42">
        <f t="array" ref="BI13">IF(WEEKDAY(BI$1,2)&gt;=6, 0, SUM( IF(WBS!$J$5:$J$2773=$A13, IF(BI$1&gt;=WBS!$K$5:$K$2773, IF(BI$1&lt;=WBS!$L$5:$L$2773, IF(WBS!$AU$5:$AU$2773 &gt;0, WBS!$I$5:$I$2773 / WBS!$AU$5:$AU$2773, 0), 0), 0), 0) ))</f>
        <v>0</v>
      </c>
      <c r="BJ13" s="42">
        <f t="array" ref="BJ13">IF(WEEKDAY(BJ$1,2)&gt;=6, 0, SUM( IF(WBS!$J$5:$J$2773=$A13, IF(BJ$1&gt;=WBS!$K$5:$K$2773, IF(BJ$1&lt;=WBS!$L$5:$L$2773, IF(WBS!$AU$5:$AU$2773 &gt;0, WBS!$I$5:$I$2773 / WBS!$AU$5:$AU$2773, 0), 0), 0), 0) ))</f>
        <v>0</v>
      </c>
      <c r="BK13">
        <f t="array" ref="BK13">IF(WEEKDAY(BK$1,2)&gt;=6, 0, SUM( IF(WBS!$J$5:$J$2773=$A13, IF(BK$1&gt;=WBS!$K$5:$K$2773, IF(BK$1&lt;=WBS!$L$5:$L$2773, IF(WBS!$AU$5:$AU$2773 &gt;0, WBS!$I$5:$I$2773 / WBS!$AU$5:$AU$2773, 0), 0), 0), 0) ))</f>
        <v>0</v>
      </c>
      <c r="BL13">
        <f t="array" ref="BL13">IF(WEEKDAY(BL$1,2)&gt;=6, 0, SUM( IF(WBS!$J$5:$J$2773=$A13, IF(BL$1&gt;=WBS!$K$5:$K$2773, IF(BL$1&lt;=WBS!$L$5:$L$2773, IF(WBS!$AU$5:$AU$2773 &gt;0, WBS!$I$5:$I$2773 / WBS!$AU$5:$AU$2773, 0), 0), 0), 0) ))</f>
        <v>0</v>
      </c>
      <c r="BM13">
        <f t="array" ref="BM13">IF(WEEKDAY(BM$1,2)&gt;=6, 0, SUM( IF(WBS!$J$5:$J$2773=$A13, IF(BM$1&gt;=WBS!$K$5:$K$2773, IF(BM$1&lt;=WBS!$L$5:$L$2773, IF(WBS!$AU$5:$AU$2773 &gt;0, WBS!$I$5:$I$2773 / WBS!$AU$5:$AU$2773, 0), 0), 0), 0) ))</f>
        <v>0</v>
      </c>
      <c r="BN13">
        <f t="array" ref="BN13">IF(WEEKDAY(BN$1,2)&gt;=6, 0, SUM( IF(WBS!$J$5:$J$2773=$A13, IF(BN$1&gt;=WBS!$K$5:$K$2773, IF(BN$1&lt;=WBS!$L$5:$L$2773, IF(WBS!$AU$5:$AU$2773 &gt;0, WBS!$I$5:$I$2773 / WBS!$AU$5:$AU$2773, 0), 0), 0), 0) ))</f>
        <v>0</v>
      </c>
      <c r="BO13">
        <f t="array" ref="BO13">IF(WEEKDAY(BO$1,2)&gt;=6, 0, SUM( IF(WBS!$J$5:$J$2773=$A13, IF(BO$1&gt;=WBS!$K$5:$K$2773, IF(BO$1&lt;=WBS!$L$5:$L$2773, IF(WBS!$AU$5:$AU$2773 &gt;0, WBS!$I$5:$I$2773 / WBS!$AU$5:$AU$2773, 0), 0), 0), 0) ))</f>
        <v>0</v>
      </c>
      <c r="BP13" s="42">
        <f t="array" ref="BP13">IF(WEEKDAY(BP$1,2)&gt;=6, 0, SUM( IF(WBS!$J$5:$J$2773=$A13, IF(BP$1&gt;=WBS!$K$5:$K$2773, IF(BP$1&lt;=WBS!$L$5:$L$2773, IF(WBS!$AU$5:$AU$2773 &gt;0, WBS!$I$5:$I$2773 / WBS!$AU$5:$AU$2773, 0), 0), 0), 0) ))</f>
        <v>0</v>
      </c>
      <c r="BQ13" s="42">
        <f t="array" ref="BQ13">IF(WEEKDAY(BQ$1,2)&gt;=6, 0, SUM( IF(WBS!$J$5:$J$2773=$A13, IF(BQ$1&gt;=WBS!$K$5:$K$2773, IF(BQ$1&lt;=WBS!$L$5:$L$2773, IF(WBS!$AU$5:$AU$2773 &gt;0, WBS!$I$5:$I$2773 / WBS!$AU$5:$AU$2773, 0), 0), 0), 0) ))</f>
        <v>0</v>
      </c>
      <c r="BR13">
        <f t="array" ref="BR13">IF(WEEKDAY(BR$1,2)&gt;=6, 0, SUM( IF(WBS!$J$5:$J$2773=$A13, IF(BR$1&gt;=WBS!$K$5:$K$2773, IF(BR$1&lt;=WBS!$L$5:$L$2773, IF(WBS!$AU$5:$AU$2773 &gt;0, WBS!$I$5:$I$2773 / WBS!$AU$5:$AU$2773, 0), 0), 0), 0) ))</f>
        <v>0</v>
      </c>
      <c r="BS13">
        <f t="array" ref="BS13">IF(WEEKDAY(BS$1,2)&gt;=6, 0, SUM( IF(WBS!$J$5:$J$2773=$A13, IF(BS$1&gt;=WBS!$K$5:$K$2773, IF(BS$1&lt;=WBS!$L$5:$L$2773, IF(WBS!$AU$5:$AU$2773 &gt;0, WBS!$I$5:$I$2773 / WBS!$AU$5:$AU$2773, 0), 0), 0), 0) ))</f>
        <v>0</v>
      </c>
      <c r="BT13">
        <f t="array" ref="BT13">IF(WEEKDAY(BT$1,2)&gt;=6, 0, SUM( IF(WBS!$J$5:$J$2773=$A13, IF(BT$1&gt;=WBS!$K$5:$K$2773, IF(BT$1&lt;=WBS!$L$5:$L$2773, IF(WBS!$AU$5:$AU$2773 &gt;0, WBS!$I$5:$I$2773 / WBS!$AU$5:$AU$2773, 0), 0), 0), 0) ))</f>
        <v>0</v>
      </c>
      <c r="BU13">
        <f t="array" ref="BU13">IF(WEEKDAY(BU$1,2)&gt;=6, 0, SUM( IF(WBS!$J$5:$J$2773=$A13, IF(BU$1&gt;=WBS!$K$5:$K$2773, IF(BU$1&lt;=WBS!$L$5:$L$2773, IF(WBS!$AU$5:$AU$2773 &gt;0, WBS!$I$5:$I$2773 / WBS!$AU$5:$AU$2773, 0), 0), 0), 0) ))</f>
        <v>0</v>
      </c>
      <c r="BV13">
        <f t="array" ref="BV13">IF(WEEKDAY(BV$1,2)&gt;=6, 0, SUM( IF(WBS!$J$5:$J$2773=$A13, IF(BV$1&gt;=WBS!$K$5:$K$2773, IF(BV$1&lt;=WBS!$L$5:$L$2773, IF(WBS!$AU$5:$AU$2773 &gt;0, WBS!$I$5:$I$2773 / WBS!$AU$5:$AU$2773, 0), 0), 0), 0) ))</f>
        <v>0</v>
      </c>
      <c r="BW13" s="42">
        <f t="array" ref="BW13">IF(WEEKDAY(BW$1,2)&gt;=6, 0, SUM( IF(WBS!$J$5:$J$2773=$A13, IF(BW$1&gt;=WBS!$K$5:$K$2773, IF(BW$1&lt;=WBS!$L$5:$L$2773, IF(WBS!$AU$5:$AU$2773 &gt;0, WBS!$I$5:$I$2773 / WBS!$AU$5:$AU$2773, 0), 0), 0), 0) ))</f>
        <v>0</v>
      </c>
      <c r="BX13" s="42">
        <f t="array" ref="BX13">IF(WEEKDAY(BX$1,2)&gt;=6, 0, SUM( IF(WBS!$J$5:$J$2773=$A13, IF(BX$1&gt;=WBS!$K$5:$K$2773, IF(BX$1&lt;=WBS!$L$5:$L$2773, IF(WBS!$AU$5:$AU$2773 &gt;0, WBS!$I$5:$I$2773 / WBS!$AU$5:$AU$2773, 0), 0), 0), 0) ))</f>
        <v>0</v>
      </c>
      <c r="BY13">
        <f t="array" ref="BY13">IF(WEEKDAY(BY$1,2)&gt;=6, 0, SUM( IF(WBS!$J$5:$J$2773=$A13, IF(BY$1&gt;=WBS!$K$5:$K$2773, IF(BY$1&lt;=WBS!$L$5:$L$2773, IF(WBS!$AU$5:$AU$2773 &gt;0, WBS!$I$5:$I$2773 / WBS!$AU$5:$AU$2773, 0), 0), 0), 0) ))</f>
        <v>0</v>
      </c>
      <c r="BZ13">
        <f t="array" ref="BZ13">IF(WEEKDAY(BZ$1,2)&gt;=6, 0, SUM( IF(WBS!$J$5:$J$2773=$A13, IF(BZ$1&gt;=WBS!$K$5:$K$2773, IF(BZ$1&lt;=WBS!$L$5:$L$2773, IF(WBS!$AU$5:$AU$2773 &gt;0, WBS!$I$5:$I$2773 / WBS!$AU$5:$AU$2773, 0), 0), 0), 0) ))</f>
        <v>0</v>
      </c>
      <c r="CA13">
        <f t="array" ref="CA13">IF(WEEKDAY(CA$1,2)&gt;=6, 0, SUM( IF(WBS!$J$5:$J$2773=$A13, IF(CA$1&gt;=WBS!$K$5:$K$2773, IF(CA$1&lt;=WBS!$L$5:$L$2773, IF(WBS!$AU$5:$AU$2773 &gt;0, WBS!$I$5:$I$2773 / WBS!$AU$5:$AU$2773, 0), 0), 0), 0) ))</f>
        <v>0</v>
      </c>
      <c r="CB13">
        <f t="array" ref="CB13">IF(WEEKDAY(CB$1,2)&gt;=6, 0, SUM( IF(WBS!$J$5:$J$2773=$A13, IF(CB$1&gt;=WBS!$K$5:$K$2773, IF(CB$1&lt;=WBS!$L$5:$L$2773, IF(WBS!$AU$5:$AU$2773 &gt;0, WBS!$I$5:$I$2773 / WBS!$AU$5:$AU$2773, 0), 0), 0), 0) ))</f>
        <v>0</v>
      </c>
      <c r="CC13">
        <f t="array" ref="CC13">IF(WEEKDAY(CC$1,2)&gt;=6, 0, SUM( IF(WBS!$J$5:$J$2773=$A13, IF(CC$1&gt;=WBS!$K$5:$K$2773, IF(CC$1&lt;=WBS!$L$5:$L$2773, IF(WBS!$AU$5:$AU$2773 &gt;0, WBS!$I$5:$I$2773 / WBS!$AU$5:$AU$2773, 0), 0), 0), 0) ))</f>
        <v>0</v>
      </c>
      <c r="CD13" s="42">
        <f t="array" ref="CD13">IF(WEEKDAY(CD$1,2)&gt;=6, 0, SUM( IF(WBS!$J$5:$J$2773=$A13, IF(CD$1&gt;=WBS!$K$5:$K$2773, IF(CD$1&lt;=WBS!$L$5:$L$2773, IF(WBS!$AU$5:$AU$2773 &gt;0, WBS!$I$5:$I$2773 / WBS!$AU$5:$AU$2773, 0), 0), 0), 0) ))</f>
        <v>0</v>
      </c>
      <c r="CE13" s="42">
        <f t="array" ref="CE13">IF(WEEKDAY(CE$1,2)&gt;=6, 0, SUM( IF(WBS!$J$5:$J$2773=$A13, IF(CE$1&gt;=WBS!$K$5:$K$2773, IF(CE$1&lt;=WBS!$L$5:$L$2773, IF(WBS!$AU$5:$AU$2773 &gt;0, WBS!$I$5:$I$2773 / WBS!$AU$5:$AU$2773, 0), 0), 0), 0) ))</f>
        <v>0</v>
      </c>
      <c r="CF13">
        <f t="array" ref="CF13">IF(WEEKDAY(CF$1,2)&gt;=6, 0, SUM( IF(WBS!$J$5:$J$2773=$A13, IF(CF$1&gt;=WBS!$K$5:$K$2773, IF(CF$1&lt;=WBS!$L$5:$L$2773, IF(WBS!$AU$5:$AU$2773 &gt;0, WBS!$I$5:$I$2773 / WBS!$AU$5:$AU$2773, 0), 0), 0), 0) ))</f>
        <v>0</v>
      </c>
      <c r="CG13">
        <f t="array" ref="CG13">IF(WEEKDAY(CG$1,2)&gt;=6, 0, SUM( IF(WBS!$J$5:$J$2773=$A13, IF(CG$1&gt;=WBS!$K$5:$K$2773, IF(CG$1&lt;=WBS!$L$5:$L$2773, IF(WBS!$AU$5:$AU$2773 &gt;0, WBS!$I$5:$I$2773 / WBS!$AU$5:$AU$2773, 0), 0), 0), 0) ))</f>
        <v>0</v>
      </c>
      <c r="CH13">
        <f t="array" ref="CH13">IF(WEEKDAY(CH$1,2)&gt;=6, 0, SUM( IF(WBS!$J$5:$J$2773=$A13, IF(CH$1&gt;=WBS!$K$5:$K$2773, IF(CH$1&lt;=WBS!$L$5:$L$2773, IF(WBS!$AU$5:$AU$2773 &gt;0, WBS!$I$5:$I$2773 / WBS!$AU$5:$AU$2773, 0), 0), 0), 0) ))</f>
        <v>0</v>
      </c>
      <c r="CI13" s="274"/>
      <c r="CJ13"/>
      <c r="CK13" s="42"/>
      <c r="CL13" s="42"/>
      <c r="CM13"/>
      <c r="CN13"/>
      <c r="CO13"/>
      <c r="CP13"/>
      <c r="CQ13"/>
      <c r="CR13" s="42"/>
      <c r="CS13" s="42"/>
      <c r="CT13"/>
      <c r="CU13"/>
      <c r="CV13"/>
      <c r="CW13"/>
      <c r="CX13"/>
      <c r="CY13" s="42"/>
      <c r="CZ13" s="42"/>
      <c r="DA13"/>
      <c r="DB13"/>
      <c r="DC13"/>
      <c r="DD13"/>
      <c r="DE13"/>
      <c r="DF13" s="42"/>
      <c r="DG13" s="42"/>
      <c r="DH13"/>
      <c r="DI13"/>
      <c r="DJ13"/>
      <c r="DK13"/>
      <c r="DL13"/>
      <c r="DM13" s="42"/>
      <c r="DN13" s="42"/>
      <c r="DO13"/>
      <c r="DP13"/>
      <c r="DQ13"/>
      <c r="DR13"/>
      <c r="DS13"/>
      <c r="DT13" s="42"/>
      <c r="DU13" s="42"/>
      <c r="DV13"/>
      <c r="DW13"/>
      <c r="DX13"/>
      <c r="DY13"/>
      <c r="DZ13"/>
      <c r="EA13" s="276"/>
      <c r="EB13" s="276"/>
      <c r="EC13" s="274"/>
      <c r="ED13" s="274"/>
      <c r="EE13" s="274"/>
      <c r="EF13" s="274"/>
      <c r="EG13" s="274"/>
      <c r="EH13" s="274"/>
      <c r="EI13" s="274"/>
      <c r="EJ13" s="274"/>
      <c r="EK13"/>
      <c r="EL13"/>
      <c r="EM13"/>
      <c r="EN13"/>
      <c r="EO13" s="42"/>
      <c r="EP13" s="42"/>
      <c r="EQ13"/>
      <c r="ER13"/>
      <c r="ES13"/>
      <c r="ET13"/>
      <c r="EU13"/>
      <c r="EV13" s="42"/>
      <c r="EW13" s="42"/>
      <c r="EX13"/>
      <c r="EY13"/>
      <c r="EZ13"/>
      <c r="FA13"/>
      <c r="FB13"/>
      <c r="FC13" s="42"/>
      <c r="FD13" s="42"/>
      <c r="FE13"/>
      <c r="FF13"/>
      <c r="FG13"/>
      <c r="FH13"/>
      <c r="FI13"/>
      <c r="FJ13" s="42"/>
      <c r="FK13" s="42"/>
      <c r="FL13"/>
      <c r="FM13"/>
      <c r="FN13"/>
      <c r="FO13"/>
      <c r="FP13"/>
      <c r="FQ13" s="42"/>
      <c r="FR13" s="42"/>
      <c r="FS13"/>
      <c r="FT13"/>
      <c r="FU13"/>
      <c r="FV13"/>
      <c r="FW13"/>
      <c r="FX13" s="42"/>
      <c r="FY13" s="42"/>
      <c r="FZ13" s="274"/>
      <c r="GA13"/>
      <c r="GB13"/>
      <c r="GC13"/>
      <c r="GD13"/>
      <c r="GE13" s="42"/>
      <c r="GF13" s="42"/>
      <c r="GG13"/>
      <c r="GH13"/>
      <c r="GI13"/>
      <c r="GJ13"/>
      <c r="GK13"/>
      <c r="GL13" s="42"/>
      <c r="GM13" s="42"/>
      <c r="GN13"/>
      <c r="GO13"/>
      <c r="GP13"/>
      <c r="GQ13"/>
      <c r="GR13"/>
      <c r="GS13" s="42"/>
      <c r="GT13" s="42"/>
      <c r="GU13"/>
      <c r="GV13"/>
      <c r="GW13"/>
      <c r="GX13"/>
      <c r="GY13" s="274"/>
      <c r="GZ13" s="42"/>
      <c r="HA13" s="42"/>
      <c r="HB13" s="274"/>
      <c r="HC13" s="274"/>
      <c r="HD13"/>
      <c r="HE13"/>
      <c r="HF13"/>
      <c r="HG13" s="42"/>
      <c r="HH13" s="42"/>
      <c r="HI13"/>
      <c r="HJ13"/>
      <c r="HK13"/>
      <c r="HL13"/>
      <c r="HM13"/>
      <c r="HN13" s="42"/>
      <c r="HO13" s="42"/>
      <c r="HP13"/>
      <c r="HQ13"/>
      <c r="HR13"/>
      <c r="HS13"/>
      <c r="HT13"/>
      <c r="HU13" s="42"/>
      <c r="HV13" s="42"/>
      <c r="HW13"/>
      <c r="HX13"/>
      <c r="HY13"/>
      <c r="HZ13"/>
      <c r="IA13"/>
      <c r="IB13" s="42"/>
      <c r="IC13" s="42"/>
      <c r="ID13"/>
      <c r="IE13"/>
      <c r="IF13"/>
      <c r="IG13"/>
      <c r="IH13"/>
      <c r="II13" s="42"/>
      <c r="IJ13" s="42"/>
      <c r="IK13"/>
      <c r="IL13"/>
      <c r="IM13"/>
      <c r="IN13"/>
      <c r="IO13"/>
      <c r="IP13" s="42"/>
      <c r="IQ13" s="42"/>
      <c r="IR13"/>
      <c r="IS13"/>
      <c r="IT13"/>
      <c r="IU13"/>
      <c r="IV13" s="274"/>
      <c r="IW13" s="42"/>
      <c r="IX13" s="42"/>
      <c r="IY13"/>
      <c r="IZ13"/>
      <c r="JA13"/>
      <c r="JB13"/>
      <c r="JC13"/>
      <c r="JD13" s="42"/>
      <c r="JE13" s="42"/>
      <c r="JF13"/>
      <c r="JG13"/>
      <c r="JH13"/>
      <c r="JI13"/>
      <c r="JJ13"/>
      <c r="JK13" s="42"/>
      <c r="JL13" s="42"/>
      <c r="JM13"/>
      <c r="JN13"/>
      <c r="JO13"/>
      <c r="JP13"/>
      <c r="JQ13"/>
      <c r="JR13" s="42"/>
      <c r="JS13" s="42"/>
      <c r="JT13"/>
      <c r="JU13"/>
      <c r="JV13"/>
      <c r="JW13"/>
      <c r="JX13"/>
      <c r="JY13" s="42"/>
      <c r="JZ13" s="42"/>
      <c r="KA13"/>
      <c r="KB13"/>
      <c r="KC13"/>
      <c r="KD13"/>
      <c r="KE13"/>
      <c r="KF13" s="42"/>
      <c r="KG13" s="42"/>
      <c r="KH13"/>
      <c r="KI13"/>
      <c r="KJ13"/>
      <c r="KK13"/>
      <c r="KL13"/>
      <c r="KM13" s="42"/>
      <c r="KN13" s="42"/>
      <c r="KO13"/>
      <c r="KP13"/>
      <c r="KQ13"/>
      <c r="KR13"/>
      <c r="KS13"/>
      <c r="KT13" s="42"/>
      <c r="KU13" s="42"/>
      <c r="KV13"/>
      <c r="KW13"/>
      <c r="KX13"/>
      <c r="KY13"/>
      <c r="KZ13"/>
      <c r="LA13" s="42"/>
      <c r="LB13" s="42"/>
      <c r="LC13"/>
      <c r="LD13"/>
      <c r="LE13"/>
      <c r="LF13"/>
      <c r="LG13"/>
      <c r="LH13" s="42"/>
      <c r="LI13" s="42"/>
      <c r="LJ13"/>
      <c r="LK13"/>
      <c r="LL13"/>
      <c r="LM13"/>
      <c r="LN13"/>
      <c r="LO13" s="42"/>
      <c r="LP13" s="42"/>
      <c r="LQ13"/>
      <c r="LR13"/>
      <c r="LS13"/>
      <c r="LT13"/>
      <c r="LU13"/>
      <c r="LV13" s="42"/>
      <c r="LW13" s="42"/>
      <c r="LX13"/>
      <c r="LY13"/>
      <c r="LZ13"/>
      <c r="MA13"/>
      <c r="MB13"/>
      <c r="MC13" s="42"/>
      <c r="MD13" s="42"/>
      <c r="ME13"/>
      <c r="MF13"/>
      <c r="MG13"/>
      <c r="MH13"/>
      <c r="MI13"/>
      <c r="MJ13" s="42"/>
      <c r="MK13" s="42"/>
      <c r="ML13"/>
      <c r="MM13"/>
      <c r="MN13"/>
      <c r="MO13"/>
      <c r="MP13" s="274"/>
      <c r="MQ13" s="42"/>
      <c r="MR13" s="276"/>
      <c r="MS13"/>
      <c r="MT13"/>
      <c r="MU13"/>
      <c r="MV13" s="274"/>
      <c r="MW13" s="274"/>
      <c r="MX13" s="42"/>
      <c r="MY13" s="42"/>
      <c r="MZ13" s="274"/>
      <c r="NA13" s="274"/>
      <c r="NB13" s="274"/>
      <c r="NC13"/>
      <c r="ND13"/>
      <c r="NE13" s="276"/>
      <c r="NF13" s="42"/>
      <c r="NG13"/>
      <c r="NH13"/>
      <c r="NI13"/>
      <c r="NJ13"/>
      <c r="NK13"/>
      <c r="NL13" s="42"/>
      <c r="NM13" s="42"/>
      <c r="NN13"/>
      <c r="NO13"/>
      <c r="NP13"/>
      <c r="NQ13"/>
      <c r="NR13"/>
      <c r="NS13" s="42"/>
      <c r="NT13" s="42"/>
      <c r="NU13"/>
      <c r="NV13"/>
      <c r="NW13"/>
      <c r="NX13"/>
      <c r="NY13"/>
      <c r="NZ13" s="42"/>
      <c r="OA13" s="42"/>
      <c r="OB13"/>
      <c r="OC13"/>
      <c r="OD13"/>
      <c r="OE13"/>
      <c r="OF13"/>
      <c r="OG13" s="42"/>
      <c r="OH13" s="42"/>
      <c r="OI13"/>
      <c r="OJ13"/>
      <c r="OK13"/>
      <c r="OL13"/>
      <c r="OM13"/>
      <c r="ON13" s="42"/>
      <c r="OO13" s="42"/>
      <c r="OP13"/>
      <c r="OQ13"/>
      <c r="OR13"/>
      <c r="OS13"/>
      <c r="OT13"/>
      <c r="OU13" s="42"/>
      <c r="OV13" s="42"/>
      <c r="OW13"/>
      <c r="OX13"/>
      <c r="OY13"/>
      <c r="OZ13"/>
      <c r="PA13"/>
      <c r="PB13" s="42"/>
      <c r="PC13" s="42"/>
      <c r="PD13"/>
      <c r="PE13"/>
      <c r="PF13"/>
      <c r="PG13"/>
      <c r="PH13"/>
      <c r="PI13" s="42"/>
      <c r="PJ13" s="42"/>
      <c r="PK13"/>
      <c r="PL13"/>
      <c r="PM13"/>
      <c r="PN13"/>
      <c r="PO13"/>
      <c r="PP13" s="42"/>
      <c r="PQ13" s="42"/>
      <c r="PR13"/>
      <c r="PS13"/>
      <c r="PT13"/>
      <c r="PU13"/>
      <c r="PV13"/>
      <c r="PW13" s="42"/>
      <c r="PX13" s="42"/>
      <c r="PY13"/>
      <c r="PZ13"/>
      <c r="QA13"/>
      <c r="QB13"/>
      <c r="QC13"/>
      <c r="QD13" s="42"/>
      <c r="QE13" s="42"/>
      <c r="QF13"/>
      <c r="QG13"/>
      <c r="QH13"/>
      <c r="QI13"/>
    </row>
    <row r="14" spans="1:451">
      <c r="A14" t="s">
        <v>322</v>
      </c>
      <c r="B14" t="s">
        <v>85</v>
      </c>
      <c r="C14">
        <f t="array" ref="C14">IF(WEEKDAY(C$1,2)&gt;=6, 0, SUM( IF(WBS!$J$5:$J$2773=$A14, IF(C$1&gt;=WBS!$K$5:$K$2773, IF(C$1&lt;=WBS!$L$5:$L$2773, IF(WBS!$AU$5:$AU$2773 &gt;0, WBS!$I$5:$I$2773 / WBS!$AU$5:$AU$2773, 0), 0), 0), 0) ))</f>
        <v>0</v>
      </c>
      <c r="D14">
        <f t="array" ref="D14">IF(WEEKDAY(D$1,2)&gt;=6, 0, SUM( IF(WBS!$J$5:$J$2773=$A14, IF(D$1&gt;=WBS!$K$5:$K$2773, IF(D$1&lt;=WBS!$L$5:$L$2773, IF(WBS!$AU$5:$AU$2773 &gt;0, WBS!$I$5:$I$2773 / WBS!$AU$5:$AU$2773, 0), 0), 0), 0) ))</f>
        <v>0</v>
      </c>
      <c r="E14">
        <f t="array" ref="E14">IF(WEEKDAY(E$1,2)&gt;=6, 0, SUM( IF(WBS!$J$5:$J$2773=$A14, IF(E$1&gt;=WBS!$K$5:$K$2773, IF(E$1&lt;=WBS!$L$5:$L$2773, IF(WBS!$AU$5:$AU$2773 &gt;0, WBS!$I$5:$I$2773 / WBS!$AU$5:$AU$2773, 0), 0), 0), 0) ))</f>
        <v>0</v>
      </c>
      <c r="F14">
        <f t="array" ref="F14">IF(WEEKDAY(F$1,2)&gt;=6, 0, SUM( IF(WBS!$J$5:$J$2773=$A14, IF(F$1&gt;=WBS!$K$5:$K$2773, IF(F$1&lt;=WBS!$L$5:$L$2773, IF(WBS!$AU$5:$AU$2773 &gt;0, WBS!$I$5:$I$2773 / WBS!$AU$5:$AU$2773, 0), 0), 0), 0) ))</f>
        <v>0</v>
      </c>
      <c r="G14">
        <f t="array" ref="G14">IF(WEEKDAY(G$1,2)&gt;=6, 0, SUM( IF(WBS!$J$5:$J$2773=$A14, IF(G$1&gt;=WBS!$K$5:$K$2773, IF(G$1&lt;=WBS!$L$5:$L$2773, IF(WBS!$AU$5:$AU$2773 &gt;0, WBS!$I$5:$I$2773 / WBS!$AU$5:$AU$2773, 0), 0), 0), 0) ))</f>
        <v>0</v>
      </c>
      <c r="H14">
        <f t="array" ref="H14">IF(WEEKDAY(H$1,2)&gt;=6, 0, SUM( IF(WBS!$J$5:$J$2773=$A14, IF(H$1&gt;=WBS!$K$5:$K$2773, IF(H$1&lt;=WBS!$L$5:$L$2773, IF(WBS!$AU$5:$AU$2773 &gt;0, WBS!$I$5:$I$2773 / WBS!$AU$5:$AU$2773, 0), 0), 0), 0) ))</f>
        <v>0</v>
      </c>
      <c r="I14">
        <f t="array" ref="I14">IF(WEEKDAY(I$1,2)&gt;=6, 0, SUM( IF(WBS!$J$5:$J$2773=$A14, IF(I$1&gt;=WBS!$K$5:$K$2773, IF(I$1&lt;=WBS!$L$5:$L$2773, IF(WBS!$AU$5:$AU$2773 &gt;0, WBS!$I$5:$I$2773 / WBS!$AU$5:$AU$2773, 0), 0), 0), 0) ))</f>
        <v>0</v>
      </c>
      <c r="J14">
        <f t="array" ref="J14">IF(WEEKDAY(J$1,2)&gt;=6, 0, SUM( IF(WBS!$J$5:$J$2773=$A14, IF(J$1&gt;=WBS!$K$5:$K$2773, IF(J$1&lt;=WBS!$L$5:$L$2773, IF(WBS!$AU$5:$AU$2773 &gt;0, WBS!$I$5:$I$2773 / WBS!$AU$5:$AU$2773, 0), 0), 0), 0) ))</f>
        <v>0</v>
      </c>
      <c r="K14">
        <f t="array" ref="K14">IF(WEEKDAY(K$1,2)&gt;=6, 0, SUM( IF(WBS!$J$5:$J$2773=$A14, IF(K$1&gt;=WBS!$K$5:$K$2773, IF(K$1&lt;=WBS!$L$5:$L$2773, IF(WBS!$AU$5:$AU$2773 &gt;0, WBS!$I$5:$I$2773 / WBS!$AU$5:$AU$2773, 0), 0), 0), 0) ))</f>
        <v>0</v>
      </c>
      <c r="L14">
        <f t="array" ref="L14">IF(WEEKDAY(L$1,2)&gt;=6, 0, SUM( IF(WBS!$J$5:$J$2773=$A14, IF(L$1&gt;=WBS!$K$5:$K$2773, IF(L$1&lt;=WBS!$L$5:$L$2773, IF(WBS!$AU$5:$AU$2773 &gt;0, WBS!$I$5:$I$2773 / WBS!$AU$5:$AU$2773, 0), 0), 0), 0) ))</f>
        <v>0</v>
      </c>
      <c r="M14">
        <f t="array" ref="M14">IF(WEEKDAY(M$1,2)&gt;=6, 0, SUM( IF(WBS!$J$5:$J$2773=$A14, IF(M$1&gt;=WBS!$K$5:$K$2773, IF(M$1&lt;=WBS!$L$5:$L$2773, IF(WBS!$AU$5:$AU$2773 &gt;0, WBS!$I$5:$I$2773 / WBS!$AU$5:$AU$2773, 0), 0), 0), 0) ))</f>
        <v>0</v>
      </c>
      <c r="N14">
        <f t="array" ref="N14">IF(WEEKDAY(N$1,2)&gt;=6, 0, SUM( IF(WBS!$J$5:$J$2773=$A14, IF(N$1&gt;=WBS!$K$5:$K$2773, IF(N$1&lt;=WBS!$L$5:$L$2773, IF(WBS!$AU$5:$AU$2773 &gt;0, WBS!$I$5:$I$2773 / WBS!$AU$5:$AU$2773, 0), 0), 0), 0) ))</f>
        <v>0</v>
      </c>
      <c r="O14">
        <f t="array" ref="O14">IF(WEEKDAY(O$1,2)&gt;=6, 0, SUM( IF(WBS!$J$5:$J$2773=$A14, IF(O$1&gt;=WBS!$K$5:$K$2773, IF(O$1&lt;=WBS!$L$5:$L$2773, IF(WBS!$AU$5:$AU$2773 &gt;0, WBS!$I$5:$I$2773 / WBS!$AU$5:$AU$2773, 0), 0), 0), 0) ))</f>
        <v>0</v>
      </c>
      <c r="P14">
        <f t="array" ref="P14">IF(WEEKDAY(P$1,2)&gt;=6, 0, SUM( IF(WBS!$J$5:$J$2773=$A14, IF(P$1&gt;=WBS!$K$5:$K$2773, IF(P$1&lt;=WBS!$L$5:$L$2773, IF(WBS!$AU$5:$AU$2773 &gt;0, WBS!$I$5:$I$2773 / WBS!$AU$5:$AU$2773, 0), 0), 0), 0) ))</f>
        <v>0</v>
      </c>
      <c r="Q14">
        <f t="array" ref="Q14">IF(WEEKDAY(Q$1,2)&gt;=6, 0, SUM( IF(WBS!$J$5:$J$2773=$A14, IF(Q$1&gt;=WBS!$K$5:$K$2773, IF(Q$1&lt;=WBS!$L$5:$L$2773, IF(WBS!$AU$5:$AU$2773 &gt;0, WBS!$I$5:$I$2773 / WBS!$AU$5:$AU$2773, 0), 0), 0), 0) ))</f>
        <v>0</v>
      </c>
      <c r="R14">
        <f t="array" ref="R14">IF(WEEKDAY(R$1,2)&gt;=6, 0, SUM( IF(WBS!$J$5:$J$2773=$A14, IF(R$1&gt;=WBS!$K$5:$K$2773, IF(R$1&lt;=WBS!$L$5:$L$2773, IF(WBS!$AU$5:$AU$2773 &gt;0, WBS!$I$5:$I$2773 / WBS!$AU$5:$AU$2773, 0), 0), 0), 0) ))</f>
        <v>0</v>
      </c>
      <c r="S14">
        <f t="array" ref="S14">IF(WEEKDAY(S$1,2)&gt;=6, 0, SUM( IF(WBS!$J$5:$J$2773=$A14, IF(S$1&gt;=WBS!$K$5:$K$2773, IF(S$1&lt;=WBS!$L$5:$L$2773, IF(WBS!$AU$5:$AU$2773 &gt;0, WBS!$I$5:$I$2773 / WBS!$AU$5:$AU$2773, 0), 0), 0), 0) ))</f>
        <v>0</v>
      </c>
      <c r="T14">
        <f t="array" ref="T14">IF(WEEKDAY(T$1,2)&gt;=6, 0, SUM( IF(WBS!$J$5:$J$2773=$A14, IF(T$1&gt;=WBS!$K$5:$K$2773, IF(T$1&lt;=WBS!$L$5:$L$2773, IF(WBS!$AU$5:$AU$2773 &gt;0, WBS!$I$5:$I$2773 / WBS!$AU$5:$AU$2773, 0), 0), 0), 0) ))</f>
        <v>0</v>
      </c>
      <c r="U14">
        <f t="array" ref="U14">IF(WEEKDAY(U$1,2)&gt;=6, 0, SUM( IF(WBS!$J$5:$J$2773=$A14, IF(U$1&gt;=WBS!$K$5:$K$2773, IF(U$1&lt;=WBS!$L$5:$L$2773, IF(WBS!$AU$5:$AU$2773 &gt;0, WBS!$I$5:$I$2773 / WBS!$AU$5:$AU$2773, 0), 0), 0), 0) ))</f>
        <v>0</v>
      </c>
      <c r="V14">
        <f t="array" ref="V14">IF(WEEKDAY(V$1,2)&gt;=6, 0, SUM( IF(WBS!$J$5:$J$2773=$A14, IF(V$1&gt;=WBS!$K$5:$K$2773, IF(V$1&lt;=WBS!$L$5:$L$2773, IF(WBS!$AU$5:$AU$2773 &gt;0, WBS!$I$5:$I$2773 / WBS!$AU$5:$AU$2773, 0), 0), 0), 0) ))</f>
        <v>0</v>
      </c>
      <c r="W14">
        <f t="array" ref="W14">IF(WEEKDAY(W$1,2)&gt;=6, 0, SUM( IF(WBS!$J$5:$J$2773=$A14, IF(W$1&gt;=WBS!$K$5:$K$2773, IF(W$1&lt;=WBS!$L$5:$L$2773, IF(WBS!$AU$5:$AU$2773 &gt;0, WBS!$I$5:$I$2773 / WBS!$AU$5:$AU$2773, 0), 0), 0), 0) ))</f>
        <v>0</v>
      </c>
      <c r="X14">
        <f t="array" ref="X14">IF(WEEKDAY(X$1,2)&gt;=6, 0, SUM( IF(WBS!$J$5:$J$2773=$A14, IF(X$1&gt;=WBS!$K$5:$K$2773, IF(X$1&lt;=WBS!$L$5:$L$2773, IF(WBS!$AU$5:$AU$2773 &gt;0, WBS!$I$5:$I$2773 / WBS!$AU$5:$AU$2773, 0), 0), 0), 0) ))</f>
        <v>0</v>
      </c>
      <c r="Y14">
        <f t="array" ref="Y14">IF(WEEKDAY(Y$1,2)&gt;=6, 0, SUM( IF(WBS!$J$5:$J$2773=$A14, IF(Y$1&gt;=WBS!$K$5:$K$2773, IF(Y$1&lt;=WBS!$L$5:$L$2773, IF(WBS!$AU$5:$AU$2773 &gt;0, WBS!$I$5:$I$2773 / WBS!$AU$5:$AU$2773, 0), 0), 0), 0) ))</f>
        <v>0</v>
      </c>
      <c r="Z14">
        <f t="array" ref="Z14">IF(WEEKDAY(Z$1,2)&gt;=6, 0, SUM( IF(WBS!$J$5:$J$2773=$A14, IF(Z$1&gt;=WBS!$K$5:$K$2773, IF(Z$1&lt;=WBS!$L$5:$L$2773, IF(WBS!$AU$5:$AU$2773 &gt;0, WBS!$I$5:$I$2773 / WBS!$AU$5:$AU$2773, 0), 0), 0), 0) ))</f>
        <v>0</v>
      </c>
      <c r="AA14">
        <f t="array" ref="AA14">IF(WEEKDAY(AA$1,2)&gt;=6, 0, SUM( IF(WBS!$J$5:$J$2773=$A14, IF(AA$1&gt;=WBS!$K$5:$K$2773, IF(AA$1&lt;=WBS!$L$5:$L$2773, IF(WBS!$AU$5:$AU$2773 &gt;0, WBS!$I$5:$I$2773 / WBS!$AU$5:$AU$2773, 0), 0), 0), 0) ))</f>
        <v>0</v>
      </c>
      <c r="AB14">
        <f t="array" ref="AB14">IF(WEEKDAY(AB$1,2)&gt;=6, 0, SUM( IF(WBS!$J$5:$J$2773=$A14, IF(AB$1&gt;=WBS!$K$5:$K$2773, IF(AB$1&lt;=WBS!$L$5:$L$2773, IF(WBS!$AU$5:$AU$2773 &gt;0, WBS!$I$5:$I$2773 / WBS!$AU$5:$AU$2773, 0), 0), 0), 0) ))</f>
        <v>0</v>
      </c>
      <c r="AC14">
        <f t="array" ref="AC14">IF(WEEKDAY(AC$1,2)&gt;=6, 0, SUM( IF(WBS!$J$5:$J$2773=$A14, IF(AC$1&gt;=WBS!$K$5:$K$2773, IF(AC$1&lt;=WBS!$L$5:$L$2773, IF(WBS!$AU$5:$AU$2773 &gt;0, WBS!$I$5:$I$2773 / WBS!$AU$5:$AU$2773, 0), 0), 0), 0) ))</f>
        <v>0</v>
      </c>
      <c r="AD14">
        <f t="array" ref="AD14">IF(WEEKDAY(AD$1,2)&gt;=6, 0, SUM( IF(WBS!$J$5:$J$2773=$A14, IF(AD$1&gt;=WBS!$K$5:$K$2773, IF(AD$1&lt;=WBS!$L$5:$L$2773, IF(WBS!$AU$5:$AU$2773 &gt;0, WBS!$I$5:$I$2773 / WBS!$AU$5:$AU$2773, 0), 0), 0), 0) ))</f>
        <v>0</v>
      </c>
      <c r="AE14">
        <f t="array" ref="AE14">IF(WEEKDAY(AE$1,2)&gt;=6, 0, SUM( IF(WBS!$J$5:$J$2773=$A14, IF(AE$1&gt;=WBS!$K$5:$K$2773, IF(AE$1&lt;=WBS!$L$5:$L$2773, IF(WBS!$AU$5:$AU$2773 &gt;0, WBS!$I$5:$I$2773 / WBS!$AU$5:$AU$2773, 0), 0), 0), 0) ))</f>
        <v>0</v>
      </c>
      <c r="AF14">
        <f t="array" ref="AF14">IF(WEEKDAY(AF$1,2)&gt;=6, 0, SUM( IF(WBS!$J$5:$J$2773=$A14, IF(AF$1&gt;=WBS!$K$5:$K$2773, IF(AF$1&lt;=WBS!$L$5:$L$2773, IF(WBS!$AU$5:$AU$2773 &gt;0, WBS!$I$5:$I$2773 / WBS!$AU$5:$AU$2773, 0), 0), 0), 0) ))</f>
        <v>0</v>
      </c>
      <c r="AG14">
        <f t="array" ref="AG14">IF(WEEKDAY(AG$1,2)&gt;=6, 0, SUM( IF(WBS!$J$5:$J$2773=$A14, IF(AG$1&gt;=WBS!$K$5:$K$2773, IF(AG$1&lt;=WBS!$L$5:$L$2773, IF(WBS!$AU$5:$AU$2773 &gt;0, WBS!$I$5:$I$2773 / WBS!$AU$5:$AU$2773, 0), 0), 0), 0) ))</f>
        <v>0</v>
      </c>
      <c r="AH14">
        <f t="array" ref="AH14">IF(WEEKDAY(AH$1,2)&gt;=6, 0, SUM( IF(WBS!$J$5:$J$2773=$A14, IF(AH$1&gt;=WBS!$K$5:$K$2773, IF(AH$1&lt;=WBS!$L$5:$L$2773, IF(WBS!$AU$5:$AU$2773 &gt;0, WBS!$I$5:$I$2773 / WBS!$AU$5:$AU$2773, 0), 0), 0), 0) ))</f>
        <v>0</v>
      </c>
      <c r="AI14">
        <f t="array" ref="AI14">IF(WEEKDAY(AI$1,2)&gt;=6, 0, SUM( IF(WBS!$J$5:$J$2773=$A14, IF(AI$1&gt;=WBS!$K$5:$K$2773, IF(AI$1&lt;=WBS!$L$5:$L$2773, IF(WBS!$AU$5:$AU$2773 &gt;0, WBS!$I$5:$I$2773 / WBS!$AU$5:$AU$2773, 0), 0), 0), 0) ))</f>
        <v>0</v>
      </c>
      <c r="AJ14">
        <f t="array" ref="AJ14">IF(WEEKDAY(AJ$1,2)&gt;=6, 0, SUM( IF(WBS!$J$5:$J$2773=$A14, IF(AJ$1&gt;=WBS!$K$5:$K$2773, IF(AJ$1&lt;=WBS!$L$5:$L$2773, IF(WBS!$AU$5:$AU$2773 &gt;0, WBS!$I$5:$I$2773 / WBS!$AU$5:$AU$2773, 0), 0), 0), 0) ))</f>
        <v>0</v>
      </c>
      <c r="AK14">
        <f t="array" ref="AK14">IF(WEEKDAY(AK$1,2)&gt;=6, 0, SUM( IF(WBS!$J$5:$J$2773=$A14, IF(AK$1&gt;=WBS!$K$5:$K$2773, IF(AK$1&lt;=WBS!$L$5:$L$2773, IF(WBS!$AU$5:$AU$2773 &gt;0, WBS!$I$5:$I$2773 / WBS!$AU$5:$AU$2773, 0), 0), 0), 0) ))</f>
        <v>0</v>
      </c>
      <c r="AL14">
        <f t="array" ref="AL14">IF(WEEKDAY(AL$1,2)&gt;=6, 0, SUM( IF(WBS!$J$5:$J$2773=$A14, IF(AL$1&gt;=WBS!$K$5:$K$2773, IF(AL$1&lt;=WBS!$L$5:$L$2773, IF(WBS!$AU$5:$AU$2773 &gt;0, WBS!$I$5:$I$2773 / WBS!$AU$5:$AU$2773, 0), 0), 0), 0) ))</f>
        <v>0</v>
      </c>
      <c r="AM14">
        <f t="array" ref="AM14">IF(WEEKDAY(AM$1,2)&gt;=6, 0, SUM( IF(WBS!$J$5:$J$2773=$A14, IF(AM$1&gt;=WBS!$K$5:$K$2773, IF(AM$1&lt;=WBS!$L$5:$L$2773, IF(WBS!$AU$5:$AU$2773 &gt;0, WBS!$I$5:$I$2773 / WBS!$AU$5:$AU$2773, 0), 0), 0), 0) ))</f>
        <v>0</v>
      </c>
      <c r="AN14">
        <f t="array" ref="AN14">IF(WEEKDAY(AN$1,2)&gt;=6, 0, SUM( IF(WBS!$J$5:$J$2773=$A14, IF(AN$1&gt;=WBS!$K$5:$K$2773, IF(AN$1&lt;=WBS!$L$5:$L$2773, IF(WBS!$AU$5:$AU$2773 &gt;0, WBS!$I$5:$I$2773 / WBS!$AU$5:$AU$2773, 0), 0), 0), 0) ))</f>
        <v>0</v>
      </c>
      <c r="AO14">
        <f t="array" ref="AO14">IF(WEEKDAY(AO$1,2)&gt;=6, 0, SUM( IF(WBS!$J$5:$J$2773=$A14, IF(AO$1&gt;=WBS!$K$5:$K$2773, IF(AO$1&lt;=WBS!$L$5:$L$2773, IF(WBS!$AU$5:$AU$2773 &gt;0, WBS!$I$5:$I$2773 / WBS!$AU$5:$AU$2773, 0), 0), 0), 0) ))</f>
        <v>0</v>
      </c>
      <c r="AP14">
        <f t="array" ref="AP14">IF(WEEKDAY(AP$1,2)&gt;=6, 0, SUM( IF(WBS!$J$5:$J$2773=$A14, IF(AP$1&gt;=WBS!$K$5:$K$2773, IF(AP$1&lt;=WBS!$L$5:$L$2773, IF(WBS!$AU$5:$AU$2773 &gt;0, WBS!$I$5:$I$2773 / WBS!$AU$5:$AU$2773, 0), 0), 0), 0) ))</f>
        <v>0</v>
      </c>
      <c r="AQ14">
        <f t="array" ref="AQ14">IF(WEEKDAY(AQ$1,2)&gt;=6, 0, SUM( IF(WBS!$J$5:$J$2773=$A14, IF(AQ$1&gt;=WBS!$K$5:$K$2773, IF(AQ$1&lt;=WBS!$L$5:$L$2773, IF(WBS!$AU$5:$AU$2773 &gt;0, WBS!$I$5:$I$2773 / WBS!$AU$5:$AU$2773, 0), 0), 0), 0) ))</f>
        <v>0</v>
      </c>
      <c r="AR14">
        <f t="array" ref="AR14">IF(WEEKDAY(AR$1,2)&gt;=6, 0, SUM( IF(WBS!$J$5:$J$2773=$A14, IF(AR$1&gt;=WBS!$K$5:$K$2773, IF(AR$1&lt;=WBS!$L$5:$L$2773, IF(WBS!$AU$5:$AU$2773 &gt;0, WBS!$I$5:$I$2773 / WBS!$AU$5:$AU$2773, 0), 0), 0), 0) ))</f>
        <v>0</v>
      </c>
      <c r="AS14">
        <f t="array" ref="AS14">IF(WEEKDAY(AS$1,2)&gt;=6, 0, SUM( IF(WBS!$J$5:$J$2773=$A14, IF(AS$1&gt;=WBS!$K$5:$K$2773, IF(AS$1&lt;=WBS!$L$5:$L$2773, IF(WBS!$AU$5:$AU$2773 &gt;0, WBS!$I$5:$I$2773 / WBS!$AU$5:$AU$2773, 0), 0), 0), 0) ))</f>
        <v>0</v>
      </c>
      <c r="AT14">
        <f t="array" ref="AT14">IF(WEEKDAY(AT$1,2)&gt;=6, 0, SUM( IF(WBS!$J$5:$J$2773=$A14, IF(AT$1&gt;=WBS!$K$5:$K$2773, IF(AT$1&lt;=WBS!$L$5:$L$2773, IF(WBS!$AU$5:$AU$2773 &gt;0, WBS!$I$5:$I$2773 / WBS!$AU$5:$AU$2773, 0), 0), 0), 0) ))</f>
        <v>0</v>
      </c>
      <c r="AU14">
        <f t="array" ref="AU14">IF(WEEKDAY(AU$1,2)&gt;=6, 0, SUM( IF(WBS!$J$5:$J$2773=$A14, IF(AU$1&gt;=WBS!$K$5:$K$2773, IF(AU$1&lt;=WBS!$L$5:$L$2773, IF(WBS!$AU$5:$AU$2773 &gt;0, WBS!$I$5:$I$2773 / WBS!$AU$5:$AU$2773, 0), 0), 0), 0) ))</f>
        <v>0</v>
      </c>
      <c r="AV14">
        <f t="array" ref="AV14">IF(WEEKDAY(AV$1,2)&gt;=6, 0, SUM( IF(WBS!$J$5:$J$2773=$A14, IF(AV$1&gt;=WBS!$K$5:$K$2773, IF(AV$1&lt;=WBS!$L$5:$L$2773, IF(WBS!$AU$5:$AU$2773 &gt;0, WBS!$I$5:$I$2773 / WBS!$AU$5:$AU$2773, 0), 0), 0), 0) ))</f>
        <v>0</v>
      </c>
      <c r="AW14">
        <f t="array" ref="AW14">IF(WEEKDAY(AW$1,2)&gt;=6, 0, SUM( IF(WBS!$J$5:$J$2773=$A14, IF(AW$1&gt;=WBS!$K$5:$K$2773, IF(AW$1&lt;=WBS!$L$5:$L$2773, IF(WBS!$AU$5:$AU$2773 &gt;0, WBS!$I$5:$I$2773 / WBS!$AU$5:$AU$2773, 0), 0), 0), 0) ))</f>
        <v>0</v>
      </c>
      <c r="AX14">
        <f t="array" ref="AX14">IF(WEEKDAY(AX$1,2)&gt;=6, 0, SUM( IF(WBS!$J$5:$J$2773=$A14, IF(AX$1&gt;=WBS!$K$5:$K$2773, IF(AX$1&lt;=WBS!$L$5:$L$2773, IF(WBS!$AU$5:$AU$2773 &gt;0, WBS!$I$5:$I$2773 / WBS!$AU$5:$AU$2773, 0), 0), 0), 0) ))</f>
        <v>0</v>
      </c>
      <c r="AY14">
        <f t="array" ref="AY14">IF(WEEKDAY(AY$1,2)&gt;=6, 0, SUM( IF(WBS!$J$5:$J$2773=$A14, IF(AY$1&gt;=WBS!$K$5:$K$2773, IF(AY$1&lt;=WBS!$L$5:$L$2773, IF(WBS!$AU$5:$AU$2773 &gt;0, WBS!$I$5:$I$2773 / WBS!$AU$5:$AU$2773, 0), 0), 0), 0) ))</f>
        <v>0</v>
      </c>
      <c r="AZ14">
        <f t="array" ref="AZ14">IF(WEEKDAY(AZ$1,2)&gt;=6, 0, SUM( IF(WBS!$J$5:$J$2773=$A14, IF(AZ$1&gt;=WBS!$K$5:$K$2773, IF(AZ$1&lt;=WBS!$L$5:$L$2773, IF(WBS!$AU$5:$AU$2773 &gt;0, WBS!$I$5:$I$2773 / WBS!$AU$5:$AU$2773, 0), 0), 0), 0) ))</f>
        <v>0</v>
      </c>
      <c r="BA14">
        <f t="array" ref="BA14">IF(WEEKDAY(BA$1,2)&gt;=6, 0, SUM( IF(WBS!$J$5:$J$2773=$A14, IF(BA$1&gt;=WBS!$K$5:$K$2773, IF(BA$1&lt;=WBS!$L$5:$L$2773, IF(WBS!$AU$5:$AU$2773 &gt;0, WBS!$I$5:$I$2773 / WBS!$AU$5:$AU$2773, 0), 0), 0), 0) ))</f>
        <v>0</v>
      </c>
      <c r="BB14">
        <f t="array" ref="BB14">IF(WEEKDAY(BB$1,2)&gt;=6, 0, SUM( IF(WBS!$J$5:$J$2773=$A14, IF(BB$1&gt;=WBS!$K$5:$K$2773, IF(BB$1&lt;=WBS!$L$5:$L$2773, IF(WBS!$AU$5:$AU$2773 &gt;0, WBS!$I$5:$I$2773 / WBS!$AU$5:$AU$2773, 0), 0), 0), 0) ))</f>
        <v>0</v>
      </c>
      <c r="BC14">
        <f t="array" ref="BC14">IF(WEEKDAY(BC$1,2)&gt;=6, 0, SUM( IF(WBS!$J$5:$J$2773=$A14, IF(BC$1&gt;=WBS!$K$5:$K$2773, IF(BC$1&lt;=WBS!$L$5:$L$2773, IF(WBS!$AU$5:$AU$2773 &gt;0, WBS!$I$5:$I$2773 / WBS!$AU$5:$AU$2773, 0), 0), 0), 0) ))</f>
        <v>0</v>
      </c>
      <c r="BD14">
        <f t="array" ref="BD14">IF(WEEKDAY(BD$1,2)&gt;=6, 0, SUM( IF(WBS!$J$5:$J$2773=$A14, IF(BD$1&gt;=WBS!$K$5:$K$2773, IF(BD$1&lt;=WBS!$L$5:$L$2773, IF(WBS!$AU$5:$AU$2773 &gt;0, WBS!$I$5:$I$2773 / WBS!$AU$5:$AU$2773, 0), 0), 0), 0) ))</f>
        <v>0</v>
      </c>
      <c r="BE14">
        <f t="array" ref="BE14">IF(WEEKDAY(BE$1,2)&gt;=6, 0, SUM( IF(WBS!$J$5:$J$2773=$A14, IF(BE$1&gt;=WBS!$K$5:$K$2773, IF(BE$1&lt;=WBS!$L$5:$L$2773, IF(WBS!$AU$5:$AU$2773 &gt;0, WBS!$I$5:$I$2773 / WBS!$AU$5:$AU$2773, 0), 0), 0), 0) ))</f>
        <v>0</v>
      </c>
      <c r="BF14">
        <f t="array" ref="BF14">IF(WEEKDAY(BF$1,2)&gt;=6, 0, SUM( IF(WBS!$J$5:$J$2773=$A14, IF(BF$1&gt;=WBS!$K$5:$K$2773, IF(BF$1&lt;=WBS!$L$5:$L$2773, IF(WBS!$AU$5:$AU$2773 &gt;0, WBS!$I$5:$I$2773 / WBS!$AU$5:$AU$2773, 0), 0), 0), 0) ))</f>
        <v>0</v>
      </c>
      <c r="BG14">
        <f t="array" ref="BG14">IF(WEEKDAY(BG$1,2)&gt;=6, 0, SUM( IF(WBS!$J$5:$J$2773=$A14, IF(BG$1&gt;=WBS!$K$5:$K$2773, IF(BG$1&lt;=WBS!$L$5:$L$2773, IF(WBS!$AU$5:$AU$2773 &gt;0, WBS!$I$5:$I$2773 / WBS!$AU$5:$AU$2773, 0), 0), 0), 0) ))</f>
        <v>0</v>
      </c>
      <c r="BH14">
        <f t="array" ref="BH14">IF(WEEKDAY(BH$1,2)&gt;=6, 0, SUM( IF(WBS!$J$5:$J$2773=$A14, IF(BH$1&gt;=WBS!$K$5:$K$2773, IF(BH$1&lt;=WBS!$L$5:$L$2773, IF(WBS!$AU$5:$AU$2773 &gt;0, WBS!$I$5:$I$2773 / WBS!$AU$5:$AU$2773, 0), 0), 0), 0) ))</f>
        <v>0</v>
      </c>
      <c r="BI14" s="42">
        <f t="array" ref="BI14">IF(WEEKDAY(BI$1,2)&gt;=6, 0, SUM( IF(WBS!$J$5:$J$2773=$A14, IF(BI$1&gt;=WBS!$K$5:$K$2773, IF(BI$1&lt;=WBS!$L$5:$L$2773, IF(WBS!$AU$5:$AU$2773 &gt;0, WBS!$I$5:$I$2773 / WBS!$AU$5:$AU$2773, 0), 0), 0), 0) ))</f>
        <v>0</v>
      </c>
      <c r="BJ14" s="42">
        <f t="array" ref="BJ14">IF(WEEKDAY(BJ$1,2)&gt;=6, 0, SUM( IF(WBS!$J$5:$J$2773=$A14, IF(BJ$1&gt;=WBS!$K$5:$K$2773, IF(BJ$1&lt;=WBS!$L$5:$L$2773, IF(WBS!$AU$5:$AU$2773 &gt;0, WBS!$I$5:$I$2773 / WBS!$AU$5:$AU$2773, 0), 0), 0), 0) ))</f>
        <v>0</v>
      </c>
      <c r="BK14">
        <f t="array" ref="BK14">IF(WEEKDAY(BK$1,2)&gt;=6, 0, SUM( IF(WBS!$J$5:$J$2773=$A14, IF(BK$1&gt;=WBS!$K$5:$K$2773, IF(BK$1&lt;=WBS!$L$5:$L$2773, IF(WBS!$AU$5:$AU$2773 &gt;0, WBS!$I$5:$I$2773 / WBS!$AU$5:$AU$2773, 0), 0), 0), 0) ))</f>
        <v>0</v>
      </c>
      <c r="BL14">
        <f t="array" ref="BL14">IF(WEEKDAY(BL$1,2)&gt;=6, 0, SUM( IF(WBS!$J$5:$J$2773=$A14, IF(BL$1&gt;=WBS!$K$5:$K$2773, IF(BL$1&lt;=WBS!$L$5:$L$2773, IF(WBS!$AU$5:$AU$2773 &gt;0, WBS!$I$5:$I$2773 / WBS!$AU$5:$AU$2773, 0), 0), 0), 0) ))</f>
        <v>0</v>
      </c>
      <c r="BM14">
        <f t="array" ref="BM14">IF(WEEKDAY(BM$1,2)&gt;=6, 0, SUM( IF(WBS!$J$5:$J$2773=$A14, IF(BM$1&gt;=WBS!$K$5:$K$2773, IF(BM$1&lt;=WBS!$L$5:$L$2773, IF(WBS!$AU$5:$AU$2773 &gt;0, WBS!$I$5:$I$2773 / WBS!$AU$5:$AU$2773, 0), 0), 0), 0) ))</f>
        <v>0</v>
      </c>
      <c r="BN14">
        <f t="array" ref="BN14">IF(WEEKDAY(BN$1,2)&gt;=6, 0, SUM( IF(WBS!$J$5:$J$2773=$A14, IF(BN$1&gt;=WBS!$K$5:$K$2773, IF(BN$1&lt;=WBS!$L$5:$L$2773, IF(WBS!$AU$5:$AU$2773 &gt;0, WBS!$I$5:$I$2773 / WBS!$AU$5:$AU$2773, 0), 0), 0), 0) ))</f>
        <v>0</v>
      </c>
      <c r="BO14">
        <f t="array" ref="BO14">IF(WEEKDAY(BO$1,2)&gt;=6, 0, SUM( IF(WBS!$J$5:$J$2773=$A14, IF(BO$1&gt;=WBS!$K$5:$K$2773, IF(BO$1&lt;=WBS!$L$5:$L$2773, IF(WBS!$AU$5:$AU$2773 &gt;0, WBS!$I$5:$I$2773 / WBS!$AU$5:$AU$2773, 0), 0), 0), 0) ))</f>
        <v>0</v>
      </c>
      <c r="BP14" s="42">
        <f t="array" ref="BP14">IF(WEEKDAY(BP$1,2)&gt;=6, 0, SUM( IF(WBS!$J$5:$J$2773=$A14, IF(BP$1&gt;=WBS!$K$5:$K$2773, IF(BP$1&lt;=WBS!$L$5:$L$2773, IF(WBS!$AU$5:$AU$2773 &gt;0, WBS!$I$5:$I$2773 / WBS!$AU$5:$AU$2773, 0), 0), 0), 0) ))</f>
        <v>0</v>
      </c>
      <c r="BQ14" s="42">
        <f t="array" ref="BQ14">IF(WEEKDAY(BQ$1,2)&gt;=6, 0, SUM( IF(WBS!$J$5:$J$2773=$A14, IF(BQ$1&gt;=WBS!$K$5:$K$2773, IF(BQ$1&lt;=WBS!$L$5:$L$2773, IF(WBS!$AU$5:$AU$2773 &gt;0, WBS!$I$5:$I$2773 / WBS!$AU$5:$AU$2773, 0), 0), 0), 0) ))</f>
        <v>0</v>
      </c>
      <c r="BR14">
        <f t="array" ref="BR14">IF(WEEKDAY(BR$1,2)&gt;=6, 0, SUM( IF(WBS!$J$5:$J$2773=$A14, IF(BR$1&gt;=WBS!$K$5:$K$2773, IF(BR$1&lt;=WBS!$L$5:$L$2773, IF(WBS!$AU$5:$AU$2773 &gt;0, WBS!$I$5:$I$2773 / WBS!$AU$5:$AU$2773, 0), 0), 0), 0) ))</f>
        <v>0</v>
      </c>
      <c r="BS14">
        <f t="array" ref="BS14">IF(WEEKDAY(BS$1,2)&gt;=6, 0, SUM( IF(WBS!$J$5:$J$2773=$A14, IF(BS$1&gt;=WBS!$K$5:$K$2773, IF(BS$1&lt;=WBS!$L$5:$L$2773, IF(WBS!$AU$5:$AU$2773 &gt;0, WBS!$I$5:$I$2773 / WBS!$AU$5:$AU$2773, 0), 0), 0), 0) ))</f>
        <v>0</v>
      </c>
      <c r="BT14">
        <f t="array" ref="BT14">IF(WEEKDAY(BT$1,2)&gt;=6, 0, SUM( IF(WBS!$J$5:$J$2773=$A14, IF(BT$1&gt;=WBS!$K$5:$K$2773, IF(BT$1&lt;=WBS!$L$5:$L$2773, IF(WBS!$AU$5:$AU$2773 &gt;0, WBS!$I$5:$I$2773 / WBS!$AU$5:$AU$2773, 0), 0), 0), 0) ))</f>
        <v>0</v>
      </c>
      <c r="BU14">
        <f t="array" ref="BU14">IF(WEEKDAY(BU$1,2)&gt;=6, 0, SUM( IF(WBS!$J$5:$J$2773=$A14, IF(BU$1&gt;=WBS!$K$5:$K$2773, IF(BU$1&lt;=WBS!$L$5:$L$2773, IF(WBS!$AU$5:$AU$2773 &gt;0, WBS!$I$5:$I$2773 / WBS!$AU$5:$AU$2773, 0), 0), 0), 0) ))</f>
        <v>0</v>
      </c>
      <c r="BV14">
        <f t="array" ref="BV14">IF(WEEKDAY(BV$1,2)&gt;=6, 0, SUM( IF(WBS!$J$5:$J$2773=$A14, IF(BV$1&gt;=WBS!$K$5:$K$2773, IF(BV$1&lt;=WBS!$L$5:$L$2773, IF(WBS!$AU$5:$AU$2773 &gt;0, WBS!$I$5:$I$2773 / WBS!$AU$5:$AU$2773, 0), 0), 0), 0) ))</f>
        <v>0</v>
      </c>
      <c r="BW14" s="42">
        <f t="array" ref="BW14">IF(WEEKDAY(BW$1,2)&gt;=6, 0, SUM( IF(WBS!$J$5:$J$2773=$A14, IF(BW$1&gt;=WBS!$K$5:$K$2773, IF(BW$1&lt;=WBS!$L$5:$L$2773, IF(WBS!$AU$5:$AU$2773 &gt;0, WBS!$I$5:$I$2773 / WBS!$AU$5:$AU$2773, 0), 0), 0), 0) ))</f>
        <v>0</v>
      </c>
      <c r="BX14" s="42">
        <f t="array" ref="BX14">IF(WEEKDAY(BX$1,2)&gt;=6, 0, SUM( IF(WBS!$J$5:$J$2773=$A14, IF(BX$1&gt;=WBS!$K$5:$K$2773, IF(BX$1&lt;=WBS!$L$5:$L$2773, IF(WBS!$AU$5:$AU$2773 &gt;0, WBS!$I$5:$I$2773 / WBS!$AU$5:$AU$2773, 0), 0), 0), 0) ))</f>
        <v>0</v>
      </c>
      <c r="BY14">
        <f t="array" ref="BY14">IF(WEEKDAY(BY$1,2)&gt;=6, 0, SUM( IF(WBS!$J$5:$J$2773=$A14, IF(BY$1&gt;=WBS!$K$5:$K$2773, IF(BY$1&lt;=WBS!$L$5:$L$2773, IF(WBS!$AU$5:$AU$2773 &gt;0, WBS!$I$5:$I$2773 / WBS!$AU$5:$AU$2773, 0), 0), 0), 0) ))</f>
        <v>0</v>
      </c>
      <c r="BZ14">
        <f t="array" ref="BZ14">IF(WEEKDAY(BZ$1,2)&gt;=6, 0, SUM( IF(WBS!$J$5:$J$2773=$A14, IF(BZ$1&gt;=WBS!$K$5:$K$2773, IF(BZ$1&lt;=WBS!$L$5:$L$2773, IF(WBS!$AU$5:$AU$2773 &gt;0, WBS!$I$5:$I$2773 / WBS!$AU$5:$AU$2773, 0), 0), 0), 0) ))</f>
        <v>0</v>
      </c>
      <c r="CA14">
        <f t="array" ref="CA14">IF(WEEKDAY(CA$1,2)&gt;=6, 0, SUM( IF(WBS!$J$5:$J$2773=$A14, IF(CA$1&gt;=WBS!$K$5:$K$2773, IF(CA$1&lt;=WBS!$L$5:$L$2773, IF(WBS!$AU$5:$AU$2773 &gt;0, WBS!$I$5:$I$2773 / WBS!$AU$5:$AU$2773, 0), 0), 0), 0) ))</f>
        <v>0</v>
      </c>
      <c r="CB14">
        <f t="array" ref="CB14">IF(WEEKDAY(CB$1,2)&gt;=6, 0, SUM( IF(WBS!$J$5:$J$2773=$A14, IF(CB$1&gt;=WBS!$K$5:$K$2773, IF(CB$1&lt;=WBS!$L$5:$L$2773, IF(WBS!$AU$5:$AU$2773 &gt;0, WBS!$I$5:$I$2773 / WBS!$AU$5:$AU$2773, 0), 0), 0), 0) ))</f>
        <v>0</v>
      </c>
      <c r="CC14">
        <f t="array" ref="CC14">IF(WEEKDAY(CC$1,2)&gt;=6, 0, SUM( IF(WBS!$J$5:$J$2773=$A14, IF(CC$1&gt;=WBS!$K$5:$K$2773, IF(CC$1&lt;=WBS!$L$5:$L$2773, IF(WBS!$AU$5:$AU$2773 &gt;0, WBS!$I$5:$I$2773 / WBS!$AU$5:$AU$2773, 0), 0), 0), 0) ))</f>
        <v>0</v>
      </c>
      <c r="CD14" s="42">
        <f t="array" ref="CD14">IF(WEEKDAY(CD$1,2)&gt;=6, 0, SUM( IF(WBS!$J$5:$J$2773=$A14, IF(CD$1&gt;=WBS!$K$5:$K$2773, IF(CD$1&lt;=WBS!$L$5:$L$2773, IF(WBS!$AU$5:$AU$2773 &gt;0, WBS!$I$5:$I$2773 / WBS!$AU$5:$AU$2773, 0), 0), 0), 0) ))</f>
        <v>0</v>
      </c>
      <c r="CE14" s="42">
        <f t="array" ref="CE14">IF(WEEKDAY(CE$1,2)&gt;=6, 0, SUM( IF(WBS!$J$5:$J$2773=$A14, IF(CE$1&gt;=WBS!$K$5:$K$2773, IF(CE$1&lt;=WBS!$L$5:$L$2773, IF(WBS!$AU$5:$AU$2773 &gt;0, WBS!$I$5:$I$2773 / WBS!$AU$5:$AU$2773, 0), 0), 0), 0) ))</f>
        <v>0</v>
      </c>
      <c r="CF14">
        <f t="array" ref="CF14">IF(WEEKDAY(CF$1,2)&gt;=6, 0, SUM( IF(WBS!$J$5:$J$2773=$A14, IF(CF$1&gt;=WBS!$K$5:$K$2773, IF(CF$1&lt;=WBS!$L$5:$L$2773, IF(WBS!$AU$5:$AU$2773 &gt;0, WBS!$I$5:$I$2773 / WBS!$AU$5:$AU$2773, 0), 0), 0), 0) ))</f>
        <v>0</v>
      </c>
      <c r="CG14">
        <f t="array" ref="CG14">IF(WEEKDAY(CG$1,2)&gt;=6, 0, SUM( IF(WBS!$J$5:$J$2773=$A14, IF(CG$1&gt;=WBS!$K$5:$K$2773, IF(CG$1&lt;=WBS!$L$5:$L$2773, IF(WBS!$AU$5:$AU$2773 &gt;0, WBS!$I$5:$I$2773 / WBS!$AU$5:$AU$2773, 0), 0), 0), 0) ))</f>
        <v>0</v>
      </c>
      <c r="CH14">
        <f t="array" ref="CH14">IF(WEEKDAY(CH$1,2)&gt;=6, 0, SUM( IF(WBS!$J$5:$J$2773=$A14, IF(CH$1&gt;=WBS!$K$5:$K$2773, IF(CH$1&lt;=WBS!$L$5:$L$2773, IF(WBS!$AU$5:$AU$2773 &gt;0, WBS!$I$5:$I$2773 / WBS!$AU$5:$AU$2773, 0), 0), 0), 0) ))</f>
        <v>0</v>
      </c>
      <c r="CI14" s="274"/>
      <c r="CK14" s="42"/>
      <c r="CL14" s="42"/>
      <c r="CR14" s="42"/>
      <c r="CS14" s="42"/>
      <c r="CY14" s="42"/>
      <c r="CZ14" s="42"/>
      <c r="DF14" s="42"/>
      <c r="DG14" s="42"/>
      <c r="DM14" s="42"/>
      <c r="DN14" s="42"/>
      <c r="DT14" s="42"/>
      <c r="DU14" s="42"/>
      <c r="EA14" s="276"/>
      <c r="EB14" s="276"/>
      <c r="EC14" s="274"/>
      <c r="ED14" s="274"/>
      <c r="EE14" s="274"/>
      <c r="EF14" s="274"/>
      <c r="EG14" s="274"/>
      <c r="EH14" s="274"/>
      <c r="EI14" s="274"/>
      <c r="EJ14" s="274"/>
      <c r="EO14" s="42"/>
      <c r="EP14" s="42"/>
      <c r="EV14" s="42"/>
      <c r="EW14" s="42"/>
      <c r="FC14" s="42"/>
      <c r="FD14" s="42"/>
      <c r="FJ14" s="42"/>
      <c r="FK14" s="42"/>
      <c r="FQ14" s="42"/>
      <c r="FR14" s="42"/>
      <c r="FX14" s="42"/>
      <c r="FY14" s="42"/>
      <c r="FZ14" s="274"/>
      <c r="GE14" s="42"/>
      <c r="GF14" s="42"/>
      <c r="GL14" s="42"/>
      <c r="GM14" s="42"/>
      <c r="GS14" s="42"/>
      <c r="GT14" s="42"/>
      <c r="GY14" s="274"/>
      <c r="GZ14" s="42"/>
      <c r="HA14" s="42"/>
      <c r="HB14" s="274"/>
      <c r="HC14" s="274"/>
      <c r="HG14" s="42"/>
      <c r="HH14" s="42"/>
      <c r="HN14" s="42"/>
      <c r="HO14" s="42"/>
      <c r="HU14" s="42"/>
      <c r="HV14" s="42"/>
      <c r="IB14" s="42"/>
      <c r="IC14" s="42"/>
      <c r="II14" s="42"/>
      <c r="IJ14" s="42"/>
      <c r="IP14" s="42"/>
      <c r="IQ14" s="42"/>
      <c r="IV14" s="274"/>
      <c r="IW14" s="42"/>
      <c r="IX14" s="42"/>
      <c r="JD14" s="42"/>
      <c r="JE14" s="42"/>
      <c r="JK14" s="42"/>
      <c r="JL14" s="42"/>
      <c r="JR14" s="42"/>
      <c r="JS14" s="42"/>
      <c r="JY14" s="42"/>
      <c r="JZ14" s="42"/>
      <c r="KF14" s="42"/>
      <c r="KG14" s="42"/>
      <c r="KM14" s="42"/>
      <c r="KN14" s="42"/>
      <c r="KT14" s="42"/>
      <c r="KU14" s="42"/>
      <c r="LA14" s="42"/>
      <c r="LB14" s="42"/>
      <c r="LH14" s="42"/>
      <c r="LI14" s="42"/>
      <c r="LO14" s="42"/>
      <c r="LP14" s="42"/>
      <c r="LV14" s="42"/>
      <c r="LW14" s="42"/>
      <c r="MC14" s="42"/>
      <c r="MD14" s="42"/>
      <c r="MJ14" s="42"/>
      <c r="MK14" s="42"/>
      <c r="MP14" s="274"/>
      <c r="MQ14" s="42"/>
      <c r="MR14" s="276"/>
      <c r="MV14" s="274"/>
      <c r="MW14" s="274"/>
      <c r="MX14" s="42"/>
      <c r="MY14" s="42"/>
      <c r="MZ14" s="274"/>
      <c r="NA14" s="274"/>
      <c r="NB14" s="274"/>
      <c r="NE14" s="276"/>
      <c r="NF14" s="42"/>
      <c r="NL14" s="42"/>
      <c r="NM14" s="42"/>
      <c r="NS14" s="42"/>
      <c r="NT14" s="42"/>
      <c r="NZ14" s="42"/>
      <c r="OA14" s="42"/>
      <c r="OG14" s="42"/>
      <c r="OH14" s="42"/>
      <c r="ON14" s="42"/>
      <c r="OO14" s="42"/>
      <c r="OU14" s="42"/>
      <c r="OV14" s="42"/>
      <c r="PB14" s="42"/>
      <c r="PC14" s="42"/>
      <c r="PI14" s="42"/>
      <c r="PJ14" s="42"/>
      <c r="PP14" s="42"/>
      <c r="PQ14" s="42"/>
      <c r="PW14" s="42"/>
      <c r="PX14" s="42"/>
      <c r="QD14" s="42"/>
      <c r="QE14" s="42"/>
    </row>
    <row r="15" spans="1:451">
      <c r="A15" t="s">
        <v>323</v>
      </c>
      <c r="B15" t="s">
        <v>85</v>
      </c>
      <c r="C15">
        <f t="array" ref="C15">IF(WEEKDAY(C$1,2)&gt;=6, 0, SUM( IF(WBS!$J$5:$J$2773=$A15, IF(C$1&gt;=WBS!$K$5:$K$2773, IF(C$1&lt;=WBS!$L$5:$L$2773, IF(WBS!$AU$5:$AU$2773 &gt;0, WBS!$I$5:$I$2773 / WBS!$AU$5:$AU$2773, 0), 0), 0), 0) ))</f>
        <v>0</v>
      </c>
      <c r="D15">
        <f t="array" ref="D15">IF(WEEKDAY(D$1,2)&gt;=6, 0, SUM( IF(WBS!$J$5:$J$2773=$A15, IF(D$1&gt;=WBS!$K$5:$K$2773, IF(D$1&lt;=WBS!$L$5:$L$2773, IF(WBS!$AU$5:$AU$2773 &gt;0, WBS!$I$5:$I$2773 / WBS!$AU$5:$AU$2773, 0), 0), 0), 0) ))</f>
        <v>0</v>
      </c>
      <c r="E15">
        <f t="array" ref="E15">IF(WEEKDAY(E$1,2)&gt;=6, 0, SUM( IF(WBS!$J$5:$J$2773=$A15, IF(E$1&gt;=WBS!$K$5:$K$2773, IF(E$1&lt;=WBS!$L$5:$L$2773, IF(WBS!$AU$5:$AU$2773 &gt;0, WBS!$I$5:$I$2773 / WBS!$AU$5:$AU$2773, 0), 0), 0), 0) ))</f>
        <v>0</v>
      </c>
      <c r="F15">
        <f t="array" ref="F15">IF(WEEKDAY(F$1,2)&gt;=6, 0, SUM( IF(WBS!$J$5:$J$2773=$A15, IF(F$1&gt;=WBS!$K$5:$K$2773, IF(F$1&lt;=WBS!$L$5:$L$2773, IF(WBS!$AU$5:$AU$2773 &gt;0, WBS!$I$5:$I$2773 / WBS!$AU$5:$AU$2773, 0), 0), 0), 0) ))</f>
        <v>0</v>
      </c>
      <c r="G15">
        <f t="array" ref="G15">IF(WEEKDAY(G$1,2)&gt;=6, 0, SUM( IF(WBS!$J$5:$J$2773=$A15, IF(G$1&gt;=WBS!$K$5:$K$2773, IF(G$1&lt;=WBS!$L$5:$L$2773, IF(WBS!$AU$5:$AU$2773 &gt;0, WBS!$I$5:$I$2773 / WBS!$AU$5:$AU$2773, 0), 0), 0), 0) ))</f>
        <v>0</v>
      </c>
      <c r="H15">
        <f t="array" ref="H15">IF(WEEKDAY(H$1,2)&gt;=6, 0, SUM( IF(WBS!$J$5:$J$2773=$A15, IF(H$1&gt;=WBS!$K$5:$K$2773, IF(H$1&lt;=WBS!$L$5:$L$2773, IF(WBS!$AU$5:$AU$2773 &gt;0, WBS!$I$5:$I$2773 / WBS!$AU$5:$AU$2773, 0), 0), 0), 0) ))</f>
        <v>0</v>
      </c>
      <c r="I15">
        <f t="array" ref="I15">IF(WEEKDAY(I$1,2)&gt;=6, 0, SUM( IF(WBS!$J$5:$J$2773=$A15, IF(I$1&gt;=WBS!$K$5:$K$2773, IF(I$1&lt;=WBS!$L$5:$L$2773, IF(WBS!$AU$5:$AU$2773 &gt;0, WBS!$I$5:$I$2773 / WBS!$AU$5:$AU$2773, 0), 0), 0), 0) ))</f>
        <v>0</v>
      </c>
      <c r="J15">
        <f t="array" ref="J15">IF(WEEKDAY(J$1,2)&gt;=6, 0, SUM( IF(WBS!$J$5:$J$2773=$A15, IF(J$1&gt;=WBS!$K$5:$K$2773, IF(J$1&lt;=WBS!$L$5:$L$2773, IF(WBS!$AU$5:$AU$2773 &gt;0, WBS!$I$5:$I$2773 / WBS!$AU$5:$AU$2773, 0), 0), 0), 0) ))</f>
        <v>0</v>
      </c>
      <c r="K15">
        <f t="array" ref="K15">IF(WEEKDAY(K$1,2)&gt;=6, 0, SUM( IF(WBS!$J$5:$J$2773=$A15, IF(K$1&gt;=WBS!$K$5:$K$2773, IF(K$1&lt;=WBS!$L$5:$L$2773, IF(WBS!$AU$5:$AU$2773 &gt;0, WBS!$I$5:$I$2773 / WBS!$AU$5:$AU$2773, 0), 0), 0), 0) ))</f>
        <v>0</v>
      </c>
      <c r="L15">
        <f t="array" ref="L15">IF(WEEKDAY(L$1,2)&gt;=6, 0, SUM( IF(WBS!$J$5:$J$2773=$A15, IF(L$1&gt;=WBS!$K$5:$K$2773, IF(L$1&lt;=WBS!$L$5:$L$2773, IF(WBS!$AU$5:$AU$2773 &gt;0, WBS!$I$5:$I$2773 / WBS!$AU$5:$AU$2773, 0), 0), 0), 0) ))</f>
        <v>0</v>
      </c>
      <c r="M15">
        <f t="array" ref="M15">IF(WEEKDAY(M$1,2)&gt;=6, 0, SUM( IF(WBS!$J$5:$J$2773=$A15, IF(M$1&gt;=WBS!$K$5:$K$2773, IF(M$1&lt;=WBS!$L$5:$L$2773, IF(WBS!$AU$5:$AU$2773 &gt;0, WBS!$I$5:$I$2773 / WBS!$AU$5:$AU$2773, 0), 0), 0), 0) ))</f>
        <v>0</v>
      </c>
      <c r="N15">
        <f t="array" ref="N15">IF(WEEKDAY(N$1,2)&gt;=6, 0, SUM( IF(WBS!$J$5:$J$2773=$A15, IF(N$1&gt;=WBS!$K$5:$K$2773, IF(N$1&lt;=WBS!$L$5:$L$2773, IF(WBS!$AU$5:$AU$2773 &gt;0, WBS!$I$5:$I$2773 / WBS!$AU$5:$AU$2773, 0), 0), 0), 0) ))</f>
        <v>0</v>
      </c>
      <c r="O15">
        <f t="array" ref="O15">IF(WEEKDAY(O$1,2)&gt;=6, 0, SUM( IF(WBS!$J$5:$J$2773=$A15, IF(O$1&gt;=WBS!$K$5:$K$2773, IF(O$1&lt;=WBS!$L$5:$L$2773, IF(WBS!$AU$5:$AU$2773 &gt;0, WBS!$I$5:$I$2773 / WBS!$AU$5:$AU$2773, 0), 0), 0), 0) ))</f>
        <v>0</v>
      </c>
      <c r="P15">
        <f t="array" ref="P15">IF(WEEKDAY(P$1,2)&gt;=6, 0, SUM( IF(WBS!$J$5:$J$2773=$A15, IF(P$1&gt;=WBS!$K$5:$K$2773, IF(P$1&lt;=WBS!$L$5:$L$2773, IF(WBS!$AU$5:$AU$2773 &gt;0, WBS!$I$5:$I$2773 / WBS!$AU$5:$AU$2773, 0), 0), 0), 0) ))</f>
        <v>0</v>
      </c>
      <c r="Q15">
        <f t="array" ref="Q15">IF(WEEKDAY(Q$1,2)&gt;=6, 0, SUM( IF(WBS!$J$5:$J$2773=$A15, IF(Q$1&gt;=WBS!$K$5:$K$2773, IF(Q$1&lt;=WBS!$L$5:$L$2773, IF(WBS!$AU$5:$AU$2773 &gt;0, WBS!$I$5:$I$2773 / WBS!$AU$5:$AU$2773, 0), 0), 0), 0) ))</f>
        <v>0</v>
      </c>
      <c r="R15">
        <f t="array" ref="R15">IF(WEEKDAY(R$1,2)&gt;=6, 0, SUM( IF(WBS!$J$5:$J$2773=$A15, IF(R$1&gt;=WBS!$K$5:$K$2773, IF(R$1&lt;=WBS!$L$5:$L$2773, IF(WBS!$AU$5:$AU$2773 &gt;0, WBS!$I$5:$I$2773 / WBS!$AU$5:$AU$2773, 0), 0), 0), 0) ))</f>
        <v>0</v>
      </c>
      <c r="S15">
        <f t="array" ref="S15">IF(WEEKDAY(S$1,2)&gt;=6, 0, SUM( IF(WBS!$J$5:$J$2773=$A15, IF(S$1&gt;=WBS!$K$5:$K$2773, IF(S$1&lt;=WBS!$L$5:$L$2773, IF(WBS!$AU$5:$AU$2773 &gt;0, WBS!$I$5:$I$2773 / WBS!$AU$5:$AU$2773, 0), 0), 0), 0) ))</f>
        <v>0</v>
      </c>
      <c r="T15">
        <f t="array" ref="T15">IF(WEEKDAY(T$1,2)&gt;=6, 0, SUM( IF(WBS!$J$5:$J$2773=$A15, IF(T$1&gt;=WBS!$K$5:$K$2773, IF(T$1&lt;=WBS!$L$5:$L$2773, IF(WBS!$AU$5:$AU$2773 &gt;0, WBS!$I$5:$I$2773 / WBS!$AU$5:$AU$2773, 0), 0), 0), 0) ))</f>
        <v>0</v>
      </c>
      <c r="U15">
        <f t="array" ref="U15">IF(WEEKDAY(U$1,2)&gt;=6, 0, SUM( IF(WBS!$J$5:$J$2773=$A15, IF(U$1&gt;=WBS!$K$5:$K$2773, IF(U$1&lt;=WBS!$L$5:$L$2773, IF(WBS!$AU$5:$AU$2773 &gt;0, WBS!$I$5:$I$2773 / WBS!$AU$5:$AU$2773, 0), 0), 0), 0) ))</f>
        <v>0</v>
      </c>
      <c r="V15">
        <f t="array" ref="V15">IF(WEEKDAY(V$1,2)&gt;=6, 0, SUM( IF(WBS!$J$5:$J$2773=$A15, IF(V$1&gt;=WBS!$K$5:$K$2773, IF(V$1&lt;=WBS!$L$5:$L$2773, IF(WBS!$AU$5:$AU$2773 &gt;0, WBS!$I$5:$I$2773 / WBS!$AU$5:$AU$2773, 0), 0), 0), 0) ))</f>
        <v>0</v>
      </c>
      <c r="W15">
        <f t="array" ref="W15">IF(WEEKDAY(W$1,2)&gt;=6, 0, SUM( IF(WBS!$J$5:$J$2773=$A15, IF(W$1&gt;=WBS!$K$5:$K$2773, IF(W$1&lt;=WBS!$L$5:$L$2773, IF(WBS!$AU$5:$AU$2773 &gt;0, WBS!$I$5:$I$2773 / WBS!$AU$5:$AU$2773, 0), 0), 0), 0) ))</f>
        <v>0</v>
      </c>
      <c r="X15">
        <f t="array" ref="X15">IF(WEEKDAY(X$1,2)&gt;=6, 0, SUM( IF(WBS!$J$5:$J$2773=$A15, IF(X$1&gt;=WBS!$K$5:$K$2773, IF(X$1&lt;=WBS!$L$5:$L$2773, IF(WBS!$AU$5:$AU$2773 &gt;0, WBS!$I$5:$I$2773 / WBS!$AU$5:$AU$2773, 0), 0), 0), 0) ))</f>
        <v>0</v>
      </c>
      <c r="Y15">
        <f t="array" ref="Y15">IF(WEEKDAY(Y$1,2)&gt;=6, 0, SUM( IF(WBS!$J$5:$J$2773=$A15, IF(Y$1&gt;=WBS!$K$5:$K$2773, IF(Y$1&lt;=WBS!$L$5:$L$2773, IF(WBS!$AU$5:$AU$2773 &gt;0, WBS!$I$5:$I$2773 / WBS!$AU$5:$AU$2773, 0), 0), 0), 0) ))</f>
        <v>0</v>
      </c>
      <c r="Z15">
        <f t="array" ref="Z15">IF(WEEKDAY(Z$1,2)&gt;=6, 0, SUM( IF(WBS!$J$5:$J$2773=$A15, IF(Z$1&gt;=WBS!$K$5:$K$2773, IF(Z$1&lt;=WBS!$L$5:$L$2773, IF(WBS!$AU$5:$AU$2773 &gt;0, WBS!$I$5:$I$2773 / WBS!$AU$5:$AU$2773, 0), 0), 0), 0) ))</f>
        <v>0</v>
      </c>
      <c r="AA15">
        <f t="array" ref="AA15">IF(WEEKDAY(AA$1,2)&gt;=6, 0, SUM( IF(WBS!$J$5:$J$2773=$A15, IF(AA$1&gt;=WBS!$K$5:$K$2773, IF(AA$1&lt;=WBS!$L$5:$L$2773, IF(WBS!$AU$5:$AU$2773 &gt;0, WBS!$I$5:$I$2773 / WBS!$AU$5:$AU$2773, 0), 0), 0), 0) ))</f>
        <v>0</v>
      </c>
      <c r="AB15">
        <f t="array" ref="AB15">IF(WEEKDAY(AB$1,2)&gt;=6, 0, SUM( IF(WBS!$J$5:$J$2773=$A15, IF(AB$1&gt;=WBS!$K$5:$K$2773, IF(AB$1&lt;=WBS!$L$5:$L$2773, IF(WBS!$AU$5:$AU$2773 &gt;0, WBS!$I$5:$I$2773 / WBS!$AU$5:$AU$2773, 0), 0), 0), 0) ))</f>
        <v>0</v>
      </c>
      <c r="AC15">
        <f t="array" ref="AC15">IF(WEEKDAY(AC$1,2)&gt;=6, 0, SUM( IF(WBS!$J$5:$J$2773=$A15, IF(AC$1&gt;=WBS!$K$5:$K$2773, IF(AC$1&lt;=WBS!$L$5:$L$2773, IF(WBS!$AU$5:$AU$2773 &gt;0, WBS!$I$5:$I$2773 / WBS!$AU$5:$AU$2773, 0), 0), 0), 0) ))</f>
        <v>0</v>
      </c>
      <c r="AD15">
        <f t="array" ref="AD15">IF(WEEKDAY(AD$1,2)&gt;=6, 0, SUM( IF(WBS!$J$5:$J$2773=$A15, IF(AD$1&gt;=WBS!$K$5:$K$2773, IF(AD$1&lt;=WBS!$L$5:$L$2773, IF(WBS!$AU$5:$AU$2773 &gt;0, WBS!$I$5:$I$2773 / WBS!$AU$5:$AU$2773, 0), 0), 0), 0) ))</f>
        <v>0</v>
      </c>
      <c r="AE15">
        <f t="array" ref="AE15">IF(WEEKDAY(AE$1,2)&gt;=6, 0, SUM( IF(WBS!$J$5:$J$2773=$A15, IF(AE$1&gt;=WBS!$K$5:$K$2773, IF(AE$1&lt;=WBS!$L$5:$L$2773, IF(WBS!$AU$5:$AU$2773 &gt;0, WBS!$I$5:$I$2773 / WBS!$AU$5:$AU$2773, 0), 0), 0), 0) ))</f>
        <v>0</v>
      </c>
      <c r="AF15">
        <f t="array" ref="AF15">IF(WEEKDAY(AF$1,2)&gt;=6, 0, SUM( IF(WBS!$J$5:$J$2773=$A15, IF(AF$1&gt;=WBS!$K$5:$K$2773, IF(AF$1&lt;=WBS!$L$5:$L$2773, IF(WBS!$AU$5:$AU$2773 &gt;0, WBS!$I$5:$I$2773 / WBS!$AU$5:$AU$2773, 0), 0), 0), 0) ))</f>
        <v>0</v>
      </c>
      <c r="AG15">
        <f t="array" ref="AG15">IF(WEEKDAY(AG$1,2)&gt;=6, 0, SUM( IF(WBS!$J$5:$J$2773=$A15, IF(AG$1&gt;=WBS!$K$5:$K$2773, IF(AG$1&lt;=WBS!$L$5:$L$2773, IF(WBS!$AU$5:$AU$2773 &gt;0, WBS!$I$5:$I$2773 / WBS!$AU$5:$AU$2773, 0), 0), 0), 0) ))</f>
        <v>0</v>
      </c>
      <c r="AH15">
        <f t="array" ref="AH15">IF(WEEKDAY(AH$1,2)&gt;=6, 0, SUM( IF(WBS!$J$5:$J$2773=$A15, IF(AH$1&gt;=WBS!$K$5:$K$2773, IF(AH$1&lt;=WBS!$L$5:$L$2773, IF(WBS!$AU$5:$AU$2773 &gt;0, WBS!$I$5:$I$2773 / WBS!$AU$5:$AU$2773, 0), 0), 0), 0) ))</f>
        <v>0</v>
      </c>
      <c r="AI15">
        <f t="array" ref="AI15">IF(WEEKDAY(AI$1,2)&gt;=6, 0, SUM( IF(WBS!$J$5:$J$2773=$A15, IF(AI$1&gt;=WBS!$K$5:$K$2773, IF(AI$1&lt;=WBS!$L$5:$L$2773, IF(WBS!$AU$5:$AU$2773 &gt;0, WBS!$I$5:$I$2773 / WBS!$AU$5:$AU$2773, 0), 0), 0), 0) ))</f>
        <v>0</v>
      </c>
      <c r="AJ15">
        <f t="array" ref="AJ15">IF(WEEKDAY(AJ$1,2)&gt;=6, 0, SUM( IF(WBS!$J$5:$J$2773=$A15, IF(AJ$1&gt;=WBS!$K$5:$K$2773, IF(AJ$1&lt;=WBS!$L$5:$L$2773, IF(WBS!$AU$5:$AU$2773 &gt;0, WBS!$I$5:$I$2773 / WBS!$AU$5:$AU$2773, 0), 0), 0), 0) ))</f>
        <v>0</v>
      </c>
      <c r="AK15">
        <f t="array" ref="AK15">IF(WEEKDAY(AK$1,2)&gt;=6, 0, SUM( IF(WBS!$J$5:$J$2773=$A15, IF(AK$1&gt;=WBS!$K$5:$K$2773, IF(AK$1&lt;=WBS!$L$5:$L$2773, IF(WBS!$AU$5:$AU$2773 &gt;0, WBS!$I$5:$I$2773 / WBS!$AU$5:$AU$2773, 0), 0), 0), 0) ))</f>
        <v>0</v>
      </c>
      <c r="AL15">
        <f t="array" ref="AL15">IF(WEEKDAY(AL$1,2)&gt;=6, 0, SUM( IF(WBS!$J$5:$J$2773=$A15, IF(AL$1&gt;=WBS!$K$5:$K$2773, IF(AL$1&lt;=WBS!$L$5:$L$2773, IF(WBS!$AU$5:$AU$2773 &gt;0, WBS!$I$5:$I$2773 / WBS!$AU$5:$AU$2773, 0), 0), 0), 0) ))</f>
        <v>0</v>
      </c>
      <c r="AM15">
        <f t="array" ref="AM15">IF(WEEKDAY(AM$1,2)&gt;=6, 0, SUM( IF(WBS!$J$5:$J$2773=$A15, IF(AM$1&gt;=WBS!$K$5:$K$2773, IF(AM$1&lt;=WBS!$L$5:$L$2773, IF(WBS!$AU$5:$AU$2773 &gt;0, WBS!$I$5:$I$2773 / WBS!$AU$5:$AU$2773, 0), 0), 0), 0) ))</f>
        <v>0</v>
      </c>
      <c r="AN15">
        <f t="array" ref="AN15">IF(WEEKDAY(AN$1,2)&gt;=6, 0, SUM( IF(WBS!$J$5:$J$2773=$A15, IF(AN$1&gt;=WBS!$K$5:$K$2773, IF(AN$1&lt;=WBS!$L$5:$L$2773, IF(WBS!$AU$5:$AU$2773 &gt;0, WBS!$I$5:$I$2773 / WBS!$AU$5:$AU$2773, 0), 0), 0), 0) ))</f>
        <v>0</v>
      </c>
      <c r="AO15">
        <f t="array" ref="AO15">IF(WEEKDAY(AO$1,2)&gt;=6, 0, SUM( IF(WBS!$J$5:$J$2773=$A15, IF(AO$1&gt;=WBS!$K$5:$K$2773, IF(AO$1&lt;=WBS!$L$5:$L$2773, IF(WBS!$AU$5:$AU$2773 &gt;0, WBS!$I$5:$I$2773 / WBS!$AU$5:$AU$2773, 0), 0), 0), 0) ))</f>
        <v>0</v>
      </c>
      <c r="AP15">
        <f t="array" ref="AP15">IF(WEEKDAY(AP$1,2)&gt;=6, 0, SUM( IF(WBS!$J$5:$J$2773=$A15, IF(AP$1&gt;=WBS!$K$5:$K$2773, IF(AP$1&lt;=WBS!$L$5:$L$2773, IF(WBS!$AU$5:$AU$2773 &gt;0, WBS!$I$5:$I$2773 / WBS!$AU$5:$AU$2773, 0), 0), 0), 0) ))</f>
        <v>0</v>
      </c>
      <c r="AQ15">
        <f t="array" ref="AQ15">IF(WEEKDAY(AQ$1,2)&gt;=6, 0, SUM( IF(WBS!$J$5:$J$2773=$A15, IF(AQ$1&gt;=WBS!$K$5:$K$2773, IF(AQ$1&lt;=WBS!$L$5:$L$2773, IF(WBS!$AU$5:$AU$2773 &gt;0, WBS!$I$5:$I$2773 / WBS!$AU$5:$AU$2773, 0), 0), 0), 0) ))</f>
        <v>0</v>
      </c>
      <c r="AR15">
        <f t="array" ref="AR15">IF(WEEKDAY(AR$1,2)&gt;=6, 0, SUM( IF(WBS!$J$5:$J$2773=$A15, IF(AR$1&gt;=WBS!$K$5:$K$2773, IF(AR$1&lt;=WBS!$L$5:$L$2773, IF(WBS!$AU$5:$AU$2773 &gt;0, WBS!$I$5:$I$2773 / WBS!$AU$5:$AU$2773, 0), 0), 0), 0) ))</f>
        <v>0</v>
      </c>
      <c r="AS15">
        <f t="array" ref="AS15">IF(WEEKDAY(AS$1,2)&gt;=6, 0, SUM( IF(WBS!$J$5:$J$2773=$A15, IF(AS$1&gt;=WBS!$K$5:$K$2773, IF(AS$1&lt;=WBS!$L$5:$L$2773, IF(WBS!$AU$5:$AU$2773 &gt;0, WBS!$I$5:$I$2773 / WBS!$AU$5:$AU$2773, 0), 0), 0), 0) ))</f>
        <v>0</v>
      </c>
      <c r="AT15">
        <f t="array" ref="AT15">IF(WEEKDAY(AT$1,2)&gt;=6, 0, SUM( IF(WBS!$J$5:$J$2773=$A15, IF(AT$1&gt;=WBS!$K$5:$K$2773, IF(AT$1&lt;=WBS!$L$5:$L$2773, IF(WBS!$AU$5:$AU$2773 &gt;0, WBS!$I$5:$I$2773 / WBS!$AU$5:$AU$2773, 0), 0), 0), 0) ))</f>
        <v>0</v>
      </c>
      <c r="AU15">
        <f t="array" ref="AU15">IF(WEEKDAY(AU$1,2)&gt;=6, 0, SUM( IF(WBS!$J$5:$J$2773=$A15, IF(AU$1&gt;=WBS!$K$5:$K$2773, IF(AU$1&lt;=WBS!$L$5:$L$2773, IF(WBS!$AU$5:$AU$2773 &gt;0, WBS!$I$5:$I$2773 / WBS!$AU$5:$AU$2773, 0), 0), 0), 0) ))</f>
        <v>0</v>
      </c>
      <c r="AV15">
        <f t="array" ref="AV15">IF(WEEKDAY(AV$1,2)&gt;=6, 0, SUM( IF(WBS!$J$5:$J$2773=$A15, IF(AV$1&gt;=WBS!$K$5:$K$2773, IF(AV$1&lt;=WBS!$L$5:$L$2773, IF(WBS!$AU$5:$AU$2773 &gt;0, WBS!$I$5:$I$2773 / WBS!$AU$5:$AU$2773, 0), 0), 0), 0) ))</f>
        <v>0</v>
      </c>
      <c r="AW15">
        <f t="array" ref="AW15">IF(WEEKDAY(AW$1,2)&gt;=6, 0, SUM( IF(WBS!$J$5:$J$2773=$A15, IF(AW$1&gt;=WBS!$K$5:$K$2773, IF(AW$1&lt;=WBS!$L$5:$L$2773, IF(WBS!$AU$5:$AU$2773 &gt;0, WBS!$I$5:$I$2773 / WBS!$AU$5:$AU$2773, 0), 0), 0), 0) ))</f>
        <v>0</v>
      </c>
      <c r="AX15">
        <f t="array" ref="AX15">IF(WEEKDAY(AX$1,2)&gt;=6, 0, SUM( IF(WBS!$J$5:$J$2773=$A15, IF(AX$1&gt;=WBS!$K$5:$K$2773, IF(AX$1&lt;=WBS!$L$5:$L$2773, IF(WBS!$AU$5:$AU$2773 &gt;0, WBS!$I$5:$I$2773 / WBS!$AU$5:$AU$2773, 0), 0), 0), 0) ))</f>
        <v>0</v>
      </c>
      <c r="AY15">
        <f t="array" ref="AY15">IF(WEEKDAY(AY$1,2)&gt;=6, 0, SUM( IF(WBS!$J$5:$J$2773=$A15, IF(AY$1&gt;=WBS!$K$5:$K$2773, IF(AY$1&lt;=WBS!$L$5:$L$2773, IF(WBS!$AU$5:$AU$2773 &gt;0, WBS!$I$5:$I$2773 / WBS!$AU$5:$AU$2773, 0), 0), 0), 0) ))</f>
        <v>0</v>
      </c>
      <c r="AZ15">
        <f t="array" ref="AZ15">IF(WEEKDAY(AZ$1,2)&gt;=6, 0, SUM( IF(WBS!$J$5:$J$2773=$A15, IF(AZ$1&gt;=WBS!$K$5:$K$2773, IF(AZ$1&lt;=WBS!$L$5:$L$2773, IF(WBS!$AU$5:$AU$2773 &gt;0, WBS!$I$5:$I$2773 / WBS!$AU$5:$AU$2773, 0), 0), 0), 0) ))</f>
        <v>0</v>
      </c>
      <c r="BA15">
        <f t="array" ref="BA15">IF(WEEKDAY(BA$1,2)&gt;=6, 0, SUM( IF(WBS!$J$5:$J$2773=$A15, IF(BA$1&gt;=WBS!$K$5:$K$2773, IF(BA$1&lt;=WBS!$L$5:$L$2773, IF(WBS!$AU$5:$AU$2773 &gt;0, WBS!$I$5:$I$2773 / WBS!$AU$5:$AU$2773, 0), 0), 0), 0) ))</f>
        <v>0</v>
      </c>
      <c r="BB15">
        <f t="array" ref="BB15">IF(WEEKDAY(BB$1,2)&gt;=6, 0, SUM( IF(WBS!$J$5:$J$2773=$A15, IF(BB$1&gt;=WBS!$K$5:$K$2773, IF(BB$1&lt;=WBS!$L$5:$L$2773, IF(WBS!$AU$5:$AU$2773 &gt;0, WBS!$I$5:$I$2773 / WBS!$AU$5:$AU$2773, 0), 0), 0), 0) ))</f>
        <v>0</v>
      </c>
      <c r="BC15">
        <f t="array" ref="BC15">IF(WEEKDAY(BC$1,2)&gt;=6, 0, SUM( IF(WBS!$J$5:$J$2773=$A15, IF(BC$1&gt;=WBS!$K$5:$K$2773, IF(BC$1&lt;=WBS!$L$5:$L$2773, IF(WBS!$AU$5:$AU$2773 &gt;0, WBS!$I$5:$I$2773 / WBS!$AU$5:$AU$2773, 0), 0), 0), 0) ))</f>
        <v>0</v>
      </c>
      <c r="BD15">
        <f t="array" ref="BD15">IF(WEEKDAY(BD$1,2)&gt;=6, 0, SUM( IF(WBS!$J$5:$J$2773=$A15, IF(BD$1&gt;=WBS!$K$5:$K$2773, IF(BD$1&lt;=WBS!$L$5:$L$2773, IF(WBS!$AU$5:$AU$2773 &gt;0, WBS!$I$5:$I$2773 / WBS!$AU$5:$AU$2773, 0), 0), 0), 0) ))</f>
        <v>0</v>
      </c>
      <c r="BE15">
        <f t="array" ref="BE15">IF(WEEKDAY(BE$1,2)&gt;=6, 0, SUM( IF(WBS!$J$5:$J$2773=$A15, IF(BE$1&gt;=WBS!$K$5:$K$2773, IF(BE$1&lt;=WBS!$L$5:$L$2773, IF(WBS!$AU$5:$AU$2773 &gt;0, WBS!$I$5:$I$2773 / WBS!$AU$5:$AU$2773, 0), 0), 0), 0) ))</f>
        <v>0</v>
      </c>
      <c r="BF15">
        <f t="array" ref="BF15">IF(WEEKDAY(BF$1,2)&gt;=6, 0, SUM( IF(WBS!$J$5:$J$2773=$A15, IF(BF$1&gt;=WBS!$K$5:$K$2773, IF(BF$1&lt;=WBS!$L$5:$L$2773, IF(WBS!$AU$5:$AU$2773 &gt;0, WBS!$I$5:$I$2773 / WBS!$AU$5:$AU$2773, 0), 0), 0), 0) ))</f>
        <v>0</v>
      </c>
      <c r="BG15">
        <f t="array" ref="BG15">IF(WEEKDAY(BG$1,2)&gt;=6, 0, SUM( IF(WBS!$J$5:$J$2773=$A15, IF(BG$1&gt;=WBS!$K$5:$K$2773, IF(BG$1&lt;=WBS!$L$5:$L$2773, IF(WBS!$AU$5:$AU$2773 &gt;0, WBS!$I$5:$I$2773 / WBS!$AU$5:$AU$2773, 0), 0), 0), 0) ))</f>
        <v>0</v>
      </c>
      <c r="BH15">
        <f t="array" ref="BH15">IF(WEEKDAY(BH$1,2)&gt;=6, 0, SUM( IF(WBS!$J$5:$J$2773=$A15, IF(BH$1&gt;=WBS!$K$5:$K$2773, IF(BH$1&lt;=WBS!$L$5:$L$2773, IF(WBS!$AU$5:$AU$2773 &gt;0, WBS!$I$5:$I$2773 / WBS!$AU$5:$AU$2773, 0), 0), 0), 0) ))</f>
        <v>0</v>
      </c>
      <c r="BI15" s="42">
        <f t="array" ref="BI15">IF(WEEKDAY(BI$1,2)&gt;=6, 0, SUM( IF(WBS!$J$5:$J$2773=$A15, IF(BI$1&gt;=WBS!$K$5:$K$2773, IF(BI$1&lt;=WBS!$L$5:$L$2773, IF(WBS!$AU$5:$AU$2773 &gt;0, WBS!$I$5:$I$2773 / WBS!$AU$5:$AU$2773, 0), 0), 0), 0) ))</f>
        <v>0</v>
      </c>
      <c r="BJ15" s="42">
        <f t="array" ref="BJ15">IF(WEEKDAY(BJ$1,2)&gt;=6, 0, SUM( IF(WBS!$J$5:$J$2773=$A15, IF(BJ$1&gt;=WBS!$K$5:$K$2773, IF(BJ$1&lt;=WBS!$L$5:$L$2773, IF(WBS!$AU$5:$AU$2773 &gt;0, WBS!$I$5:$I$2773 / WBS!$AU$5:$AU$2773, 0), 0), 0), 0) ))</f>
        <v>0</v>
      </c>
      <c r="BK15">
        <f t="array" ref="BK15">IF(WEEKDAY(BK$1,2)&gt;=6, 0, SUM( IF(WBS!$J$5:$J$2773=$A15, IF(BK$1&gt;=WBS!$K$5:$K$2773, IF(BK$1&lt;=WBS!$L$5:$L$2773, IF(WBS!$AU$5:$AU$2773 &gt;0, WBS!$I$5:$I$2773 / WBS!$AU$5:$AU$2773, 0), 0), 0), 0) ))</f>
        <v>0</v>
      </c>
      <c r="BL15">
        <f t="array" ref="BL15">IF(WEEKDAY(BL$1,2)&gt;=6, 0, SUM( IF(WBS!$J$5:$J$2773=$A15, IF(BL$1&gt;=WBS!$K$5:$K$2773, IF(BL$1&lt;=WBS!$L$5:$L$2773, IF(WBS!$AU$5:$AU$2773 &gt;0, WBS!$I$5:$I$2773 / WBS!$AU$5:$AU$2773, 0), 0), 0), 0) ))</f>
        <v>0</v>
      </c>
      <c r="BM15">
        <f t="array" ref="BM15">IF(WEEKDAY(BM$1,2)&gt;=6, 0, SUM( IF(WBS!$J$5:$J$2773=$A15, IF(BM$1&gt;=WBS!$K$5:$K$2773, IF(BM$1&lt;=WBS!$L$5:$L$2773, IF(WBS!$AU$5:$AU$2773 &gt;0, WBS!$I$5:$I$2773 / WBS!$AU$5:$AU$2773, 0), 0), 0), 0) ))</f>
        <v>0</v>
      </c>
      <c r="BN15">
        <f t="array" ref="BN15">IF(WEEKDAY(BN$1,2)&gt;=6, 0, SUM( IF(WBS!$J$5:$J$2773=$A15, IF(BN$1&gt;=WBS!$K$5:$K$2773, IF(BN$1&lt;=WBS!$L$5:$L$2773, IF(WBS!$AU$5:$AU$2773 &gt;0, WBS!$I$5:$I$2773 / WBS!$AU$5:$AU$2773, 0), 0), 0), 0) ))</f>
        <v>0</v>
      </c>
      <c r="BO15">
        <f t="array" ref="BO15">IF(WEEKDAY(BO$1,2)&gt;=6, 0, SUM( IF(WBS!$J$5:$J$2773=$A15, IF(BO$1&gt;=WBS!$K$5:$K$2773, IF(BO$1&lt;=WBS!$L$5:$L$2773, IF(WBS!$AU$5:$AU$2773 &gt;0, WBS!$I$5:$I$2773 / WBS!$AU$5:$AU$2773, 0), 0), 0), 0) ))</f>
        <v>0</v>
      </c>
      <c r="BP15" s="42">
        <f t="array" ref="BP15">IF(WEEKDAY(BP$1,2)&gt;=6, 0, SUM( IF(WBS!$J$5:$J$2773=$A15, IF(BP$1&gt;=WBS!$K$5:$K$2773, IF(BP$1&lt;=WBS!$L$5:$L$2773, IF(WBS!$AU$5:$AU$2773 &gt;0, WBS!$I$5:$I$2773 / WBS!$AU$5:$AU$2773, 0), 0), 0), 0) ))</f>
        <v>0</v>
      </c>
      <c r="BQ15" s="42">
        <f t="array" ref="BQ15">IF(WEEKDAY(BQ$1,2)&gt;=6, 0, SUM( IF(WBS!$J$5:$J$2773=$A15, IF(BQ$1&gt;=WBS!$K$5:$K$2773, IF(BQ$1&lt;=WBS!$L$5:$L$2773, IF(WBS!$AU$5:$AU$2773 &gt;0, WBS!$I$5:$I$2773 / WBS!$AU$5:$AU$2773, 0), 0), 0), 0) ))</f>
        <v>0</v>
      </c>
      <c r="BR15">
        <f t="array" ref="BR15">IF(WEEKDAY(BR$1,2)&gt;=6, 0, SUM( IF(WBS!$J$5:$J$2773=$A15, IF(BR$1&gt;=WBS!$K$5:$K$2773, IF(BR$1&lt;=WBS!$L$5:$L$2773, IF(WBS!$AU$5:$AU$2773 &gt;0, WBS!$I$5:$I$2773 / WBS!$AU$5:$AU$2773, 0), 0), 0), 0) ))</f>
        <v>0</v>
      </c>
      <c r="BS15">
        <f t="array" ref="BS15">IF(WEEKDAY(BS$1,2)&gt;=6, 0, SUM( IF(WBS!$J$5:$J$2773=$A15, IF(BS$1&gt;=WBS!$K$5:$K$2773, IF(BS$1&lt;=WBS!$L$5:$L$2773, IF(WBS!$AU$5:$AU$2773 &gt;0, WBS!$I$5:$I$2773 / WBS!$AU$5:$AU$2773, 0), 0), 0), 0) ))</f>
        <v>0</v>
      </c>
      <c r="BT15">
        <f t="array" ref="BT15">IF(WEEKDAY(BT$1,2)&gt;=6, 0, SUM( IF(WBS!$J$5:$J$2773=$A15, IF(BT$1&gt;=WBS!$K$5:$K$2773, IF(BT$1&lt;=WBS!$L$5:$L$2773, IF(WBS!$AU$5:$AU$2773 &gt;0, WBS!$I$5:$I$2773 / WBS!$AU$5:$AU$2773, 0), 0), 0), 0) ))</f>
        <v>0</v>
      </c>
      <c r="BU15">
        <f t="array" ref="BU15">IF(WEEKDAY(BU$1,2)&gt;=6, 0, SUM( IF(WBS!$J$5:$J$2773=$A15, IF(BU$1&gt;=WBS!$K$5:$K$2773, IF(BU$1&lt;=WBS!$L$5:$L$2773, IF(WBS!$AU$5:$AU$2773 &gt;0, WBS!$I$5:$I$2773 / WBS!$AU$5:$AU$2773, 0), 0), 0), 0) ))</f>
        <v>0</v>
      </c>
      <c r="BV15">
        <f t="array" ref="BV15">IF(WEEKDAY(BV$1,2)&gt;=6, 0, SUM( IF(WBS!$J$5:$J$2773=$A15, IF(BV$1&gt;=WBS!$K$5:$K$2773, IF(BV$1&lt;=WBS!$L$5:$L$2773, IF(WBS!$AU$5:$AU$2773 &gt;0, WBS!$I$5:$I$2773 / WBS!$AU$5:$AU$2773, 0), 0), 0), 0) ))</f>
        <v>0</v>
      </c>
      <c r="BW15" s="42">
        <f t="array" ref="BW15">IF(WEEKDAY(BW$1,2)&gt;=6, 0, SUM( IF(WBS!$J$5:$J$2773=$A15, IF(BW$1&gt;=WBS!$K$5:$K$2773, IF(BW$1&lt;=WBS!$L$5:$L$2773, IF(WBS!$AU$5:$AU$2773 &gt;0, WBS!$I$5:$I$2773 / WBS!$AU$5:$AU$2773, 0), 0), 0), 0) ))</f>
        <v>0</v>
      </c>
      <c r="BX15" s="42">
        <f t="array" ref="BX15">IF(WEEKDAY(BX$1,2)&gt;=6, 0, SUM( IF(WBS!$J$5:$J$2773=$A15, IF(BX$1&gt;=WBS!$K$5:$K$2773, IF(BX$1&lt;=WBS!$L$5:$L$2773, IF(WBS!$AU$5:$AU$2773 &gt;0, WBS!$I$5:$I$2773 / WBS!$AU$5:$AU$2773, 0), 0), 0), 0) ))</f>
        <v>0</v>
      </c>
      <c r="BY15">
        <f t="array" ref="BY15">IF(WEEKDAY(BY$1,2)&gt;=6, 0, SUM( IF(WBS!$J$5:$J$2773=$A15, IF(BY$1&gt;=WBS!$K$5:$K$2773, IF(BY$1&lt;=WBS!$L$5:$L$2773, IF(WBS!$AU$5:$AU$2773 &gt;0, WBS!$I$5:$I$2773 / WBS!$AU$5:$AU$2773, 0), 0), 0), 0) ))</f>
        <v>0</v>
      </c>
      <c r="BZ15">
        <f t="array" ref="BZ15">IF(WEEKDAY(BZ$1,2)&gt;=6, 0, SUM( IF(WBS!$J$5:$J$2773=$A15, IF(BZ$1&gt;=WBS!$K$5:$K$2773, IF(BZ$1&lt;=WBS!$L$5:$L$2773, IF(WBS!$AU$5:$AU$2773 &gt;0, WBS!$I$5:$I$2773 / WBS!$AU$5:$AU$2773, 0), 0), 0), 0) ))</f>
        <v>0</v>
      </c>
      <c r="CA15">
        <f t="array" ref="CA15">IF(WEEKDAY(CA$1,2)&gt;=6, 0, SUM( IF(WBS!$J$5:$J$2773=$A15, IF(CA$1&gt;=WBS!$K$5:$K$2773, IF(CA$1&lt;=WBS!$L$5:$L$2773, IF(WBS!$AU$5:$AU$2773 &gt;0, WBS!$I$5:$I$2773 / WBS!$AU$5:$AU$2773, 0), 0), 0), 0) ))</f>
        <v>0</v>
      </c>
      <c r="CB15">
        <f t="array" ref="CB15">IF(WEEKDAY(CB$1,2)&gt;=6, 0, SUM( IF(WBS!$J$5:$J$2773=$A15, IF(CB$1&gt;=WBS!$K$5:$K$2773, IF(CB$1&lt;=WBS!$L$5:$L$2773, IF(WBS!$AU$5:$AU$2773 &gt;0, WBS!$I$5:$I$2773 / WBS!$AU$5:$AU$2773, 0), 0), 0), 0) ))</f>
        <v>0</v>
      </c>
      <c r="CC15">
        <f t="array" ref="CC15">IF(WEEKDAY(CC$1,2)&gt;=6, 0, SUM( IF(WBS!$J$5:$J$2773=$A15, IF(CC$1&gt;=WBS!$K$5:$K$2773, IF(CC$1&lt;=WBS!$L$5:$L$2773, IF(WBS!$AU$5:$AU$2773 &gt;0, WBS!$I$5:$I$2773 / WBS!$AU$5:$AU$2773, 0), 0), 0), 0) ))</f>
        <v>0</v>
      </c>
      <c r="CD15" s="42">
        <f t="array" ref="CD15">IF(WEEKDAY(CD$1,2)&gt;=6, 0, SUM( IF(WBS!$J$5:$J$2773=$A15, IF(CD$1&gt;=WBS!$K$5:$K$2773, IF(CD$1&lt;=WBS!$L$5:$L$2773, IF(WBS!$AU$5:$AU$2773 &gt;0, WBS!$I$5:$I$2773 / WBS!$AU$5:$AU$2773, 0), 0), 0), 0) ))</f>
        <v>0</v>
      </c>
      <c r="CE15" s="42">
        <f t="array" ref="CE15">IF(WEEKDAY(CE$1,2)&gt;=6, 0, SUM( IF(WBS!$J$5:$J$2773=$A15, IF(CE$1&gt;=WBS!$K$5:$K$2773, IF(CE$1&lt;=WBS!$L$5:$L$2773, IF(WBS!$AU$5:$AU$2773 &gt;0, WBS!$I$5:$I$2773 / WBS!$AU$5:$AU$2773, 0), 0), 0), 0) ))</f>
        <v>0</v>
      </c>
      <c r="CF15">
        <f t="array" ref="CF15">IF(WEEKDAY(CF$1,2)&gt;=6, 0, SUM( IF(WBS!$J$5:$J$2773=$A15, IF(CF$1&gt;=WBS!$K$5:$K$2773, IF(CF$1&lt;=WBS!$L$5:$L$2773, IF(WBS!$AU$5:$AU$2773 &gt;0, WBS!$I$5:$I$2773 / WBS!$AU$5:$AU$2773, 0), 0), 0), 0) ))</f>
        <v>0</v>
      </c>
      <c r="CG15">
        <f t="array" ref="CG15">IF(WEEKDAY(CG$1,2)&gt;=6, 0, SUM( IF(WBS!$J$5:$J$2773=$A15, IF(CG$1&gt;=WBS!$K$5:$K$2773, IF(CG$1&lt;=WBS!$L$5:$L$2773, IF(WBS!$AU$5:$AU$2773 &gt;0, WBS!$I$5:$I$2773 / WBS!$AU$5:$AU$2773, 0), 0), 0), 0) ))</f>
        <v>0</v>
      </c>
      <c r="CH15">
        <f t="array" ref="CH15">IF(WEEKDAY(CH$1,2)&gt;=6, 0, SUM( IF(WBS!$J$5:$J$2773=$A15, IF(CH$1&gt;=WBS!$K$5:$K$2773, IF(CH$1&lt;=WBS!$L$5:$L$2773, IF(WBS!$AU$5:$AU$2773 &gt;0, WBS!$I$5:$I$2773 / WBS!$AU$5:$AU$2773, 0), 0), 0), 0) ))</f>
        <v>0</v>
      </c>
      <c r="CI15" s="274"/>
      <c r="CK15" s="42"/>
      <c r="CL15" s="42"/>
      <c r="CR15" s="42"/>
      <c r="CS15" s="42"/>
      <c r="CY15" s="42"/>
      <c r="CZ15" s="42"/>
      <c r="DF15" s="42"/>
      <c r="DG15" s="42"/>
      <c r="DM15" s="42"/>
      <c r="DN15" s="42"/>
      <c r="DT15" s="42"/>
      <c r="DU15" s="42"/>
      <c r="EA15" s="276"/>
      <c r="EB15" s="276"/>
      <c r="EC15" s="274"/>
      <c r="ED15" s="274"/>
      <c r="EE15" s="274"/>
      <c r="EF15" s="274"/>
      <c r="EG15" s="274"/>
      <c r="EH15" s="274"/>
      <c r="EI15" s="274"/>
      <c r="EJ15" s="274"/>
      <c r="EO15" s="42"/>
      <c r="EP15" s="42"/>
      <c r="EV15" s="42"/>
      <c r="EW15" s="42"/>
      <c r="FC15" s="42"/>
      <c r="FD15" s="42"/>
      <c r="FJ15" s="42"/>
      <c r="FK15" s="42"/>
      <c r="FQ15" s="42"/>
      <c r="FR15" s="42"/>
      <c r="FX15" s="42"/>
      <c r="FY15" s="42"/>
      <c r="FZ15" s="274"/>
      <c r="GE15" s="42"/>
      <c r="GF15" s="42"/>
      <c r="GL15" s="42"/>
      <c r="GM15" s="42"/>
      <c r="GS15" s="42"/>
      <c r="GT15" s="42"/>
      <c r="GY15" s="274"/>
      <c r="GZ15" s="42"/>
      <c r="HA15" s="42"/>
      <c r="HB15" s="274"/>
      <c r="HC15" s="274"/>
      <c r="HG15" s="42"/>
      <c r="HH15" s="42"/>
      <c r="HN15" s="42"/>
      <c r="HO15" s="42"/>
      <c r="HU15" s="42"/>
      <c r="HV15" s="42"/>
      <c r="IB15" s="42"/>
      <c r="IC15" s="42"/>
      <c r="II15" s="42"/>
      <c r="IJ15" s="42"/>
      <c r="IP15" s="42"/>
      <c r="IQ15" s="42"/>
      <c r="IV15" s="274"/>
      <c r="IW15" s="42"/>
      <c r="IX15" s="42"/>
      <c r="JD15" s="42"/>
      <c r="JE15" s="42"/>
      <c r="JK15" s="42"/>
      <c r="JL15" s="42"/>
      <c r="JR15" s="42"/>
      <c r="JS15" s="42"/>
      <c r="JY15" s="42"/>
      <c r="JZ15" s="42"/>
      <c r="KF15" s="42"/>
      <c r="KG15" s="42"/>
      <c r="KM15" s="42"/>
      <c r="KN15" s="42"/>
      <c r="KT15" s="42"/>
      <c r="KU15" s="42"/>
      <c r="LA15" s="42"/>
      <c r="LB15" s="42"/>
      <c r="LH15" s="42"/>
      <c r="LI15" s="42"/>
      <c r="LO15" s="42"/>
      <c r="LP15" s="42"/>
      <c r="LV15" s="42"/>
      <c r="LW15" s="42"/>
      <c r="MC15" s="42"/>
      <c r="MD15" s="42"/>
      <c r="MJ15" s="42"/>
      <c r="MK15" s="42"/>
      <c r="MP15" s="274"/>
      <c r="MQ15" s="42"/>
      <c r="MR15" s="276"/>
      <c r="MV15" s="274"/>
      <c r="MW15" s="274"/>
      <c r="MX15" s="42"/>
      <c r="MY15" s="42"/>
      <c r="MZ15" s="274"/>
      <c r="NA15" s="274"/>
      <c r="NB15" s="274"/>
      <c r="NE15" s="276"/>
      <c r="NF15" s="42"/>
      <c r="NL15" s="42"/>
      <c r="NM15" s="42"/>
      <c r="NS15" s="42"/>
      <c r="NT15" s="42"/>
      <c r="NZ15" s="42"/>
      <c r="OA15" s="42"/>
      <c r="OG15" s="42"/>
      <c r="OH15" s="42"/>
      <c r="ON15" s="42"/>
      <c r="OO15" s="42"/>
      <c r="OU15" s="42"/>
      <c r="OV15" s="42"/>
      <c r="PB15" s="42"/>
      <c r="PC15" s="42"/>
      <c r="PI15" s="42"/>
      <c r="PJ15" s="42"/>
      <c r="PP15" s="42"/>
      <c r="PQ15" s="42"/>
      <c r="PW15" s="42"/>
      <c r="PX15" s="42"/>
      <c r="QD15" s="42"/>
      <c r="QE15" s="42"/>
    </row>
    <row r="16" spans="1:451">
      <c r="A16" t="s">
        <v>324</v>
      </c>
      <c r="B16" t="s">
        <v>85</v>
      </c>
      <c r="C16">
        <f t="array" ref="C16">IF(WEEKDAY(C$1,2)&gt;=6, 0, SUM( IF(WBS!$J$5:$J$2773=$A16, IF(C$1&gt;=WBS!$K$5:$K$2773, IF(C$1&lt;=WBS!$L$5:$L$2773, IF(WBS!$AU$5:$AU$2773 &gt;0, WBS!$I$5:$I$2773 / WBS!$AU$5:$AU$2773, 0), 0), 0), 0) ))</f>
        <v>0</v>
      </c>
      <c r="D16">
        <f t="array" ref="D16">IF(WEEKDAY(D$1,2)&gt;=6, 0, SUM( IF(WBS!$J$5:$J$2773=$A16, IF(D$1&gt;=WBS!$K$5:$K$2773, IF(D$1&lt;=WBS!$L$5:$L$2773, IF(WBS!$AU$5:$AU$2773 &gt;0, WBS!$I$5:$I$2773 / WBS!$AU$5:$AU$2773, 0), 0), 0), 0) ))</f>
        <v>0</v>
      </c>
      <c r="E16">
        <f t="array" ref="E16">IF(WEEKDAY(E$1,2)&gt;=6, 0, SUM( IF(WBS!$J$5:$J$2773=$A16, IF(E$1&gt;=WBS!$K$5:$K$2773, IF(E$1&lt;=WBS!$L$5:$L$2773, IF(WBS!$AU$5:$AU$2773 &gt;0, WBS!$I$5:$I$2773 / WBS!$AU$5:$AU$2773, 0), 0), 0), 0) ))</f>
        <v>0</v>
      </c>
      <c r="F16">
        <f t="array" ref="F16">IF(WEEKDAY(F$1,2)&gt;=6, 0, SUM( IF(WBS!$J$5:$J$2773=$A16, IF(F$1&gt;=WBS!$K$5:$K$2773, IF(F$1&lt;=WBS!$L$5:$L$2773, IF(WBS!$AU$5:$AU$2773 &gt;0, WBS!$I$5:$I$2773 / WBS!$AU$5:$AU$2773, 0), 0), 0), 0) ))</f>
        <v>0</v>
      </c>
      <c r="G16">
        <f t="array" ref="G16">IF(WEEKDAY(G$1,2)&gt;=6, 0, SUM( IF(WBS!$J$5:$J$2773=$A16, IF(G$1&gt;=WBS!$K$5:$K$2773, IF(G$1&lt;=WBS!$L$5:$L$2773, IF(WBS!$AU$5:$AU$2773 &gt;0, WBS!$I$5:$I$2773 / WBS!$AU$5:$AU$2773, 0), 0), 0), 0) ))</f>
        <v>0</v>
      </c>
      <c r="H16">
        <f t="array" ref="H16">IF(WEEKDAY(H$1,2)&gt;=6, 0, SUM( IF(WBS!$J$5:$J$2773=$A16, IF(H$1&gt;=WBS!$K$5:$K$2773, IF(H$1&lt;=WBS!$L$5:$L$2773, IF(WBS!$AU$5:$AU$2773 &gt;0, WBS!$I$5:$I$2773 / WBS!$AU$5:$AU$2773, 0), 0), 0), 0) ))</f>
        <v>0</v>
      </c>
      <c r="I16">
        <f t="array" ref="I16">IF(WEEKDAY(I$1,2)&gt;=6, 0, SUM( IF(WBS!$J$5:$J$2773=$A16, IF(I$1&gt;=WBS!$K$5:$K$2773, IF(I$1&lt;=WBS!$L$5:$L$2773, IF(WBS!$AU$5:$AU$2773 &gt;0, WBS!$I$5:$I$2773 / WBS!$AU$5:$AU$2773, 0), 0), 0), 0) ))</f>
        <v>0</v>
      </c>
      <c r="J16">
        <f t="array" ref="J16">IF(WEEKDAY(J$1,2)&gt;=6, 0, SUM( IF(WBS!$J$5:$J$2773=$A16, IF(J$1&gt;=WBS!$K$5:$K$2773, IF(J$1&lt;=WBS!$L$5:$L$2773, IF(WBS!$AU$5:$AU$2773 &gt;0, WBS!$I$5:$I$2773 / WBS!$AU$5:$AU$2773, 0), 0), 0), 0) ))</f>
        <v>0</v>
      </c>
      <c r="K16">
        <f t="array" ref="K16">IF(WEEKDAY(K$1,2)&gt;=6, 0, SUM( IF(WBS!$J$5:$J$2773=$A16, IF(K$1&gt;=WBS!$K$5:$K$2773, IF(K$1&lt;=WBS!$L$5:$L$2773, IF(WBS!$AU$5:$AU$2773 &gt;0, WBS!$I$5:$I$2773 / WBS!$AU$5:$AU$2773, 0), 0), 0), 0) ))</f>
        <v>0</v>
      </c>
      <c r="L16">
        <f t="array" ref="L16">IF(WEEKDAY(L$1,2)&gt;=6, 0, SUM( IF(WBS!$J$5:$J$2773=$A16, IF(L$1&gt;=WBS!$K$5:$K$2773, IF(L$1&lt;=WBS!$L$5:$L$2773, IF(WBS!$AU$5:$AU$2773 &gt;0, WBS!$I$5:$I$2773 / WBS!$AU$5:$AU$2773, 0), 0), 0), 0) ))</f>
        <v>0</v>
      </c>
      <c r="M16">
        <f t="array" ref="M16">IF(WEEKDAY(M$1,2)&gt;=6, 0, SUM( IF(WBS!$J$5:$J$2773=$A16, IF(M$1&gt;=WBS!$K$5:$K$2773, IF(M$1&lt;=WBS!$L$5:$L$2773, IF(WBS!$AU$5:$AU$2773 &gt;0, WBS!$I$5:$I$2773 / WBS!$AU$5:$AU$2773, 0), 0), 0), 0) ))</f>
        <v>0</v>
      </c>
      <c r="N16">
        <f t="array" ref="N16">IF(WEEKDAY(N$1,2)&gt;=6, 0, SUM( IF(WBS!$J$5:$J$2773=$A16, IF(N$1&gt;=WBS!$K$5:$K$2773, IF(N$1&lt;=WBS!$L$5:$L$2773, IF(WBS!$AU$5:$AU$2773 &gt;0, WBS!$I$5:$I$2773 / WBS!$AU$5:$AU$2773, 0), 0), 0), 0) ))</f>
        <v>0</v>
      </c>
      <c r="O16">
        <f t="array" ref="O16">IF(WEEKDAY(O$1,2)&gt;=6, 0, SUM( IF(WBS!$J$5:$J$2773=$A16, IF(O$1&gt;=WBS!$K$5:$K$2773, IF(O$1&lt;=WBS!$L$5:$L$2773, IF(WBS!$AU$5:$AU$2773 &gt;0, WBS!$I$5:$I$2773 / WBS!$AU$5:$AU$2773, 0), 0), 0), 0) ))</f>
        <v>0</v>
      </c>
      <c r="P16">
        <f t="array" ref="P16">IF(WEEKDAY(P$1,2)&gt;=6, 0, SUM( IF(WBS!$J$5:$J$2773=$A16, IF(P$1&gt;=WBS!$K$5:$K$2773, IF(P$1&lt;=WBS!$L$5:$L$2773, IF(WBS!$AU$5:$AU$2773 &gt;0, WBS!$I$5:$I$2773 / WBS!$AU$5:$AU$2773, 0), 0), 0), 0) ))</f>
        <v>0</v>
      </c>
      <c r="Q16">
        <f t="array" ref="Q16">IF(WEEKDAY(Q$1,2)&gt;=6, 0, SUM( IF(WBS!$J$5:$J$2773=$A16, IF(Q$1&gt;=WBS!$K$5:$K$2773, IF(Q$1&lt;=WBS!$L$5:$L$2773, IF(WBS!$AU$5:$AU$2773 &gt;0, WBS!$I$5:$I$2773 / WBS!$AU$5:$AU$2773, 0), 0), 0), 0) ))</f>
        <v>0</v>
      </c>
      <c r="R16">
        <f t="array" ref="R16">IF(WEEKDAY(R$1,2)&gt;=6, 0, SUM( IF(WBS!$J$5:$J$2773=$A16, IF(R$1&gt;=WBS!$K$5:$K$2773, IF(R$1&lt;=WBS!$L$5:$L$2773, IF(WBS!$AU$5:$AU$2773 &gt;0, WBS!$I$5:$I$2773 / WBS!$AU$5:$AU$2773, 0), 0), 0), 0) ))</f>
        <v>0</v>
      </c>
      <c r="S16">
        <f t="array" ref="S16">IF(WEEKDAY(S$1,2)&gt;=6, 0, SUM( IF(WBS!$J$5:$J$2773=$A16, IF(S$1&gt;=WBS!$K$5:$K$2773, IF(S$1&lt;=WBS!$L$5:$L$2773, IF(WBS!$AU$5:$AU$2773 &gt;0, WBS!$I$5:$I$2773 / WBS!$AU$5:$AU$2773, 0), 0), 0), 0) ))</f>
        <v>0</v>
      </c>
      <c r="T16">
        <f t="array" ref="T16">IF(WEEKDAY(T$1,2)&gt;=6, 0, SUM( IF(WBS!$J$5:$J$2773=$A16, IF(T$1&gt;=WBS!$K$5:$K$2773, IF(T$1&lt;=WBS!$L$5:$L$2773, IF(WBS!$AU$5:$AU$2773 &gt;0, WBS!$I$5:$I$2773 / WBS!$AU$5:$AU$2773, 0), 0), 0), 0) ))</f>
        <v>0</v>
      </c>
      <c r="U16">
        <f t="array" ref="U16">IF(WEEKDAY(U$1,2)&gt;=6, 0, SUM( IF(WBS!$J$5:$J$2773=$A16, IF(U$1&gt;=WBS!$K$5:$K$2773, IF(U$1&lt;=WBS!$L$5:$L$2773, IF(WBS!$AU$5:$AU$2773 &gt;0, WBS!$I$5:$I$2773 / WBS!$AU$5:$AU$2773, 0), 0), 0), 0) ))</f>
        <v>0</v>
      </c>
      <c r="V16">
        <f t="array" ref="V16">IF(WEEKDAY(V$1,2)&gt;=6, 0, SUM( IF(WBS!$J$5:$J$2773=$A16, IF(V$1&gt;=WBS!$K$5:$K$2773, IF(V$1&lt;=WBS!$L$5:$L$2773, IF(WBS!$AU$5:$AU$2773 &gt;0, WBS!$I$5:$I$2773 / WBS!$AU$5:$AU$2773, 0), 0), 0), 0) ))</f>
        <v>0</v>
      </c>
      <c r="W16">
        <f t="array" ref="W16">IF(WEEKDAY(W$1,2)&gt;=6, 0, SUM( IF(WBS!$J$5:$J$2773=$A16, IF(W$1&gt;=WBS!$K$5:$K$2773, IF(W$1&lt;=WBS!$L$5:$L$2773, IF(WBS!$AU$5:$AU$2773 &gt;0, WBS!$I$5:$I$2773 / WBS!$AU$5:$AU$2773, 0), 0), 0), 0) ))</f>
        <v>0</v>
      </c>
      <c r="X16">
        <f t="array" ref="X16">IF(WEEKDAY(X$1,2)&gt;=6, 0, SUM( IF(WBS!$J$5:$J$2773=$A16, IF(X$1&gt;=WBS!$K$5:$K$2773, IF(X$1&lt;=WBS!$L$5:$L$2773, IF(WBS!$AU$5:$AU$2773 &gt;0, WBS!$I$5:$I$2773 / WBS!$AU$5:$AU$2773, 0), 0), 0), 0) ))</f>
        <v>0</v>
      </c>
      <c r="Y16">
        <f t="array" ref="Y16">IF(WEEKDAY(Y$1,2)&gt;=6, 0, SUM( IF(WBS!$J$5:$J$2773=$A16, IF(Y$1&gt;=WBS!$K$5:$K$2773, IF(Y$1&lt;=WBS!$L$5:$L$2773, IF(WBS!$AU$5:$AU$2773 &gt;0, WBS!$I$5:$I$2773 / WBS!$AU$5:$AU$2773, 0), 0), 0), 0) ))</f>
        <v>0</v>
      </c>
      <c r="Z16">
        <f t="array" ref="Z16">IF(WEEKDAY(Z$1,2)&gt;=6, 0, SUM( IF(WBS!$J$5:$J$2773=$A16, IF(Z$1&gt;=WBS!$K$5:$K$2773, IF(Z$1&lt;=WBS!$L$5:$L$2773, IF(WBS!$AU$5:$AU$2773 &gt;0, WBS!$I$5:$I$2773 / WBS!$AU$5:$AU$2773, 0), 0), 0), 0) ))</f>
        <v>0</v>
      </c>
      <c r="AA16">
        <f t="array" ref="AA16">IF(WEEKDAY(AA$1,2)&gt;=6, 0, SUM( IF(WBS!$J$5:$J$2773=$A16, IF(AA$1&gt;=WBS!$K$5:$K$2773, IF(AA$1&lt;=WBS!$L$5:$L$2773, IF(WBS!$AU$5:$AU$2773 &gt;0, WBS!$I$5:$I$2773 / WBS!$AU$5:$AU$2773, 0), 0), 0), 0) ))</f>
        <v>0</v>
      </c>
      <c r="AB16">
        <f t="array" ref="AB16">IF(WEEKDAY(AB$1,2)&gt;=6, 0, SUM( IF(WBS!$J$5:$J$2773=$A16, IF(AB$1&gt;=WBS!$K$5:$K$2773, IF(AB$1&lt;=WBS!$L$5:$L$2773, IF(WBS!$AU$5:$AU$2773 &gt;0, WBS!$I$5:$I$2773 / WBS!$AU$5:$AU$2773, 0), 0), 0), 0) ))</f>
        <v>0</v>
      </c>
      <c r="AC16">
        <f t="array" ref="AC16">IF(WEEKDAY(AC$1,2)&gt;=6, 0, SUM( IF(WBS!$J$5:$J$2773=$A16, IF(AC$1&gt;=WBS!$K$5:$K$2773, IF(AC$1&lt;=WBS!$L$5:$L$2773, IF(WBS!$AU$5:$AU$2773 &gt;0, WBS!$I$5:$I$2773 / WBS!$AU$5:$AU$2773, 0), 0), 0), 0) ))</f>
        <v>0</v>
      </c>
      <c r="AD16">
        <f t="array" ref="AD16">IF(WEEKDAY(AD$1,2)&gt;=6, 0, SUM( IF(WBS!$J$5:$J$2773=$A16, IF(AD$1&gt;=WBS!$K$5:$K$2773, IF(AD$1&lt;=WBS!$L$5:$L$2773, IF(WBS!$AU$5:$AU$2773 &gt;0, WBS!$I$5:$I$2773 / WBS!$AU$5:$AU$2773, 0), 0), 0), 0) ))</f>
        <v>0</v>
      </c>
      <c r="AE16">
        <f t="array" ref="AE16">IF(WEEKDAY(AE$1,2)&gt;=6, 0, SUM( IF(WBS!$J$5:$J$2773=$A16, IF(AE$1&gt;=WBS!$K$5:$K$2773, IF(AE$1&lt;=WBS!$L$5:$L$2773, IF(WBS!$AU$5:$AU$2773 &gt;0, WBS!$I$5:$I$2773 / WBS!$AU$5:$AU$2773, 0), 0), 0), 0) ))</f>
        <v>0</v>
      </c>
      <c r="AF16">
        <f t="array" ref="AF16">IF(WEEKDAY(AF$1,2)&gt;=6, 0, SUM( IF(WBS!$J$5:$J$2773=$A16, IF(AF$1&gt;=WBS!$K$5:$K$2773, IF(AF$1&lt;=WBS!$L$5:$L$2773, IF(WBS!$AU$5:$AU$2773 &gt;0, WBS!$I$5:$I$2773 / WBS!$AU$5:$AU$2773, 0), 0), 0), 0) ))</f>
        <v>0</v>
      </c>
      <c r="AG16">
        <f t="array" ref="AG16">IF(WEEKDAY(AG$1,2)&gt;=6, 0, SUM( IF(WBS!$J$5:$J$2773=$A16, IF(AG$1&gt;=WBS!$K$5:$K$2773, IF(AG$1&lt;=WBS!$L$5:$L$2773, IF(WBS!$AU$5:$AU$2773 &gt;0, WBS!$I$5:$I$2773 / WBS!$AU$5:$AU$2773, 0), 0), 0), 0) ))</f>
        <v>0</v>
      </c>
      <c r="AH16">
        <f t="array" ref="AH16">IF(WEEKDAY(AH$1,2)&gt;=6, 0, SUM( IF(WBS!$J$5:$J$2773=$A16, IF(AH$1&gt;=WBS!$K$5:$K$2773, IF(AH$1&lt;=WBS!$L$5:$L$2773, IF(WBS!$AU$5:$AU$2773 &gt;0, WBS!$I$5:$I$2773 / WBS!$AU$5:$AU$2773, 0), 0), 0), 0) ))</f>
        <v>0</v>
      </c>
      <c r="AI16">
        <f t="array" ref="AI16">IF(WEEKDAY(AI$1,2)&gt;=6, 0, SUM( IF(WBS!$J$5:$J$2773=$A16, IF(AI$1&gt;=WBS!$K$5:$K$2773, IF(AI$1&lt;=WBS!$L$5:$L$2773, IF(WBS!$AU$5:$AU$2773 &gt;0, WBS!$I$5:$I$2773 / WBS!$AU$5:$AU$2773, 0), 0), 0), 0) ))</f>
        <v>0</v>
      </c>
      <c r="AJ16">
        <f t="array" ref="AJ16">IF(WEEKDAY(AJ$1,2)&gt;=6, 0, SUM( IF(WBS!$J$5:$J$2773=$A16, IF(AJ$1&gt;=WBS!$K$5:$K$2773, IF(AJ$1&lt;=WBS!$L$5:$L$2773, IF(WBS!$AU$5:$AU$2773 &gt;0, WBS!$I$5:$I$2773 / WBS!$AU$5:$AU$2773, 0), 0), 0), 0) ))</f>
        <v>0</v>
      </c>
      <c r="AK16">
        <f t="array" ref="AK16">IF(WEEKDAY(AK$1,2)&gt;=6, 0, SUM( IF(WBS!$J$5:$J$2773=$A16, IF(AK$1&gt;=WBS!$K$5:$K$2773, IF(AK$1&lt;=WBS!$L$5:$L$2773, IF(WBS!$AU$5:$AU$2773 &gt;0, WBS!$I$5:$I$2773 / WBS!$AU$5:$AU$2773, 0), 0), 0), 0) ))</f>
        <v>0</v>
      </c>
      <c r="AL16">
        <f t="array" ref="AL16">IF(WEEKDAY(AL$1,2)&gt;=6, 0, SUM( IF(WBS!$J$5:$J$2773=$A16, IF(AL$1&gt;=WBS!$K$5:$K$2773, IF(AL$1&lt;=WBS!$L$5:$L$2773, IF(WBS!$AU$5:$AU$2773 &gt;0, WBS!$I$5:$I$2773 / WBS!$AU$5:$AU$2773, 0), 0), 0), 0) ))</f>
        <v>0</v>
      </c>
      <c r="AM16">
        <f t="array" ref="AM16">IF(WEEKDAY(AM$1,2)&gt;=6, 0, SUM( IF(WBS!$J$5:$J$2773=$A16, IF(AM$1&gt;=WBS!$K$5:$K$2773, IF(AM$1&lt;=WBS!$L$5:$L$2773, IF(WBS!$AU$5:$AU$2773 &gt;0, WBS!$I$5:$I$2773 / WBS!$AU$5:$AU$2773, 0), 0), 0), 0) ))</f>
        <v>0</v>
      </c>
      <c r="AN16">
        <f t="array" ref="AN16">IF(WEEKDAY(AN$1,2)&gt;=6, 0, SUM( IF(WBS!$J$5:$J$2773=$A16, IF(AN$1&gt;=WBS!$K$5:$K$2773, IF(AN$1&lt;=WBS!$L$5:$L$2773, IF(WBS!$AU$5:$AU$2773 &gt;0, WBS!$I$5:$I$2773 / WBS!$AU$5:$AU$2773, 0), 0), 0), 0) ))</f>
        <v>0</v>
      </c>
      <c r="AO16">
        <f t="array" ref="AO16">IF(WEEKDAY(AO$1,2)&gt;=6, 0, SUM( IF(WBS!$J$5:$J$2773=$A16, IF(AO$1&gt;=WBS!$K$5:$K$2773, IF(AO$1&lt;=WBS!$L$5:$L$2773, IF(WBS!$AU$5:$AU$2773 &gt;0, WBS!$I$5:$I$2773 / WBS!$AU$5:$AU$2773, 0), 0), 0), 0) ))</f>
        <v>0</v>
      </c>
      <c r="AP16">
        <f t="array" ref="AP16">IF(WEEKDAY(AP$1,2)&gt;=6, 0, SUM( IF(WBS!$J$5:$J$2773=$A16, IF(AP$1&gt;=WBS!$K$5:$K$2773, IF(AP$1&lt;=WBS!$L$5:$L$2773, IF(WBS!$AU$5:$AU$2773 &gt;0, WBS!$I$5:$I$2773 / WBS!$AU$5:$AU$2773, 0), 0), 0), 0) ))</f>
        <v>0</v>
      </c>
      <c r="AQ16">
        <f t="array" ref="AQ16">IF(WEEKDAY(AQ$1,2)&gt;=6, 0, SUM( IF(WBS!$J$5:$J$2773=$A16, IF(AQ$1&gt;=WBS!$K$5:$K$2773, IF(AQ$1&lt;=WBS!$L$5:$L$2773, IF(WBS!$AU$5:$AU$2773 &gt;0, WBS!$I$5:$I$2773 / WBS!$AU$5:$AU$2773, 0), 0), 0), 0) ))</f>
        <v>0</v>
      </c>
      <c r="AR16">
        <f t="array" ref="AR16">IF(WEEKDAY(AR$1,2)&gt;=6, 0, SUM( IF(WBS!$J$5:$J$2773=$A16, IF(AR$1&gt;=WBS!$K$5:$K$2773, IF(AR$1&lt;=WBS!$L$5:$L$2773, IF(WBS!$AU$5:$AU$2773 &gt;0, WBS!$I$5:$I$2773 / WBS!$AU$5:$AU$2773, 0), 0), 0), 0) ))</f>
        <v>0</v>
      </c>
      <c r="AS16">
        <f t="array" ref="AS16">IF(WEEKDAY(AS$1,2)&gt;=6, 0, SUM( IF(WBS!$J$5:$J$2773=$A16, IF(AS$1&gt;=WBS!$K$5:$K$2773, IF(AS$1&lt;=WBS!$L$5:$L$2773, IF(WBS!$AU$5:$AU$2773 &gt;0, WBS!$I$5:$I$2773 / WBS!$AU$5:$AU$2773, 0), 0), 0), 0) ))</f>
        <v>0</v>
      </c>
      <c r="AT16">
        <f t="array" ref="AT16">IF(WEEKDAY(AT$1,2)&gt;=6, 0, SUM( IF(WBS!$J$5:$J$2773=$A16, IF(AT$1&gt;=WBS!$K$5:$K$2773, IF(AT$1&lt;=WBS!$L$5:$L$2773, IF(WBS!$AU$5:$AU$2773 &gt;0, WBS!$I$5:$I$2773 / WBS!$AU$5:$AU$2773, 0), 0), 0), 0) ))</f>
        <v>0</v>
      </c>
      <c r="AU16">
        <f t="array" ref="AU16">IF(WEEKDAY(AU$1,2)&gt;=6, 0, SUM( IF(WBS!$J$5:$J$2773=$A16, IF(AU$1&gt;=WBS!$K$5:$K$2773, IF(AU$1&lt;=WBS!$L$5:$L$2773, IF(WBS!$AU$5:$AU$2773 &gt;0, WBS!$I$5:$I$2773 / WBS!$AU$5:$AU$2773, 0), 0), 0), 0) ))</f>
        <v>0</v>
      </c>
      <c r="AV16">
        <f t="array" ref="AV16">IF(WEEKDAY(AV$1,2)&gt;=6, 0, SUM( IF(WBS!$J$5:$J$2773=$A16, IF(AV$1&gt;=WBS!$K$5:$K$2773, IF(AV$1&lt;=WBS!$L$5:$L$2773, IF(WBS!$AU$5:$AU$2773 &gt;0, WBS!$I$5:$I$2773 / WBS!$AU$5:$AU$2773, 0), 0), 0), 0) ))</f>
        <v>0</v>
      </c>
      <c r="AW16">
        <f t="array" ref="AW16">IF(WEEKDAY(AW$1,2)&gt;=6, 0, SUM( IF(WBS!$J$5:$J$2773=$A16, IF(AW$1&gt;=WBS!$K$5:$K$2773, IF(AW$1&lt;=WBS!$L$5:$L$2773, IF(WBS!$AU$5:$AU$2773 &gt;0, WBS!$I$5:$I$2773 / WBS!$AU$5:$AU$2773, 0), 0), 0), 0) ))</f>
        <v>0</v>
      </c>
      <c r="AX16">
        <f t="array" ref="AX16">IF(WEEKDAY(AX$1,2)&gt;=6, 0, SUM( IF(WBS!$J$5:$J$2773=$A16, IF(AX$1&gt;=WBS!$K$5:$K$2773, IF(AX$1&lt;=WBS!$L$5:$L$2773, IF(WBS!$AU$5:$AU$2773 &gt;0, WBS!$I$5:$I$2773 / WBS!$AU$5:$AU$2773, 0), 0), 0), 0) ))</f>
        <v>0</v>
      </c>
      <c r="AY16">
        <f t="array" ref="AY16">IF(WEEKDAY(AY$1,2)&gt;=6, 0, SUM( IF(WBS!$J$5:$J$2773=$A16, IF(AY$1&gt;=WBS!$K$5:$K$2773, IF(AY$1&lt;=WBS!$L$5:$L$2773, IF(WBS!$AU$5:$AU$2773 &gt;0, WBS!$I$5:$I$2773 / WBS!$AU$5:$AU$2773, 0), 0), 0), 0) ))</f>
        <v>0</v>
      </c>
      <c r="AZ16">
        <f t="array" ref="AZ16">IF(WEEKDAY(AZ$1,2)&gt;=6, 0, SUM( IF(WBS!$J$5:$J$2773=$A16, IF(AZ$1&gt;=WBS!$K$5:$K$2773, IF(AZ$1&lt;=WBS!$L$5:$L$2773, IF(WBS!$AU$5:$AU$2773 &gt;0, WBS!$I$5:$I$2773 / WBS!$AU$5:$AU$2773, 0), 0), 0), 0) ))</f>
        <v>0</v>
      </c>
      <c r="BA16">
        <f t="array" ref="BA16">IF(WEEKDAY(BA$1,2)&gt;=6, 0, SUM( IF(WBS!$J$5:$J$2773=$A16, IF(BA$1&gt;=WBS!$K$5:$K$2773, IF(BA$1&lt;=WBS!$L$5:$L$2773, IF(WBS!$AU$5:$AU$2773 &gt;0, WBS!$I$5:$I$2773 / WBS!$AU$5:$AU$2773, 0), 0), 0), 0) ))</f>
        <v>0</v>
      </c>
      <c r="BB16">
        <f t="array" ref="BB16">IF(WEEKDAY(BB$1,2)&gt;=6, 0, SUM( IF(WBS!$J$5:$J$2773=$A16, IF(BB$1&gt;=WBS!$K$5:$K$2773, IF(BB$1&lt;=WBS!$L$5:$L$2773, IF(WBS!$AU$5:$AU$2773 &gt;0, WBS!$I$5:$I$2773 / WBS!$AU$5:$AU$2773, 0), 0), 0), 0) ))</f>
        <v>0</v>
      </c>
      <c r="BC16">
        <f t="array" ref="BC16">IF(WEEKDAY(BC$1,2)&gt;=6, 0, SUM( IF(WBS!$J$5:$J$2773=$A16, IF(BC$1&gt;=WBS!$K$5:$K$2773, IF(BC$1&lt;=WBS!$L$5:$L$2773, IF(WBS!$AU$5:$AU$2773 &gt;0, WBS!$I$5:$I$2773 / WBS!$AU$5:$AU$2773, 0), 0), 0), 0) ))</f>
        <v>0</v>
      </c>
      <c r="BD16">
        <f t="array" ref="BD16">IF(WEEKDAY(BD$1,2)&gt;=6, 0, SUM( IF(WBS!$J$5:$J$2773=$A16, IF(BD$1&gt;=WBS!$K$5:$K$2773, IF(BD$1&lt;=WBS!$L$5:$L$2773, IF(WBS!$AU$5:$AU$2773 &gt;0, WBS!$I$5:$I$2773 / WBS!$AU$5:$AU$2773, 0), 0), 0), 0) ))</f>
        <v>0</v>
      </c>
      <c r="BE16">
        <f t="array" ref="BE16">IF(WEEKDAY(BE$1,2)&gt;=6, 0, SUM( IF(WBS!$J$5:$J$2773=$A16, IF(BE$1&gt;=WBS!$K$5:$K$2773, IF(BE$1&lt;=WBS!$L$5:$L$2773, IF(WBS!$AU$5:$AU$2773 &gt;0, WBS!$I$5:$I$2773 / WBS!$AU$5:$AU$2773, 0), 0), 0), 0) ))</f>
        <v>0</v>
      </c>
      <c r="BF16">
        <f t="array" ref="BF16">IF(WEEKDAY(BF$1,2)&gt;=6, 0, SUM( IF(WBS!$J$5:$J$2773=$A16, IF(BF$1&gt;=WBS!$K$5:$K$2773, IF(BF$1&lt;=WBS!$L$5:$L$2773, IF(WBS!$AU$5:$AU$2773 &gt;0, WBS!$I$5:$I$2773 / WBS!$AU$5:$AU$2773, 0), 0), 0), 0) ))</f>
        <v>0</v>
      </c>
      <c r="BG16">
        <f t="array" ref="BG16">IF(WEEKDAY(BG$1,2)&gt;=6, 0, SUM( IF(WBS!$J$5:$J$2773=$A16, IF(BG$1&gt;=WBS!$K$5:$K$2773, IF(BG$1&lt;=WBS!$L$5:$L$2773, IF(WBS!$AU$5:$AU$2773 &gt;0, WBS!$I$5:$I$2773 / WBS!$AU$5:$AU$2773, 0), 0), 0), 0) ))</f>
        <v>0</v>
      </c>
      <c r="BH16">
        <f t="array" ref="BH16">IF(WEEKDAY(BH$1,2)&gt;=6, 0, SUM( IF(WBS!$J$5:$J$2773=$A16, IF(BH$1&gt;=WBS!$K$5:$K$2773, IF(BH$1&lt;=WBS!$L$5:$L$2773, IF(WBS!$AU$5:$AU$2773 &gt;0, WBS!$I$5:$I$2773 / WBS!$AU$5:$AU$2773, 0), 0), 0), 0) ))</f>
        <v>0</v>
      </c>
      <c r="BI16" s="42">
        <f t="array" ref="BI16">IF(WEEKDAY(BI$1,2)&gt;=6, 0, SUM( IF(WBS!$J$5:$J$2773=$A16, IF(BI$1&gt;=WBS!$K$5:$K$2773, IF(BI$1&lt;=WBS!$L$5:$L$2773, IF(WBS!$AU$5:$AU$2773 &gt;0, WBS!$I$5:$I$2773 / WBS!$AU$5:$AU$2773, 0), 0), 0), 0) ))</f>
        <v>0</v>
      </c>
      <c r="BJ16" s="42">
        <f t="array" ref="BJ16">IF(WEEKDAY(BJ$1,2)&gt;=6, 0, SUM( IF(WBS!$J$5:$J$2773=$A16, IF(BJ$1&gt;=WBS!$K$5:$K$2773, IF(BJ$1&lt;=WBS!$L$5:$L$2773, IF(WBS!$AU$5:$AU$2773 &gt;0, WBS!$I$5:$I$2773 / WBS!$AU$5:$AU$2773, 0), 0), 0), 0) ))</f>
        <v>0</v>
      </c>
      <c r="BK16">
        <f t="array" ref="BK16">IF(WEEKDAY(BK$1,2)&gt;=6, 0, SUM( IF(WBS!$J$5:$J$2773=$A16, IF(BK$1&gt;=WBS!$K$5:$K$2773, IF(BK$1&lt;=WBS!$L$5:$L$2773, IF(WBS!$AU$5:$AU$2773 &gt;0, WBS!$I$5:$I$2773 / WBS!$AU$5:$AU$2773, 0), 0), 0), 0) ))</f>
        <v>0</v>
      </c>
      <c r="BL16">
        <f t="array" ref="BL16">IF(WEEKDAY(BL$1,2)&gt;=6, 0, SUM( IF(WBS!$J$5:$J$2773=$A16, IF(BL$1&gt;=WBS!$K$5:$K$2773, IF(BL$1&lt;=WBS!$L$5:$L$2773, IF(WBS!$AU$5:$AU$2773 &gt;0, WBS!$I$5:$I$2773 / WBS!$AU$5:$AU$2773, 0), 0), 0), 0) ))</f>
        <v>0</v>
      </c>
      <c r="BM16">
        <f t="array" ref="BM16">IF(WEEKDAY(BM$1,2)&gt;=6, 0, SUM( IF(WBS!$J$5:$J$2773=$A16, IF(BM$1&gt;=WBS!$K$5:$K$2773, IF(BM$1&lt;=WBS!$L$5:$L$2773, IF(WBS!$AU$5:$AU$2773 &gt;0, WBS!$I$5:$I$2773 / WBS!$AU$5:$AU$2773, 0), 0), 0), 0) ))</f>
        <v>0</v>
      </c>
      <c r="BN16">
        <f t="array" ref="BN16">IF(WEEKDAY(BN$1,2)&gt;=6, 0, SUM( IF(WBS!$J$5:$J$2773=$A16, IF(BN$1&gt;=WBS!$K$5:$K$2773, IF(BN$1&lt;=WBS!$L$5:$L$2773, IF(WBS!$AU$5:$AU$2773 &gt;0, WBS!$I$5:$I$2773 / WBS!$AU$5:$AU$2773, 0), 0), 0), 0) ))</f>
        <v>0</v>
      </c>
      <c r="BO16">
        <f t="array" ref="BO16">IF(WEEKDAY(BO$1,2)&gt;=6, 0, SUM( IF(WBS!$J$5:$J$2773=$A16, IF(BO$1&gt;=WBS!$K$5:$K$2773, IF(BO$1&lt;=WBS!$L$5:$L$2773, IF(WBS!$AU$5:$AU$2773 &gt;0, WBS!$I$5:$I$2773 / WBS!$AU$5:$AU$2773, 0), 0), 0), 0) ))</f>
        <v>0</v>
      </c>
      <c r="BP16" s="42">
        <f t="array" ref="BP16">IF(WEEKDAY(BP$1,2)&gt;=6, 0, SUM( IF(WBS!$J$5:$J$2773=$A16, IF(BP$1&gt;=WBS!$K$5:$K$2773, IF(BP$1&lt;=WBS!$L$5:$L$2773, IF(WBS!$AU$5:$AU$2773 &gt;0, WBS!$I$5:$I$2773 / WBS!$AU$5:$AU$2773, 0), 0), 0), 0) ))</f>
        <v>0</v>
      </c>
      <c r="BQ16" s="42">
        <f t="array" ref="BQ16">IF(WEEKDAY(BQ$1,2)&gt;=6, 0, SUM( IF(WBS!$J$5:$J$2773=$A16, IF(BQ$1&gt;=WBS!$K$5:$K$2773, IF(BQ$1&lt;=WBS!$L$5:$L$2773, IF(WBS!$AU$5:$AU$2773 &gt;0, WBS!$I$5:$I$2773 / WBS!$AU$5:$AU$2773, 0), 0), 0), 0) ))</f>
        <v>0</v>
      </c>
      <c r="BR16">
        <f t="array" ref="BR16">IF(WEEKDAY(BR$1,2)&gt;=6, 0, SUM( IF(WBS!$J$5:$J$2773=$A16, IF(BR$1&gt;=WBS!$K$5:$K$2773, IF(BR$1&lt;=WBS!$L$5:$L$2773, IF(WBS!$AU$5:$AU$2773 &gt;0, WBS!$I$5:$I$2773 / WBS!$AU$5:$AU$2773, 0), 0), 0), 0) ))</f>
        <v>0</v>
      </c>
      <c r="BS16">
        <f t="array" ref="BS16">IF(WEEKDAY(BS$1,2)&gt;=6, 0, SUM( IF(WBS!$J$5:$J$2773=$A16, IF(BS$1&gt;=WBS!$K$5:$K$2773, IF(BS$1&lt;=WBS!$L$5:$L$2773, IF(WBS!$AU$5:$AU$2773 &gt;0, WBS!$I$5:$I$2773 / WBS!$AU$5:$AU$2773, 0), 0), 0), 0) ))</f>
        <v>0</v>
      </c>
      <c r="BT16">
        <f t="array" ref="BT16">IF(WEEKDAY(BT$1,2)&gt;=6, 0, SUM( IF(WBS!$J$5:$J$2773=$A16, IF(BT$1&gt;=WBS!$K$5:$K$2773, IF(BT$1&lt;=WBS!$L$5:$L$2773, IF(WBS!$AU$5:$AU$2773 &gt;0, WBS!$I$5:$I$2773 / WBS!$AU$5:$AU$2773, 0), 0), 0), 0) ))</f>
        <v>0</v>
      </c>
      <c r="BU16">
        <f t="array" ref="BU16">IF(WEEKDAY(BU$1,2)&gt;=6, 0, SUM( IF(WBS!$J$5:$J$2773=$A16, IF(BU$1&gt;=WBS!$K$5:$K$2773, IF(BU$1&lt;=WBS!$L$5:$L$2773, IF(WBS!$AU$5:$AU$2773 &gt;0, WBS!$I$5:$I$2773 / WBS!$AU$5:$AU$2773, 0), 0), 0), 0) ))</f>
        <v>0</v>
      </c>
      <c r="BV16">
        <f t="array" ref="BV16">IF(WEEKDAY(BV$1,2)&gt;=6, 0, SUM( IF(WBS!$J$5:$J$2773=$A16, IF(BV$1&gt;=WBS!$K$5:$K$2773, IF(BV$1&lt;=WBS!$L$5:$L$2773, IF(WBS!$AU$5:$AU$2773 &gt;0, WBS!$I$5:$I$2773 / WBS!$AU$5:$AU$2773, 0), 0), 0), 0) ))</f>
        <v>0</v>
      </c>
      <c r="BW16" s="42">
        <f t="array" ref="BW16">IF(WEEKDAY(BW$1,2)&gt;=6, 0, SUM( IF(WBS!$J$5:$J$2773=$A16, IF(BW$1&gt;=WBS!$K$5:$K$2773, IF(BW$1&lt;=WBS!$L$5:$L$2773, IF(WBS!$AU$5:$AU$2773 &gt;0, WBS!$I$5:$I$2773 / WBS!$AU$5:$AU$2773, 0), 0), 0), 0) ))</f>
        <v>0</v>
      </c>
      <c r="BX16" s="42">
        <f t="array" ref="BX16">IF(WEEKDAY(BX$1,2)&gt;=6, 0, SUM( IF(WBS!$J$5:$J$2773=$A16, IF(BX$1&gt;=WBS!$K$5:$K$2773, IF(BX$1&lt;=WBS!$L$5:$L$2773, IF(WBS!$AU$5:$AU$2773 &gt;0, WBS!$I$5:$I$2773 / WBS!$AU$5:$AU$2773, 0), 0), 0), 0) ))</f>
        <v>0</v>
      </c>
      <c r="BY16">
        <f t="array" ref="BY16">IF(WEEKDAY(BY$1,2)&gt;=6, 0, SUM( IF(WBS!$J$5:$J$2773=$A16, IF(BY$1&gt;=WBS!$K$5:$K$2773, IF(BY$1&lt;=WBS!$L$5:$L$2773, IF(WBS!$AU$5:$AU$2773 &gt;0, WBS!$I$5:$I$2773 / WBS!$AU$5:$AU$2773, 0), 0), 0), 0) ))</f>
        <v>0</v>
      </c>
      <c r="BZ16">
        <f t="array" ref="BZ16">IF(WEEKDAY(BZ$1,2)&gt;=6, 0, SUM( IF(WBS!$J$5:$J$2773=$A16, IF(BZ$1&gt;=WBS!$K$5:$K$2773, IF(BZ$1&lt;=WBS!$L$5:$L$2773, IF(WBS!$AU$5:$AU$2773 &gt;0, WBS!$I$5:$I$2773 / WBS!$AU$5:$AU$2773, 0), 0), 0), 0) ))</f>
        <v>0</v>
      </c>
      <c r="CA16">
        <f t="array" ref="CA16">IF(WEEKDAY(CA$1,2)&gt;=6, 0, SUM( IF(WBS!$J$5:$J$2773=$A16, IF(CA$1&gt;=WBS!$K$5:$K$2773, IF(CA$1&lt;=WBS!$L$5:$L$2773, IF(WBS!$AU$5:$AU$2773 &gt;0, WBS!$I$5:$I$2773 / WBS!$AU$5:$AU$2773, 0), 0), 0), 0) ))</f>
        <v>0</v>
      </c>
      <c r="CB16">
        <f t="array" ref="CB16">IF(WEEKDAY(CB$1,2)&gt;=6, 0, SUM( IF(WBS!$J$5:$J$2773=$A16, IF(CB$1&gt;=WBS!$K$5:$K$2773, IF(CB$1&lt;=WBS!$L$5:$L$2773, IF(WBS!$AU$5:$AU$2773 &gt;0, WBS!$I$5:$I$2773 / WBS!$AU$5:$AU$2773, 0), 0), 0), 0) ))</f>
        <v>0</v>
      </c>
      <c r="CC16">
        <f t="array" ref="CC16">IF(WEEKDAY(CC$1,2)&gt;=6, 0, SUM( IF(WBS!$J$5:$J$2773=$A16, IF(CC$1&gt;=WBS!$K$5:$K$2773, IF(CC$1&lt;=WBS!$L$5:$L$2773, IF(WBS!$AU$5:$AU$2773 &gt;0, WBS!$I$5:$I$2773 / WBS!$AU$5:$AU$2773, 0), 0), 0), 0) ))</f>
        <v>0</v>
      </c>
      <c r="CD16" s="42">
        <f t="array" ref="CD16">IF(WEEKDAY(CD$1,2)&gt;=6, 0, SUM( IF(WBS!$J$5:$J$2773=$A16, IF(CD$1&gt;=WBS!$K$5:$K$2773, IF(CD$1&lt;=WBS!$L$5:$L$2773, IF(WBS!$AU$5:$AU$2773 &gt;0, WBS!$I$5:$I$2773 / WBS!$AU$5:$AU$2773, 0), 0), 0), 0) ))</f>
        <v>0</v>
      </c>
      <c r="CE16" s="42">
        <f t="array" ref="CE16">IF(WEEKDAY(CE$1,2)&gt;=6, 0, SUM( IF(WBS!$J$5:$J$2773=$A16, IF(CE$1&gt;=WBS!$K$5:$K$2773, IF(CE$1&lt;=WBS!$L$5:$L$2773, IF(WBS!$AU$5:$AU$2773 &gt;0, WBS!$I$5:$I$2773 / WBS!$AU$5:$AU$2773, 0), 0), 0), 0) ))</f>
        <v>0</v>
      </c>
      <c r="CF16">
        <f t="array" ref="CF16">IF(WEEKDAY(CF$1,2)&gt;=6, 0, SUM( IF(WBS!$J$5:$J$2773=$A16, IF(CF$1&gt;=WBS!$K$5:$K$2773, IF(CF$1&lt;=WBS!$L$5:$L$2773, IF(WBS!$AU$5:$AU$2773 &gt;0, WBS!$I$5:$I$2773 / WBS!$AU$5:$AU$2773, 0), 0), 0), 0) ))</f>
        <v>0</v>
      </c>
      <c r="CG16">
        <f t="array" ref="CG16">IF(WEEKDAY(CG$1,2)&gt;=6, 0, SUM( IF(WBS!$J$5:$J$2773=$A16, IF(CG$1&gt;=WBS!$K$5:$K$2773, IF(CG$1&lt;=WBS!$L$5:$L$2773, IF(WBS!$AU$5:$AU$2773 &gt;0, WBS!$I$5:$I$2773 / WBS!$AU$5:$AU$2773, 0), 0), 0), 0) ))</f>
        <v>0</v>
      </c>
      <c r="CH16">
        <f t="array" ref="CH16">IF(WEEKDAY(CH$1,2)&gt;=6, 0, SUM( IF(WBS!$J$5:$J$2773=$A16, IF(CH$1&gt;=WBS!$K$5:$K$2773, IF(CH$1&lt;=WBS!$L$5:$L$2773, IF(WBS!$AU$5:$AU$2773 &gt;0, WBS!$I$5:$I$2773 / WBS!$AU$5:$AU$2773, 0), 0), 0), 0) ))</f>
        <v>0</v>
      </c>
      <c r="CI16" s="274"/>
      <c r="CK16" s="42"/>
      <c r="CL16" s="42"/>
      <c r="CR16" s="42"/>
      <c r="CS16" s="42"/>
      <c r="CY16" s="42"/>
      <c r="CZ16" s="42"/>
      <c r="DF16" s="42"/>
      <c r="DG16" s="42"/>
      <c r="DM16" s="42"/>
      <c r="DN16" s="42"/>
      <c r="DT16" s="42"/>
      <c r="DU16" s="42"/>
      <c r="EA16" s="276"/>
      <c r="EB16" s="276"/>
      <c r="EC16" s="274"/>
      <c r="ED16" s="274"/>
      <c r="EE16" s="274"/>
      <c r="EF16" s="274"/>
      <c r="EG16" s="274"/>
      <c r="EH16" s="274"/>
      <c r="EI16" s="274"/>
      <c r="EJ16" s="274"/>
      <c r="EO16" s="42"/>
      <c r="EP16" s="42"/>
      <c r="EV16" s="42"/>
      <c r="EW16" s="42"/>
      <c r="FC16" s="42"/>
      <c r="FD16" s="42"/>
      <c r="FJ16" s="42"/>
      <c r="FK16" s="42"/>
      <c r="FQ16" s="42"/>
      <c r="FR16" s="42"/>
      <c r="FX16" s="42"/>
      <c r="FY16" s="42"/>
      <c r="FZ16" s="274"/>
      <c r="GE16" s="42"/>
      <c r="GF16" s="42"/>
      <c r="GL16" s="42"/>
      <c r="GM16" s="42"/>
      <c r="GS16" s="42"/>
      <c r="GT16" s="42"/>
      <c r="GY16" s="274"/>
      <c r="GZ16" s="42"/>
      <c r="HA16" s="42"/>
      <c r="HB16" s="274"/>
      <c r="HC16" s="274"/>
      <c r="HG16" s="42"/>
      <c r="HH16" s="42"/>
      <c r="HN16" s="42"/>
      <c r="HO16" s="42"/>
      <c r="HU16" s="42"/>
      <c r="HV16" s="42"/>
      <c r="IB16" s="42"/>
      <c r="IC16" s="42"/>
      <c r="II16" s="42"/>
      <c r="IJ16" s="42"/>
      <c r="IP16" s="42"/>
      <c r="IQ16" s="42"/>
      <c r="IV16" s="274"/>
      <c r="IW16" s="42"/>
      <c r="IX16" s="42"/>
      <c r="JD16" s="42"/>
      <c r="JE16" s="42"/>
      <c r="JK16" s="42"/>
      <c r="JL16" s="42"/>
      <c r="JR16" s="42"/>
      <c r="JS16" s="42"/>
      <c r="JY16" s="42"/>
      <c r="JZ16" s="42"/>
      <c r="KF16" s="42"/>
      <c r="KG16" s="42"/>
      <c r="KM16" s="42"/>
      <c r="KN16" s="42"/>
      <c r="KT16" s="42"/>
      <c r="KU16" s="42"/>
      <c r="LA16" s="42"/>
      <c r="LB16" s="42"/>
      <c r="LH16" s="42"/>
      <c r="LI16" s="42"/>
      <c r="LO16" s="42"/>
      <c r="LP16" s="42"/>
      <c r="LV16" s="42"/>
      <c r="LW16" s="42"/>
      <c r="MC16" s="42"/>
      <c r="MD16" s="42"/>
      <c r="MJ16" s="42"/>
      <c r="MK16" s="42"/>
      <c r="MP16" s="274"/>
      <c r="MQ16" s="42"/>
      <c r="MR16" s="276"/>
      <c r="MV16" s="274"/>
      <c r="MW16" s="274"/>
      <c r="MX16" s="42"/>
      <c r="MY16" s="42"/>
      <c r="MZ16" s="274"/>
      <c r="NA16" s="274"/>
      <c r="NB16" s="274"/>
      <c r="NE16" s="276"/>
      <c r="NF16" s="42"/>
      <c r="NL16" s="42"/>
      <c r="NM16" s="42"/>
      <c r="NS16" s="42"/>
      <c r="NT16" s="42"/>
      <c r="NZ16" s="42"/>
      <c r="OA16" s="42"/>
      <c r="OG16" s="42"/>
      <c r="OH16" s="42"/>
      <c r="ON16" s="42"/>
      <c r="OO16" s="42"/>
      <c r="OU16" s="42"/>
      <c r="OV16" s="42"/>
      <c r="PB16" s="42"/>
      <c r="PC16" s="42"/>
      <c r="PI16" s="42"/>
      <c r="PJ16" s="42"/>
      <c r="PP16" s="42"/>
      <c r="PQ16" s="42"/>
      <c r="PW16" s="42"/>
      <c r="PX16" s="42"/>
      <c r="QD16" s="42"/>
      <c r="QE16" s="42"/>
    </row>
    <row r="17" spans="1:447">
      <c r="A17" t="s">
        <v>325</v>
      </c>
      <c r="B17" t="s">
        <v>81</v>
      </c>
      <c r="C17">
        <f t="array" ref="C17">IF(WEEKDAY(C$1,2)&gt;=6, 0, SUM( IF(WBS!$J$5:$J$2773=$A17, IF(C$1&gt;=WBS!$K$5:$K$2773, IF(C$1&lt;=WBS!$L$5:$L$2773, IF(WBS!$AU$5:$AU$2773 &gt;0, WBS!$I$5:$I$2773 / WBS!$AU$5:$AU$2773, 0), 0), 0), 0) ))</f>
        <v>0</v>
      </c>
      <c r="D17">
        <f t="array" ref="D17">IF(WEEKDAY(D$1,2)&gt;=6, 0, SUM( IF(WBS!$J$5:$J$2773=$A17, IF(D$1&gt;=WBS!$K$5:$K$2773, IF(D$1&lt;=WBS!$L$5:$L$2773, IF(WBS!$AU$5:$AU$2773 &gt;0, WBS!$I$5:$I$2773 / WBS!$AU$5:$AU$2773, 0), 0), 0), 0) ))</f>
        <v>0</v>
      </c>
      <c r="E17">
        <f t="array" ref="E17">IF(WEEKDAY(E$1,2)&gt;=6, 0, SUM( IF(WBS!$J$5:$J$2773=$A17, IF(E$1&gt;=WBS!$K$5:$K$2773, IF(E$1&lt;=WBS!$L$5:$L$2773, IF(WBS!$AU$5:$AU$2773 &gt;0, WBS!$I$5:$I$2773 / WBS!$AU$5:$AU$2773, 0), 0), 0), 0) ))</f>
        <v>0</v>
      </c>
      <c r="F17">
        <f t="array" ref="F17">IF(WEEKDAY(F$1,2)&gt;=6, 0, SUM( IF(WBS!$J$5:$J$2773=$A17, IF(F$1&gt;=WBS!$K$5:$K$2773, IF(F$1&lt;=WBS!$L$5:$L$2773, IF(WBS!$AU$5:$AU$2773 &gt;0, WBS!$I$5:$I$2773 / WBS!$AU$5:$AU$2773, 0), 0), 0), 0) ))</f>
        <v>0</v>
      </c>
      <c r="G17">
        <f t="array" ref="G17">IF(WEEKDAY(G$1,2)&gt;=6, 0, SUM( IF(WBS!$J$5:$J$2773=$A17, IF(G$1&gt;=WBS!$K$5:$K$2773, IF(G$1&lt;=WBS!$L$5:$L$2773, IF(WBS!$AU$5:$AU$2773 &gt;0, WBS!$I$5:$I$2773 / WBS!$AU$5:$AU$2773, 0), 0), 0), 0) ))</f>
        <v>0</v>
      </c>
      <c r="H17">
        <f t="array" ref="H17">IF(WEEKDAY(H$1,2)&gt;=6, 0, SUM( IF(WBS!$J$5:$J$2773=$A17, IF(H$1&gt;=WBS!$K$5:$K$2773, IF(H$1&lt;=WBS!$L$5:$L$2773, IF(WBS!$AU$5:$AU$2773 &gt;0, WBS!$I$5:$I$2773 / WBS!$AU$5:$AU$2773, 0), 0), 0), 0) ))</f>
        <v>0</v>
      </c>
      <c r="I17">
        <f t="array" ref="I17">IF(WEEKDAY(I$1,2)&gt;=6, 0, SUM( IF(WBS!$J$5:$J$2773=$A17, IF(I$1&gt;=WBS!$K$5:$K$2773, IF(I$1&lt;=WBS!$L$5:$L$2773, IF(WBS!$AU$5:$AU$2773 &gt;0, WBS!$I$5:$I$2773 / WBS!$AU$5:$AU$2773, 0), 0), 0), 0) ))</f>
        <v>0</v>
      </c>
      <c r="J17">
        <f t="array" ref="J17">IF(WEEKDAY(J$1,2)&gt;=6, 0, SUM( IF(WBS!$J$5:$J$2773=$A17, IF(J$1&gt;=WBS!$K$5:$K$2773, IF(J$1&lt;=WBS!$L$5:$L$2773, IF(WBS!$AU$5:$AU$2773 &gt;0, WBS!$I$5:$I$2773 / WBS!$AU$5:$AU$2773, 0), 0), 0), 0) ))</f>
        <v>0</v>
      </c>
      <c r="K17">
        <f t="array" ref="K17">IF(WEEKDAY(K$1,2)&gt;=6, 0, SUM( IF(WBS!$J$5:$J$2773=$A17, IF(K$1&gt;=WBS!$K$5:$K$2773, IF(K$1&lt;=WBS!$L$5:$L$2773, IF(WBS!$AU$5:$AU$2773 &gt;0, WBS!$I$5:$I$2773 / WBS!$AU$5:$AU$2773, 0), 0), 0), 0) ))</f>
        <v>0</v>
      </c>
      <c r="L17">
        <f t="array" ref="L17">IF(WEEKDAY(L$1,2)&gt;=6, 0, SUM( IF(WBS!$J$5:$J$2773=$A17, IF(L$1&gt;=WBS!$K$5:$K$2773, IF(L$1&lt;=WBS!$L$5:$L$2773, IF(WBS!$AU$5:$AU$2773 &gt;0, WBS!$I$5:$I$2773 / WBS!$AU$5:$AU$2773, 0), 0), 0), 0) ))</f>
        <v>0</v>
      </c>
      <c r="M17">
        <f t="array" ref="M17">IF(WEEKDAY(M$1,2)&gt;=6, 0, SUM( IF(WBS!$J$5:$J$2773=$A17, IF(M$1&gt;=WBS!$K$5:$K$2773, IF(M$1&lt;=WBS!$L$5:$L$2773, IF(WBS!$AU$5:$AU$2773 &gt;0, WBS!$I$5:$I$2773 / WBS!$AU$5:$AU$2773, 0), 0), 0), 0) ))</f>
        <v>0</v>
      </c>
      <c r="N17">
        <f t="array" ref="N17">IF(WEEKDAY(N$1,2)&gt;=6, 0, SUM( IF(WBS!$J$5:$J$2773=$A17, IF(N$1&gt;=WBS!$K$5:$K$2773, IF(N$1&lt;=WBS!$L$5:$L$2773, IF(WBS!$AU$5:$AU$2773 &gt;0, WBS!$I$5:$I$2773 / WBS!$AU$5:$AU$2773, 0), 0), 0), 0) ))</f>
        <v>0</v>
      </c>
      <c r="O17">
        <f t="array" ref="O17">IF(WEEKDAY(O$1,2)&gt;=6, 0, SUM( IF(WBS!$J$5:$J$2773=$A17, IF(O$1&gt;=WBS!$K$5:$K$2773, IF(O$1&lt;=WBS!$L$5:$L$2773, IF(WBS!$AU$5:$AU$2773 &gt;0, WBS!$I$5:$I$2773 / WBS!$AU$5:$AU$2773, 0), 0), 0), 0) ))</f>
        <v>0</v>
      </c>
      <c r="P17">
        <f t="array" ref="P17">IF(WEEKDAY(P$1,2)&gt;=6, 0, SUM( IF(WBS!$J$5:$J$2773=$A17, IF(P$1&gt;=WBS!$K$5:$K$2773, IF(P$1&lt;=WBS!$L$5:$L$2773, IF(WBS!$AU$5:$AU$2773 &gt;0, WBS!$I$5:$I$2773 / WBS!$AU$5:$AU$2773, 0), 0), 0), 0) ))</f>
        <v>0</v>
      </c>
      <c r="Q17">
        <f t="array" ref="Q17">IF(WEEKDAY(Q$1,2)&gt;=6, 0, SUM( IF(WBS!$J$5:$J$2773=$A17, IF(Q$1&gt;=WBS!$K$5:$K$2773, IF(Q$1&lt;=WBS!$L$5:$L$2773, IF(WBS!$AU$5:$AU$2773 &gt;0, WBS!$I$5:$I$2773 / WBS!$AU$5:$AU$2773, 0), 0), 0), 0) ))</f>
        <v>0</v>
      </c>
      <c r="R17">
        <f t="array" ref="R17">IF(WEEKDAY(R$1,2)&gt;=6, 0, SUM( IF(WBS!$J$5:$J$2773=$A17, IF(R$1&gt;=WBS!$K$5:$K$2773, IF(R$1&lt;=WBS!$L$5:$L$2773, IF(WBS!$AU$5:$AU$2773 &gt;0, WBS!$I$5:$I$2773 / WBS!$AU$5:$AU$2773, 0), 0), 0), 0) ))</f>
        <v>0</v>
      </c>
      <c r="S17">
        <f t="array" ref="S17">IF(WEEKDAY(S$1,2)&gt;=6, 0, SUM( IF(WBS!$J$5:$J$2773=$A17, IF(S$1&gt;=WBS!$K$5:$K$2773, IF(S$1&lt;=WBS!$L$5:$L$2773, IF(WBS!$AU$5:$AU$2773 &gt;0, WBS!$I$5:$I$2773 / WBS!$AU$5:$AU$2773, 0), 0), 0), 0) ))</f>
        <v>0</v>
      </c>
      <c r="T17">
        <f t="array" ref="T17">IF(WEEKDAY(T$1,2)&gt;=6, 0, SUM( IF(WBS!$J$5:$J$2773=$A17, IF(T$1&gt;=WBS!$K$5:$K$2773, IF(T$1&lt;=WBS!$L$5:$L$2773, IF(WBS!$AU$5:$AU$2773 &gt;0, WBS!$I$5:$I$2773 / WBS!$AU$5:$AU$2773, 0), 0), 0), 0) ))</f>
        <v>0</v>
      </c>
      <c r="U17">
        <f t="array" ref="U17">IF(WEEKDAY(U$1,2)&gt;=6, 0, SUM( IF(WBS!$J$5:$J$2773=$A17, IF(U$1&gt;=WBS!$K$5:$K$2773, IF(U$1&lt;=WBS!$L$5:$L$2773, IF(WBS!$AU$5:$AU$2773 &gt;0, WBS!$I$5:$I$2773 / WBS!$AU$5:$AU$2773, 0), 0), 0), 0) ))</f>
        <v>0</v>
      </c>
      <c r="V17">
        <f t="array" ref="V17">IF(WEEKDAY(V$1,2)&gt;=6, 0, SUM( IF(WBS!$J$5:$J$2773=$A17, IF(V$1&gt;=WBS!$K$5:$K$2773, IF(V$1&lt;=WBS!$L$5:$L$2773, IF(WBS!$AU$5:$AU$2773 &gt;0, WBS!$I$5:$I$2773 / WBS!$AU$5:$AU$2773, 0), 0), 0), 0) ))</f>
        <v>0</v>
      </c>
      <c r="W17">
        <f t="array" ref="W17">IF(WEEKDAY(W$1,2)&gt;=6, 0, SUM( IF(WBS!$J$5:$J$2773=$A17, IF(W$1&gt;=WBS!$K$5:$K$2773, IF(W$1&lt;=WBS!$L$5:$L$2773, IF(WBS!$AU$5:$AU$2773 &gt;0, WBS!$I$5:$I$2773 / WBS!$AU$5:$AU$2773, 0), 0), 0), 0) ))</f>
        <v>0</v>
      </c>
      <c r="X17">
        <f t="array" ref="X17">IF(WEEKDAY(X$1,2)&gt;=6, 0, SUM( IF(WBS!$J$5:$J$2773=$A17, IF(X$1&gt;=WBS!$K$5:$K$2773, IF(X$1&lt;=WBS!$L$5:$L$2773, IF(WBS!$AU$5:$AU$2773 &gt;0, WBS!$I$5:$I$2773 / WBS!$AU$5:$AU$2773, 0), 0), 0), 0) ))</f>
        <v>0</v>
      </c>
      <c r="Y17">
        <f t="array" ref="Y17">IF(WEEKDAY(Y$1,2)&gt;=6, 0, SUM( IF(WBS!$J$5:$J$2773=$A17, IF(Y$1&gt;=WBS!$K$5:$K$2773, IF(Y$1&lt;=WBS!$L$5:$L$2773, IF(WBS!$AU$5:$AU$2773 &gt;0, WBS!$I$5:$I$2773 / WBS!$AU$5:$AU$2773, 0), 0), 0), 0) ))</f>
        <v>0</v>
      </c>
      <c r="Z17">
        <f t="array" ref="Z17">IF(WEEKDAY(Z$1,2)&gt;=6, 0, SUM( IF(WBS!$J$5:$J$2773=$A17, IF(Z$1&gt;=WBS!$K$5:$K$2773, IF(Z$1&lt;=WBS!$L$5:$L$2773, IF(WBS!$AU$5:$AU$2773 &gt;0, WBS!$I$5:$I$2773 / WBS!$AU$5:$AU$2773, 0), 0), 0), 0) ))</f>
        <v>0</v>
      </c>
      <c r="AA17">
        <f t="array" ref="AA17">IF(WEEKDAY(AA$1,2)&gt;=6, 0, SUM( IF(WBS!$J$5:$J$2773=$A17, IF(AA$1&gt;=WBS!$K$5:$K$2773, IF(AA$1&lt;=WBS!$L$5:$L$2773, IF(WBS!$AU$5:$AU$2773 &gt;0, WBS!$I$5:$I$2773 / WBS!$AU$5:$AU$2773, 0), 0), 0), 0) ))</f>
        <v>0</v>
      </c>
      <c r="AB17">
        <f t="array" ref="AB17">IF(WEEKDAY(AB$1,2)&gt;=6, 0, SUM( IF(WBS!$J$5:$J$2773=$A17, IF(AB$1&gt;=WBS!$K$5:$K$2773, IF(AB$1&lt;=WBS!$L$5:$L$2773, IF(WBS!$AU$5:$AU$2773 &gt;0, WBS!$I$5:$I$2773 / WBS!$AU$5:$AU$2773, 0), 0), 0), 0) ))</f>
        <v>0</v>
      </c>
      <c r="AC17">
        <f t="array" ref="AC17">IF(WEEKDAY(AC$1,2)&gt;=6, 0, SUM( IF(WBS!$J$5:$J$2773=$A17, IF(AC$1&gt;=WBS!$K$5:$K$2773, IF(AC$1&lt;=WBS!$L$5:$L$2773, IF(WBS!$AU$5:$AU$2773 &gt;0, WBS!$I$5:$I$2773 / WBS!$AU$5:$AU$2773, 0), 0), 0), 0) ))</f>
        <v>0</v>
      </c>
      <c r="AD17">
        <f t="array" ref="AD17">IF(WEEKDAY(AD$1,2)&gt;=6, 0, SUM( IF(WBS!$J$5:$J$2773=$A17, IF(AD$1&gt;=WBS!$K$5:$K$2773, IF(AD$1&lt;=WBS!$L$5:$L$2773, IF(WBS!$AU$5:$AU$2773 &gt;0, WBS!$I$5:$I$2773 / WBS!$AU$5:$AU$2773, 0), 0), 0), 0) ))</f>
        <v>0</v>
      </c>
      <c r="AE17">
        <f t="array" ref="AE17">IF(WEEKDAY(AE$1,2)&gt;=6, 0, SUM( IF(WBS!$J$5:$J$2773=$A17, IF(AE$1&gt;=WBS!$K$5:$K$2773, IF(AE$1&lt;=WBS!$L$5:$L$2773, IF(WBS!$AU$5:$AU$2773 &gt;0, WBS!$I$5:$I$2773 / WBS!$AU$5:$AU$2773, 0), 0), 0), 0) ))</f>
        <v>0</v>
      </c>
      <c r="AF17">
        <f t="array" ref="AF17">IF(WEEKDAY(AF$1,2)&gt;=6, 0, SUM( IF(WBS!$J$5:$J$2773=$A17, IF(AF$1&gt;=WBS!$K$5:$K$2773, IF(AF$1&lt;=WBS!$L$5:$L$2773, IF(WBS!$AU$5:$AU$2773 &gt;0, WBS!$I$5:$I$2773 / WBS!$AU$5:$AU$2773, 0), 0), 0), 0) ))</f>
        <v>0</v>
      </c>
      <c r="AG17">
        <f t="array" ref="AG17">IF(WEEKDAY(AG$1,2)&gt;=6, 0, SUM( IF(WBS!$J$5:$J$2773=$A17, IF(AG$1&gt;=WBS!$K$5:$K$2773, IF(AG$1&lt;=WBS!$L$5:$L$2773, IF(WBS!$AU$5:$AU$2773 &gt;0, WBS!$I$5:$I$2773 / WBS!$AU$5:$AU$2773, 0), 0), 0), 0) ))</f>
        <v>0</v>
      </c>
      <c r="AH17">
        <f t="array" ref="AH17">IF(WEEKDAY(AH$1,2)&gt;=6, 0, SUM( IF(WBS!$J$5:$J$2773=$A17, IF(AH$1&gt;=WBS!$K$5:$K$2773, IF(AH$1&lt;=WBS!$L$5:$L$2773, IF(WBS!$AU$5:$AU$2773 &gt;0, WBS!$I$5:$I$2773 / WBS!$AU$5:$AU$2773, 0), 0), 0), 0) ))</f>
        <v>0</v>
      </c>
      <c r="AI17">
        <f t="array" ref="AI17">IF(WEEKDAY(AI$1,2)&gt;=6, 0, SUM( IF(WBS!$J$5:$J$2773=$A17, IF(AI$1&gt;=WBS!$K$5:$K$2773, IF(AI$1&lt;=WBS!$L$5:$L$2773, IF(WBS!$AU$5:$AU$2773 &gt;0, WBS!$I$5:$I$2773 / WBS!$AU$5:$AU$2773, 0), 0), 0), 0) ))</f>
        <v>0</v>
      </c>
      <c r="AJ17">
        <f t="array" ref="AJ17">IF(WEEKDAY(AJ$1,2)&gt;=6, 0, SUM( IF(WBS!$J$5:$J$2773=$A17, IF(AJ$1&gt;=WBS!$K$5:$K$2773, IF(AJ$1&lt;=WBS!$L$5:$L$2773, IF(WBS!$AU$5:$AU$2773 &gt;0, WBS!$I$5:$I$2773 / WBS!$AU$5:$AU$2773, 0), 0), 0), 0) ))</f>
        <v>0</v>
      </c>
      <c r="AK17">
        <f t="array" ref="AK17">IF(WEEKDAY(AK$1,2)&gt;=6, 0, SUM( IF(WBS!$J$5:$J$2773=$A17, IF(AK$1&gt;=WBS!$K$5:$K$2773, IF(AK$1&lt;=WBS!$L$5:$L$2773, IF(WBS!$AU$5:$AU$2773 &gt;0, WBS!$I$5:$I$2773 / WBS!$AU$5:$AU$2773, 0), 0), 0), 0) ))</f>
        <v>0</v>
      </c>
      <c r="AL17">
        <f t="array" ref="AL17">IF(WEEKDAY(AL$1,2)&gt;=6, 0, SUM( IF(WBS!$J$5:$J$2773=$A17, IF(AL$1&gt;=WBS!$K$5:$K$2773, IF(AL$1&lt;=WBS!$L$5:$L$2773, IF(WBS!$AU$5:$AU$2773 &gt;0, WBS!$I$5:$I$2773 / WBS!$AU$5:$AU$2773, 0), 0), 0), 0) ))</f>
        <v>0</v>
      </c>
      <c r="AM17">
        <f t="array" ref="AM17">IF(WEEKDAY(AM$1,2)&gt;=6, 0, SUM( IF(WBS!$J$5:$J$2773=$A17, IF(AM$1&gt;=WBS!$K$5:$K$2773, IF(AM$1&lt;=WBS!$L$5:$L$2773, IF(WBS!$AU$5:$AU$2773 &gt;0, WBS!$I$5:$I$2773 / WBS!$AU$5:$AU$2773, 0), 0), 0), 0) ))</f>
        <v>0</v>
      </c>
      <c r="AN17">
        <f t="array" ref="AN17">IF(WEEKDAY(AN$1,2)&gt;=6, 0, SUM( IF(WBS!$J$5:$J$2773=$A17, IF(AN$1&gt;=WBS!$K$5:$K$2773, IF(AN$1&lt;=WBS!$L$5:$L$2773, IF(WBS!$AU$5:$AU$2773 &gt;0, WBS!$I$5:$I$2773 / WBS!$AU$5:$AU$2773, 0), 0), 0), 0) ))</f>
        <v>0</v>
      </c>
      <c r="AO17">
        <f t="array" ref="AO17">IF(WEEKDAY(AO$1,2)&gt;=6, 0, SUM( IF(WBS!$J$5:$J$2773=$A17, IF(AO$1&gt;=WBS!$K$5:$K$2773, IF(AO$1&lt;=WBS!$L$5:$L$2773, IF(WBS!$AU$5:$AU$2773 &gt;0, WBS!$I$5:$I$2773 / WBS!$AU$5:$AU$2773, 0), 0), 0), 0) ))</f>
        <v>0</v>
      </c>
      <c r="AP17">
        <f t="array" ref="AP17">IF(WEEKDAY(AP$1,2)&gt;=6, 0, SUM( IF(WBS!$J$5:$J$2773=$A17, IF(AP$1&gt;=WBS!$K$5:$K$2773, IF(AP$1&lt;=WBS!$L$5:$L$2773, IF(WBS!$AU$5:$AU$2773 &gt;0, WBS!$I$5:$I$2773 / WBS!$AU$5:$AU$2773, 0), 0), 0), 0) ))</f>
        <v>0</v>
      </c>
      <c r="AQ17">
        <f t="array" ref="AQ17">IF(WEEKDAY(AQ$1,2)&gt;=6, 0, SUM( IF(WBS!$J$5:$J$2773=$A17, IF(AQ$1&gt;=WBS!$K$5:$K$2773, IF(AQ$1&lt;=WBS!$L$5:$L$2773, IF(WBS!$AU$5:$AU$2773 &gt;0, WBS!$I$5:$I$2773 / WBS!$AU$5:$AU$2773, 0), 0), 0), 0) ))</f>
        <v>0</v>
      </c>
      <c r="AR17">
        <f t="array" ref="AR17">IF(WEEKDAY(AR$1,2)&gt;=6, 0, SUM( IF(WBS!$J$5:$J$2773=$A17, IF(AR$1&gt;=WBS!$K$5:$K$2773, IF(AR$1&lt;=WBS!$L$5:$L$2773, IF(WBS!$AU$5:$AU$2773 &gt;0, WBS!$I$5:$I$2773 / WBS!$AU$5:$AU$2773, 0), 0), 0), 0) ))</f>
        <v>0</v>
      </c>
      <c r="AS17">
        <f t="array" ref="AS17">IF(WEEKDAY(AS$1,2)&gt;=6, 0, SUM( IF(WBS!$J$5:$J$2773=$A17, IF(AS$1&gt;=WBS!$K$5:$K$2773, IF(AS$1&lt;=WBS!$L$5:$L$2773, IF(WBS!$AU$5:$AU$2773 &gt;0, WBS!$I$5:$I$2773 / WBS!$AU$5:$AU$2773, 0), 0), 0), 0) ))</f>
        <v>0</v>
      </c>
      <c r="AT17">
        <f t="array" ref="AT17">IF(WEEKDAY(AT$1,2)&gt;=6, 0, SUM( IF(WBS!$J$5:$J$2773=$A17, IF(AT$1&gt;=WBS!$K$5:$K$2773, IF(AT$1&lt;=WBS!$L$5:$L$2773, IF(WBS!$AU$5:$AU$2773 &gt;0, WBS!$I$5:$I$2773 / WBS!$AU$5:$AU$2773, 0), 0), 0), 0) ))</f>
        <v>0</v>
      </c>
      <c r="AU17">
        <f t="array" ref="AU17">IF(WEEKDAY(AU$1,2)&gt;=6, 0, SUM( IF(WBS!$J$5:$J$2773=$A17, IF(AU$1&gt;=WBS!$K$5:$K$2773, IF(AU$1&lt;=WBS!$L$5:$L$2773, IF(WBS!$AU$5:$AU$2773 &gt;0, WBS!$I$5:$I$2773 / WBS!$AU$5:$AU$2773, 0), 0), 0), 0) ))</f>
        <v>0</v>
      </c>
      <c r="AV17">
        <f t="array" ref="AV17">IF(WEEKDAY(AV$1,2)&gt;=6, 0, SUM( IF(WBS!$J$5:$J$2773=$A17, IF(AV$1&gt;=WBS!$K$5:$K$2773, IF(AV$1&lt;=WBS!$L$5:$L$2773, IF(WBS!$AU$5:$AU$2773 &gt;0, WBS!$I$5:$I$2773 / WBS!$AU$5:$AU$2773, 0), 0), 0), 0) ))</f>
        <v>0</v>
      </c>
      <c r="AW17">
        <f t="array" ref="AW17">IF(WEEKDAY(AW$1,2)&gt;=6, 0, SUM( IF(WBS!$J$5:$J$2773=$A17, IF(AW$1&gt;=WBS!$K$5:$K$2773, IF(AW$1&lt;=WBS!$L$5:$L$2773, IF(WBS!$AU$5:$AU$2773 &gt;0, WBS!$I$5:$I$2773 / WBS!$AU$5:$AU$2773, 0), 0), 0), 0) ))</f>
        <v>0</v>
      </c>
      <c r="AX17">
        <f t="array" ref="AX17">IF(WEEKDAY(AX$1,2)&gt;=6, 0, SUM( IF(WBS!$J$5:$J$2773=$A17, IF(AX$1&gt;=WBS!$K$5:$K$2773, IF(AX$1&lt;=WBS!$L$5:$L$2773, IF(WBS!$AU$5:$AU$2773 &gt;0, WBS!$I$5:$I$2773 / WBS!$AU$5:$AU$2773, 0), 0), 0), 0) ))</f>
        <v>0</v>
      </c>
      <c r="AY17">
        <f t="array" ref="AY17">IF(WEEKDAY(AY$1,2)&gt;=6, 0, SUM( IF(WBS!$J$5:$J$2773=$A17, IF(AY$1&gt;=WBS!$K$5:$K$2773, IF(AY$1&lt;=WBS!$L$5:$L$2773, IF(WBS!$AU$5:$AU$2773 &gt;0, WBS!$I$5:$I$2773 / WBS!$AU$5:$AU$2773, 0), 0), 0), 0) ))</f>
        <v>0</v>
      </c>
      <c r="AZ17">
        <f t="array" ref="AZ17">IF(WEEKDAY(AZ$1,2)&gt;=6, 0, SUM( IF(WBS!$J$5:$J$2773=$A17, IF(AZ$1&gt;=WBS!$K$5:$K$2773, IF(AZ$1&lt;=WBS!$L$5:$L$2773, IF(WBS!$AU$5:$AU$2773 &gt;0, WBS!$I$5:$I$2773 / WBS!$AU$5:$AU$2773, 0), 0), 0), 0) ))</f>
        <v>0</v>
      </c>
      <c r="BA17">
        <f t="array" ref="BA17">IF(WEEKDAY(BA$1,2)&gt;=6, 0, SUM( IF(WBS!$J$5:$J$2773=$A17, IF(BA$1&gt;=WBS!$K$5:$K$2773, IF(BA$1&lt;=WBS!$L$5:$L$2773, IF(WBS!$AU$5:$AU$2773 &gt;0, WBS!$I$5:$I$2773 / WBS!$AU$5:$AU$2773, 0), 0), 0), 0) ))</f>
        <v>0</v>
      </c>
      <c r="BB17">
        <f t="array" ref="BB17">IF(WEEKDAY(BB$1,2)&gt;=6, 0, SUM( IF(WBS!$J$5:$J$2773=$A17, IF(BB$1&gt;=WBS!$K$5:$K$2773, IF(BB$1&lt;=WBS!$L$5:$L$2773, IF(WBS!$AU$5:$AU$2773 &gt;0, WBS!$I$5:$I$2773 / WBS!$AU$5:$AU$2773, 0), 0), 0), 0) ))</f>
        <v>0</v>
      </c>
      <c r="BC17">
        <f t="array" ref="BC17">IF(WEEKDAY(BC$1,2)&gt;=6, 0, SUM( IF(WBS!$J$5:$J$2773=$A17, IF(BC$1&gt;=WBS!$K$5:$K$2773, IF(BC$1&lt;=WBS!$L$5:$L$2773, IF(WBS!$AU$5:$AU$2773 &gt;0, WBS!$I$5:$I$2773 / WBS!$AU$5:$AU$2773, 0), 0), 0), 0) ))</f>
        <v>0</v>
      </c>
      <c r="BD17">
        <f t="array" ref="BD17">IF(WEEKDAY(BD$1,2)&gt;=6, 0, SUM( IF(WBS!$J$5:$J$2773=$A17, IF(BD$1&gt;=WBS!$K$5:$K$2773, IF(BD$1&lt;=WBS!$L$5:$L$2773, IF(WBS!$AU$5:$AU$2773 &gt;0, WBS!$I$5:$I$2773 / WBS!$AU$5:$AU$2773, 0), 0), 0), 0) ))</f>
        <v>0</v>
      </c>
      <c r="BE17">
        <f t="array" ref="BE17">IF(WEEKDAY(BE$1,2)&gt;=6, 0, SUM( IF(WBS!$J$5:$J$2773=$A17, IF(BE$1&gt;=WBS!$K$5:$K$2773, IF(BE$1&lt;=WBS!$L$5:$L$2773, IF(WBS!$AU$5:$AU$2773 &gt;0, WBS!$I$5:$I$2773 / WBS!$AU$5:$AU$2773, 0), 0), 0), 0) ))</f>
        <v>0</v>
      </c>
      <c r="BF17">
        <f t="array" ref="BF17">IF(WEEKDAY(BF$1,2)&gt;=6, 0, SUM( IF(WBS!$J$5:$J$2773=$A17, IF(BF$1&gt;=WBS!$K$5:$K$2773, IF(BF$1&lt;=WBS!$L$5:$L$2773, IF(WBS!$AU$5:$AU$2773 &gt;0, WBS!$I$5:$I$2773 / WBS!$AU$5:$AU$2773, 0), 0), 0), 0) ))</f>
        <v>0</v>
      </c>
      <c r="BG17">
        <f t="array" ref="BG17">IF(WEEKDAY(BG$1,2)&gt;=6, 0, SUM( IF(WBS!$J$5:$J$2773=$A17, IF(BG$1&gt;=WBS!$K$5:$K$2773, IF(BG$1&lt;=WBS!$L$5:$L$2773, IF(WBS!$AU$5:$AU$2773 &gt;0, WBS!$I$5:$I$2773 / WBS!$AU$5:$AU$2773, 0), 0), 0), 0) ))</f>
        <v>0</v>
      </c>
      <c r="BH17">
        <f t="array" ref="BH17">IF(WEEKDAY(BH$1,2)&gt;=6, 0, SUM( IF(WBS!$J$5:$J$2773=$A17, IF(BH$1&gt;=WBS!$K$5:$K$2773, IF(BH$1&lt;=WBS!$L$5:$L$2773, IF(WBS!$AU$5:$AU$2773 &gt;0, WBS!$I$5:$I$2773 / WBS!$AU$5:$AU$2773, 0), 0), 0), 0) ))</f>
        <v>0</v>
      </c>
      <c r="BI17" s="42">
        <f t="array" ref="BI17">IF(WEEKDAY(BI$1,2)&gt;=6, 0, SUM( IF(WBS!$J$5:$J$2773=$A17, IF(BI$1&gt;=WBS!$K$5:$K$2773, IF(BI$1&lt;=WBS!$L$5:$L$2773, IF(WBS!$AU$5:$AU$2773 &gt;0, WBS!$I$5:$I$2773 / WBS!$AU$5:$AU$2773, 0), 0), 0), 0) ))</f>
        <v>0</v>
      </c>
      <c r="BJ17" s="42">
        <f t="array" ref="BJ17">IF(WEEKDAY(BJ$1,2)&gt;=6, 0, SUM( IF(WBS!$J$5:$J$2773=$A17, IF(BJ$1&gt;=WBS!$K$5:$K$2773, IF(BJ$1&lt;=WBS!$L$5:$L$2773, IF(WBS!$AU$5:$AU$2773 &gt;0, WBS!$I$5:$I$2773 / WBS!$AU$5:$AU$2773, 0), 0), 0), 0) ))</f>
        <v>0</v>
      </c>
      <c r="BK17">
        <f t="array" ref="BK17">IF(WEEKDAY(BK$1,2)&gt;=6, 0, SUM( IF(WBS!$J$5:$J$2773=$A17, IF(BK$1&gt;=WBS!$K$5:$K$2773, IF(BK$1&lt;=WBS!$L$5:$L$2773, IF(WBS!$AU$5:$AU$2773 &gt;0, WBS!$I$5:$I$2773 / WBS!$AU$5:$AU$2773, 0), 0), 0), 0) ))</f>
        <v>0</v>
      </c>
      <c r="BL17">
        <f t="array" ref="BL17">IF(WEEKDAY(BL$1,2)&gt;=6, 0, SUM( IF(WBS!$J$5:$J$2773=$A17, IF(BL$1&gt;=WBS!$K$5:$K$2773, IF(BL$1&lt;=WBS!$L$5:$L$2773, IF(WBS!$AU$5:$AU$2773 &gt;0, WBS!$I$5:$I$2773 / WBS!$AU$5:$AU$2773, 0), 0), 0), 0) ))</f>
        <v>0</v>
      </c>
      <c r="BM17">
        <f t="array" ref="BM17">IF(WEEKDAY(BM$1,2)&gt;=6, 0, SUM( IF(WBS!$J$5:$J$2773=$A17, IF(BM$1&gt;=WBS!$K$5:$K$2773, IF(BM$1&lt;=WBS!$L$5:$L$2773, IF(WBS!$AU$5:$AU$2773 &gt;0, WBS!$I$5:$I$2773 / WBS!$AU$5:$AU$2773, 0), 0), 0), 0) ))</f>
        <v>0</v>
      </c>
      <c r="BN17">
        <f t="array" ref="BN17">IF(WEEKDAY(BN$1,2)&gt;=6, 0, SUM( IF(WBS!$J$5:$J$2773=$A17, IF(BN$1&gt;=WBS!$K$5:$K$2773, IF(BN$1&lt;=WBS!$L$5:$L$2773, IF(WBS!$AU$5:$AU$2773 &gt;0, WBS!$I$5:$I$2773 / WBS!$AU$5:$AU$2773, 0), 0), 0), 0) ))</f>
        <v>0</v>
      </c>
      <c r="BO17">
        <f t="array" ref="BO17">IF(WEEKDAY(BO$1,2)&gt;=6, 0, SUM( IF(WBS!$J$5:$J$2773=$A17, IF(BO$1&gt;=WBS!$K$5:$K$2773, IF(BO$1&lt;=WBS!$L$5:$L$2773, IF(WBS!$AU$5:$AU$2773 &gt;0, WBS!$I$5:$I$2773 / WBS!$AU$5:$AU$2773, 0), 0), 0), 0) ))</f>
        <v>0</v>
      </c>
      <c r="BP17" s="42">
        <f t="array" ref="BP17">IF(WEEKDAY(BP$1,2)&gt;=6, 0, SUM( IF(WBS!$J$5:$J$2773=$A17, IF(BP$1&gt;=WBS!$K$5:$K$2773, IF(BP$1&lt;=WBS!$L$5:$L$2773, IF(WBS!$AU$5:$AU$2773 &gt;0, WBS!$I$5:$I$2773 / WBS!$AU$5:$AU$2773, 0), 0), 0), 0) ))</f>
        <v>0</v>
      </c>
      <c r="BQ17" s="42">
        <f t="array" ref="BQ17">IF(WEEKDAY(BQ$1,2)&gt;=6, 0, SUM( IF(WBS!$J$5:$J$2773=$A17, IF(BQ$1&gt;=WBS!$K$5:$K$2773, IF(BQ$1&lt;=WBS!$L$5:$L$2773, IF(WBS!$AU$5:$AU$2773 &gt;0, WBS!$I$5:$I$2773 / WBS!$AU$5:$AU$2773, 0), 0), 0), 0) ))</f>
        <v>0</v>
      </c>
      <c r="BR17">
        <f t="array" ref="BR17">IF(WEEKDAY(BR$1,2)&gt;=6, 0, SUM( IF(WBS!$J$5:$J$2773=$A17, IF(BR$1&gt;=WBS!$K$5:$K$2773, IF(BR$1&lt;=WBS!$L$5:$L$2773, IF(WBS!$AU$5:$AU$2773 &gt;0, WBS!$I$5:$I$2773 / WBS!$AU$5:$AU$2773, 0), 0), 0), 0) ))</f>
        <v>0</v>
      </c>
      <c r="BS17">
        <f t="array" ref="BS17">IF(WEEKDAY(BS$1,2)&gt;=6, 0, SUM( IF(WBS!$J$5:$J$2773=$A17, IF(BS$1&gt;=WBS!$K$5:$K$2773, IF(BS$1&lt;=WBS!$L$5:$L$2773, IF(WBS!$AU$5:$AU$2773 &gt;0, WBS!$I$5:$I$2773 / WBS!$AU$5:$AU$2773, 0), 0), 0), 0) ))</f>
        <v>0</v>
      </c>
      <c r="BT17">
        <f t="array" ref="BT17">IF(WEEKDAY(BT$1,2)&gt;=6, 0, SUM( IF(WBS!$J$5:$J$2773=$A17, IF(BT$1&gt;=WBS!$K$5:$K$2773, IF(BT$1&lt;=WBS!$L$5:$L$2773, IF(WBS!$AU$5:$AU$2773 &gt;0, WBS!$I$5:$I$2773 / WBS!$AU$5:$AU$2773, 0), 0), 0), 0) ))</f>
        <v>0</v>
      </c>
      <c r="BU17">
        <f t="array" ref="BU17">IF(WEEKDAY(BU$1,2)&gt;=6, 0, SUM( IF(WBS!$J$5:$J$2773=$A17, IF(BU$1&gt;=WBS!$K$5:$K$2773, IF(BU$1&lt;=WBS!$L$5:$L$2773, IF(WBS!$AU$5:$AU$2773 &gt;0, WBS!$I$5:$I$2773 / WBS!$AU$5:$AU$2773, 0), 0), 0), 0) ))</f>
        <v>0</v>
      </c>
      <c r="BV17">
        <f t="array" ref="BV17">IF(WEEKDAY(BV$1,2)&gt;=6, 0, SUM( IF(WBS!$J$5:$J$2773=$A17, IF(BV$1&gt;=WBS!$K$5:$K$2773, IF(BV$1&lt;=WBS!$L$5:$L$2773, IF(WBS!$AU$5:$AU$2773 &gt;0, WBS!$I$5:$I$2773 / WBS!$AU$5:$AU$2773, 0), 0), 0), 0) ))</f>
        <v>0</v>
      </c>
      <c r="BW17" s="42">
        <f t="array" ref="BW17">IF(WEEKDAY(BW$1,2)&gt;=6, 0, SUM( IF(WBS!$J$5:$J$2773=$A17, IF(BW$1&gt;=WBS!$K$5:$K$2773, IF(BW$1&lt;=WBS!$L$5:$L$2773, IF(WBS!$AU$5:$AU$2773 &gt;0, WBS!$I$5:$I$2773 / WBS!$AU$5:$AU$2773, 0), 0), 0), 0) ))</f>
        <v>0</v>
      </c>
      <c r="BX17" s="42">
        <f t="array" ref="BX17">IF(WEEKDAY(BX$1,2)&gt;=6, 0, SUM( IF(WBS!$J$5:$J$2773=$A17, IF(BX$1&gt;=WBS!$K$5:$K$2773, IF(BX$1&lt;=WBS!$L$5:$L$2773, IF(WBS!$AU$5:$AU$2773 &gt;0, WBS!$I$5:$I$2773 / WBS!$AU$5:$AU$2773, 0), 0), 0), 0) ))</f>
        <v>0</v>
      </c>
      <c r="BY17">
        <f t="array" ref="BY17">IF(WEEKDAY(BY$1,2)&gt;=6, 0, SUM( IF(WBS!$J$5:$J$2773=$A17, IF(BY$1&gt;=WBS!$K$5:$K$2773, IF(BY$1&lt;=WBS!$L$5:$L$2773, IF(WBS!$AU$5:$AU$2773 &gt;0, WBS!$I$5:$I$2773 / WBS!$AU$5:$AU$2773, 0), 0), 0), 0) ))</f>
        <v>0</v>
      </c>
      <c r="BZ17">
        <f t="array" ref="BZ17">IF(WEEKDAY(BZ$1,2)&gt;=6, 0, SUM( IF(WBS!$J$5:$J$2773=$A17, IF(BZ$1&gt;=WBS!$K$5:$K$2773, IF(BZ$1&lt;=WBS!$L$5:$L$2773, IF(WBS!$AU$5:$AU$2773 &gt;0, WBS!$I$5:$I$2773 / WBS!$AU$5:$AU$2773, 0), 0), 0), 0) ))</f>
        <v>0</v>
      </c>
      <c r="CA17">
        <f t="array" ref="CA17">IF(WEEKDAY(CA$1,2)&gt;=6, 0, SUM( IF(WBS!$J$5:$J$2773=$A17, IF(CA$1&gt;=WBS!$K$5:$K$2773, IF(CA$1&lt;=WBS!$L$5:$L$2773, IF(WBS!$AU$5:$AU$2773 &gt;0, WBS!$I$5:$I$2773 / WBS!$AU$5:$AU$2773, 0), 0), 0), 0) ))</f>
        <v>0</v>
      </c>
      <c r="CB17">
        <f t="array" ref="CB17">IF(WEEKDAY(CB$1,2)&gt;=6, 0, SUM( IF(WBS!$J$5:$J$2773=$A17, IF(CB$1&gt;=WBS!$K$5:$K$2773, IF(CB$1&lt;=WBS!$L$5:$L$2773, IF(WBS!$AU$5:$AU$2773 &gt;0, WBS!$I$5:$I$2773 / WBS!$AU$5:$AU$2773, 0), 0), 0), 0) ))</f>
        <v>0</v>
      </c>
      <c r="CC17">
        <f t="array" ref="CC17">IF(WEEKDAY(CC$1,2)&gt;=6, 0, SUM( IF(WBS!$J$5:$J$2773=$A17, IF(CC$1&gt;=WBS!$K$5:$K$2773, IF(CC$1&lt;=WBS!$L$5:$L$2773, IF(WBS!$AU$5:$AU$2773 &gt;0, WBS!$I$5:$I$2773 / WBS!$AU$5:$AU$2773, 0), 0), 0), 0) ))</f>
        <v>0</v>
      </c>
      <c r="CD17" s="42">
        <f t="array" ref="CD17">IF(WEEKDAY(CD$1,2)&gt;=6, 0, SUM( IF(WBS!$J$5:$J$2773=$A17, IF(CD$1&gt;=WBS!$K$5:$K$2773, IF(CD$1&lt;=WBS!$L$5:$L$2773, IF(WBS!$AU$5:$AU$2773 &gt;0, WBS!$I$5:$I$2773 / WBS!$AU$5:$AU$2773, 0), 0), 0), 0) ))</f>
        <v>0</v>
      </c>
      <c r="CE17" s="42">
        <f t="array" ref="CE17">IF(WEEKDAY(CE$1,2)&gt;=6, 0, SUM( IF(WBS!$J$5:$J$2773=$A17, IF(CE$1&gt;=WBS!$K$5:$K$2773, IF(CE$1&lt;=WBS!$L$5:$L$2773, IF(WBS!$AU$5:$AU$2773 &gt;0, WBS!$I$5:$I$2773 / WBS!$AU$5:$AU$2773, 0), 0), 0), 0) ))</f>
        <v>0</v>
      </c>
      <c r="CF17">
        <f t="array" ref="CF17">IF(WEEKDAY(CF$1,2)&gt;=6, 0, SUM( IF(WBS!$J$5:$J$2773=$A17, IF(CF$1&gt;=WBS!$K$5:$K$2773, IF(CF$1&lt;=WBS!$L$5:$L$2773, IF(WBS!$AU$5:$AU$2773 &gt;0, WBS!$I$5:$I$2773 / WBS!$AU$5:$AU$2773, 0), 0), 0), 0) ))</f>
        <v>0</v>
      </c>
      <c r="CG17">
        <f t="array" ref="CG17">IF(WEEKDAY(CG$1,2)&gt;=6, 0, SUM( IF(WBS!$J$5:$J$2773=$A17, IF(CG$1&gt;=WBS!$K$5:$K$2773, IF(CG$1&lt;=WBS!$L$5:$L$2773, IF(WBS!$AU$5:$AU$2773 &gt;0, WBS!$I$5:$I$2773 / WBS!$AU$5:$AU$2773, 0), 0), 0), 0) ))</f>
        <v>0</v>
      </c>
      <c r="CH17">
        <f t="array" ref="CH17">IF(WEEKDAY(CH$1,2)&gt;=6, 0, SUM( IF(WBS!$J$5:$J$2773=$A17, IF(CH$1&gt;=WBS!$K$5:$K$2773, IF(CH$1&lt;=WBS!$L$5:$L$2773, IF(WBS!$AU$5:$AU$2773 &gt;0, WBS!$I$5:$I$2773 / WBS!$AU$5:$AU$2773, 0), 0), 0), 0) ))</f>
        <v>0</v>
      </c>
      <c r="CI17" s="274"/>
      <c r="CK17" s="42"/>
      <c r="CL17" s="42"/>
      <c r="CR17" s="42"/>
      <c r="CS17" s="42"/>
      <c r="CY17" s="42"/>
      <c r="CZ17" s="42"/>
      <c r="DF17" s="42"/>
      <c r="DG17" s="42"/>
      <c r="DM17" s="42"/>
      <c r="DN17" s="42"/>
      <c r="DT17" s="42"/>
      <c r="DU17" s="42"/>
      <c r="EA17" s="276"/>
      <c r="EB17" s="276"/>
      <c r="EC17" s="274"/>
      <c r="ED17" s="274"/>
      <c r="EE17" s="274"/>
      <c r="EF17" s="274"/>
      <c r="EG17" s="274"/>
      <c r="EH17" s="274"/>
      <c r="EI17" s="274"/>
      <c r="EJ17" s="274"/>
      <c r="EO17" s="42"/>
      <c r="EP17" s="42"/>
      <c r="EV17" s="42"/>
      <c r="EW17" s="42"/>
      <c r="FC17" s="42"/>
      <c r="FD17" s="42"/>
      <c r="FJ17" s="42"/>
      <c r="FK17" s="42"/>
      <c r="FQ17" s="42"/>
      <c r="FR17" s="42"/>
      <c r="FX17" s="42"/>
      <c r="FY17" s="42"/>
      <c r="FZ17" s="274"/>
      <c r="GE17" s="42"/>
      <c r="GF17" s="42"/>
      <c r="GL17" s="42"/>
      <c r="GM17" s="42"/>
      <c r="GS17" s="42"/>
      <c r="GT17" s="42"/>
      <c r="GY17" s="274"/>
      <c r="GZ17" s="42"/>
      <c r="HA17" s="42"/>
      <c r="HB17" s="274"/>
      <c r="HC17" s="274"/>
      <c r="HG17" s="42"/>
      <c r="HH17" s="42"/>
      <c r="HN17" s="42"/>
      <c r="HO17" s="42"/>
      <c r="HU17" s="42"/>
      <c r="HV17" s="42"/>
      <c r="IB17" s="42"/>
      <c r="IC17" s="42"/>
      <c r="II17" s="42"/>
      <c r="IJ17" s="42"/>
      <c r="IP17" s="42"/>
      <c r="IQ17" s="42"/>
      <c r="IV17" s="274"/>
      <c r="IW17" s="42"/>
      <c r="IX17" s="42"/>
      <c r="JD17" s="42"/>
      <c r="JE17" s="42"/>
      <c r="JK17" s="42"/>
      <c r="JL17" s="42"/>
      <c r="JR17" s="42"/>
      <c r="JS17" s="42"/>
      <c r="JY17" s="42"/>
      <c r="JZ17" s="42"/>
      <c r="KF17" s="42"/>
      <c r="KG17" s="42"/>
      <c r="KM17" s="42"/>
      <c r="KN17" s="42"/>
      <c r="KT17" s="42"/>
      <c r="KU17" s="42"/>
      <c r="LA17" s="42"/>
      <c r="LB17" s="42"/>
      <c r="LH17" s="42"/>
      <c r="LI17" s="42"/>
      <c r="LO17" s="42"/>
      <c r="LP17" s="42"/>
      <c r="LV17" s="42"/>
      <c r="LW17" s="42"/>
      <c r="MC17" s="42"/>
      <c r="MD17" s="42"/>
      <c r="MJ17" s="42"/>
      <c r="MK17" s="42"/>
      <c r="MP17" s="274"/>
      <c r="MQ17" s="42"/>
      <c r="MR17" s="276"/>
      <c r="MV17" s="274"/>
      <c r="MW17" s="274"/>
      <c r="MX17" s="42"/>
      <c r="MY17" s="42"/>
      <c r="MZ17" s="274"/>
      <c r="NA17" s="274"/>
      <c r="NB17" s="274"/>
      <c r="NE17" s="276"/>
      <c r="NF17" s="42"/>
      <c r="NL17" s="42"/>
      <c r="NM17" s="42"/>
      <c r="NS17" s="42"/>
      <c r="NT17" s="42"/>
      <c r="NZ17" s="42"/>
      <c r="OA17" s="42"/>
      <c r="OG17" s="42"/>
      <c r="OH17" s="42"/>
      <c r="ON17" s="42"/>
      <c r="OO17" s="42"/>
      <c r="OU17" s="42"/>
      <c r="OV17" s="42"/>
      <c r="PB17" s="42"/>
      <c r="PC17" s="42"/>
      <c r="PI17" s="42"/>
      <c r="PJ17" s="42"/>
      <c r="PP17" s="42"/>
      <c r="PQ17" s="42"/>
      <c r="PW17" s="42"/>
      <c r="PX17" s="42"/>
      <c r="QD17" s="42"/>
      <c r="QE17" s="42"/>
    </row>
    <row r="18" spans="1:447">
      <c r="F18" s="42"/>
      <c r="L18" s="42"/>
      <c r="M18" s="42"/>
      <c r="S18" s="42"/>
      <c r="T18" s="42"/>
      <c r="Z18" s="42"/>
      <c r="AA18" s="42"/>
      <c r="AG18" s="42"/>
      <c r="AH18" s="42"/>
      <c r="AN18" s="42"/>
      <c r="AO18" s="42"/>
      <c r="AU18" s="42"/>
      <c r="AV18" s="42"/>
      <c r="BB18" s="42"/>
      <c r="BC18" s="42"/>
      <c r="BI18" s="42"/>
      <c r="BJ18" s="42"/>
      <c r="BP18" s="42"/>
      <c r="BQ18" s="42"/>
      <c r="BW18" s="42"/>
      <c r="BX18" s="42"/>
      <c r="CD18" s="42"/>
      <c r="CE18" s="42"/>
      <c r="CI18" s="274"/>
      <c r="CK18" s="42"/>
      <c r="CL18" s="42"/>
      <c r="CR18" s="42"/>
      <c r="CS18" s="42"/>
      <c r="CY18" s="42"/>
      <c r="CZ18" s="42"/>
      <c r="DF18" s="42"/>
      <c r="DG18" s="42"/>
      <c r="DM18" s="42"/>
      <c r="DN18" s="42"/>
      <c r="DT18" s="42"/>
      <c r="DU18" s="42"/>
      <c r="EA18" s="276"/>
      <c r="EB18" s="276"/>
      <c r="EC18" s="274"/>
      <c r="ED18" s="274"/>
      <c r="EE18" s="274"/>
      <c r="EF18" s="274"/>
      <c r="EG18" s="274"/>
      <c r="EH18" s="274"/>
      <c r="EI18" s="274"/>
      <c r="EJ18" s="274"/>
      <c r="EO18" s="42"/>
      <c r="EP18" s="42"/>
      <c r="EV18" s="42"/>
      <c r="EW18" s="42"/>
      <c r="FC18" s="42"/>
      <c r="FD18" s="42"/>
      <c r="FJ18" s="42"/>
      <c r="FK18" s="42"/>
      <c r="FQ18" s="42"/>
      <c r="FR18" s="42"/>
      <c r="FX18" s="42"/>
      <c r="FY18" s="42"/>
      <c r="FZ18" s="274"/>
      <c r="GE18" s="42"/>
      <c r="GF18" s="42"/>
      <c r="GL18" s="42"/>
      <c r="GM18" s="42"/>
      <c r="GS18" s="42"/>
      <c r="GT18" s="42"/>
      <c r="GY18" s="274"/>
      <c r="GZ18" s="42"/>
      <c r="HA18" s="42"/>
      <c r="HB18" s="274"/>
      <c r="HC18" s="274"/>
      <c r="HG18" s="42"/>
      <c r="HH18" s="42"/>
      <c r="HN18" s="42"/>
      <c r="HO18" s="42"/>
      <c r="HU18" s="42"/>
      <c r="HV18" s="42"/>
      <c r="IB18" s="42"/>
      <c r="IC18" s="42"/>
      <c r="II18" s="42"/>
      <c r="IJ18" s="42"/>
      <c r="IP18" s="42"/>
      <c r="IQ18" s="42"/>
      <c r="IV18" s="274"/>
      <c r="IW18" s="42"/>
      <c r="IX18" s="42"/>
      <c r="JD18" s="42"/>
      <c r="JE18" s="42"/>
      <c r="JK18" s="42"/>
      <c r="JL18" s="42"/>
      <c r="JR18" s="42"/>
      <c r="JS18" s="42"/>
      <c r="JY18" s="42"/>
      <c r="JZ18" s="42"/>
      <c r="KF18" s="42"/>
      <c r="KG18" s="42"/>
      <c r="KM18" s="42"/>
      <c r="KN18" s="42"/>
      <c r="KT18" s="42"/>
      <c r="KU18" s="42"/>
      <c r="LA18" s="42"/>
      <c r="LB18" s="42"/>
      <c r="LH18" s="42"/>
      <c r="LI18" s="42"/>
      <c r="LO18" s="42"/>
      <c r="LP18" s="42"/>
      <c r="LV18" s="42"/>
      <c r="LW18" s="42"/>
      <c r="MC18" s="42"/>
      <c r="MD18" s="42"/>
      <c r="MJ18" s="42"/>
      <c r="MK18" s="42"/>
      <c r="MP18" s="274"/>
      <c r="MQ18" s="42"/>
      <c r="MR18" s="276"/>
      <c r="MV18" s="274"/>
      <c r="MW18" s="274"/>
      <c r="MX18" s="42"/>
      <c r="MY18" s="42"/>
      <c r="MZ18" s="274"/>
      <c r="NA18" s="274"/>
      <c r="NB18" s="274"/>
      <c r="NE18" s="276"/>
      <c r="NF18" s="42"/>
      <c r="NL18" s="42"/>
      <c r="NM18" s="42"/>
      <c r="NS18" s="42"/>
      <c r="NT18" s="42"/>
      <c r="NZ18" s="42"/>
      <c r="OA18" s="42"/>
      <c r="OG18" s="42"/>
      <c r="OH18" s="42"/>
      <c r="ON18" s="42"/>
      <c r="OO18" s="42"/>
      <c r="OU18" s="42"/>
      <c r="OV18" s="42"/>
      <c r="PB18" s="42"/>
      <c r="PC18" s="42"/>
      <c r="PI18" s="42"/>
      <c r="PJ18" s="42"/>
      <c r="PP18" s="42"/>
      <c r="PQ18" s="42"/>
      <c r="PW18" s="42"/>
      <c r="PX18" s="42"/>
      <c r="QD18" s="42"/>
      <c r="QE18" s="42"/>
    </row>
    <row r="19" spans="1:447" s="43" customFormat="1">
      <c r="C19" s="43">
        <f>13.5*8</f>
        <v>108</v>
      </c>
      <c r="D19" s="43">
        <f t="shared" ref="D19:BA19" si="0">13.5*8</f>
        <v>108</v>
      </c>
      <c r="E19" s="43">
        <f t="shared" si="0"/>
        <v>108</v>
      </c>
      <c r="G19" s="43">
        <f t="shared" si="0"/>
        <v>108</v>
      </c>
      <c r="H19" s="43">
        <f t="shared" si="0"/>
        <v>108</v>
      </c>
      <c r="I19" s="43">
        <f t="shared" si="0"/>
        <v>108</v>
      </c>
      <c r="J19" s="43">
        <f t="shared" si="0"/>
        <v>108</v>
      </c>
      <c r="K19" s="43">
        <f t="shared" si="0"/>
        <v>108</v>
      </c>
      <c r="N19" s="43">
        <f t="shared" si="0"/>
        <v>108</v>
      </c>
      <c r="O19" s="43">
        <f t="shared" si="0"/>
        <v>108</v>
      </c>
      <c r="P19" s="43">
        <f t="shared" si="0"/>
        <v>108</v>
      </c>
      <c r="Q19" s="43">
        <f t="shared" si="0"/>
        <v>108</v>
      </c>
      <c r="R19" s="43">
        <f t="shared" si="0"/>
        <v>108</v>
      </c>
      <c r="U19" s="43">
        <f t="shared" si="0"/>
        <v>108</v>
      </c>
      <c r="V19" s="43">
        <f t="shared" si="0"/>
        <v>108</v>
      </c>
      <c r="W19" s="43">
        <f t="shared" si="0"/>
        <v>108</v>
      </c>
      <c r="X19" s="43">
        <f t="shared" si="0"/>
        <v>108</v>
      </c>
      <c r="Y19" s="43">
        <f t="shared" si="0"/>
        <v>108</v>
      </c>
      <c r="AB19" s="43">
        <f t="shared" si="0"/>
        <v>108</v>
      </c>
      <c r="AC19" s="43">
        <f t="shared" si="0"/>
        <v>108</v>
      </c>
      <c r="AD19" s="43">
        <f t="shared" si="0"/>
        <v>108</v>
      </c>
      <c r="AE19" s="43">
        <f t="shared" si="0"/>
        <v>108</v>
      </c>
      <c r="AF19" s="43">
        <f t="shared" si="0"/>
        <v>108</v>
      </c>
      <c r="AI19" s="43">
        <f t="shared" si="0"/>
        <v>108</v>
      </c>
      <c r="AJ19" s="43">
        <f t="shared" si="0"/>
        <v>108</v>
      </c>
      <c r="AK19" s="43">
        <f t="shared" si="0"/>
        <v>108</v>
      </c>
      <c r="AL19" s="43">
        <f t="shared" si="0"/>
        <v>108</v>
      </c>
      <c r="AM19" s="43">
        <f t="shared" si="0"/>
        <v>108</v>
      </c>
      <c r="AP19" s="43">
        <f t="shared" si="0"/>
        <v>108</v>
      </c>
      <c r="AQ19" s="43">
        <f t="shared" si="0"/>
        <v>108</v>
      </c>
      <c r="AR19" s="43">
        <f t="shared" si="0"/>
        <v>108</v>
      </c>
      <c r="AS19" s="43">
        <f t="shared" si="0"/>
        <v>108</v>
      </c>
      <c r="AT19" s="43">
        <f t="shared" si="0"/>
        <v>108</v>
      </c>
      <c r="AW19" s="43">
        <f t="shared" si="0"/>
        <v>108</v>
      </c>
      <c r="AX19" s="43">
        <f t="shared" si="0"/>
        <v>108</v>
      </c>
      <c r="AY19" s="43">
        <f t="shared" si="0"/>
        <v>108</v>
      </c>
      <c r="AZ19" s="43">
        <f t="shared" si="0"/>
        <v>108</v>
      </c>
      <c r="BA19" s="43">
        <f t="shared" si="0"/>
        <v>108</v>
      </c>
    </row>
    <row r="20" spans="1:447">
      <c r="C20">
        <f>SUM(C3:C17)</f>
        <v>0</v>
      </c>
      <c r="D20">
        <f t="shared" ref="D20:BC20" si="1">SUM(D3:D17)</f>
        <v>0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  <c r="W20">
        <f t="shared" si="1"/>
        <v>0</v>
      </c>
      <c r="X20">
        <f t="shared" si="1"/>
        <v>0</v>
      </c>
      <c r="Y20">
        <f t="shared" si="1"/>
        <v>0</v>
      </c>
      <c r="Z20">
        <f t="shared" si="1"/>
        <v>0</v>
      </c>
      <c r="AA20">
        <f t="shared" si="1"/>
        <v>0</v>
      </c>
      <c r="AB20">
        <f t="shared" si="1"/>
        <v>0</v>
      </c>
      <c r="AC20">
        <f t="shared" si="1"/>
        <v>0</v>
      </c>
      <c r="AD20">
        <f t="shared" si="1"/>
        <v>0</v>
      </c>
      <c r="AE20">
        <f t="shared" si="1"/>
        <v>0</v>
      </c>
      <c r="AF20">
        <f t="shared" si="1"/>
        <v>0</v>
      </c>
      <c r="AG20">
        <f t="shared" si="1"/>
        <v>0</v>
      </c>
      <c r="AH20">
        <f t="shared" si="1"/>
        <v>0</v>
      </c>
      <c r="AI20">
        <f t="shared" si="1"/>
        <v>0</v>
      </c>
      <c r="AJ20">
        <f t="shared" si="1"/>
        <v>0</v>
      </c>
      <c r="AK20">
        <f t="shared" si="1"/>
        <v>0</v>
      </c>
      <c r="AL20">
        <f t="shared" si="1"/>
        <v>0</v>
      </c>
      <c r="AM20">
        <f t="shared" si="1"/>
        <v>0</v>
      </c>
      <c r="AN20">
        <f t="shared" si="1"/>
        <v>0</v>
      </c>
      <c r="AO20">
        <f t="shared" si="1"/>
        <v>0</v>
      </c>
      <c r="AP20">
        <f t="shared" si="1"/>
        <v>0</v>
      </c>
      <c r="AQ20">
        <f t="shared" si="1"/>
        <v>0</v>
      </c>
      <c r="AR20">
        <f t="shared" si="1"/>
        <v>0</v>
      </c>
      <c r="AS20">
        <f t="shared" si="1"/>
        <v>0</v>
      </c>
      <c r="AT20">
        <f t="shared" si="1"/>
        <v>0</v>
      </c>
      <c r="AU20">
        <f t="shared" si="1"/>
        <v>0</v>
      </c>
      <c r="AV20">
        <f t="shared" si="1"/>
        <v>0</v>
      </c>
      <c r="AW20">
        <f t="shared" si="1"/>
        <v>0</v>
      </c>
      <c r="AX20">
        <f t="shared" si="1"/>
        <v>0</v>
      </c>
      <c r="AY20">
        <f t="shared" si="1"/>
        <v>0</v>
      </c>
      <c r="AZ20">
        <f t="shared" si="1"/>
        <v>0</v>
      </c>
      <c r="BA20">
        <f t="shared" si="1"/>
        <v>0</v>
      </c>
      <c r="BB20">
        <f t="shared" si="1"/>
        <v>0</v>
      </c>
      <c r="BC20">
        <f t="shared" si="1"/>
        <v>0</v>
      </c>
    </row>
    <row r="21" spans="1:447">
      <c r="Y21">
        <f>SUM(C19:Y19)</f>
        <v>1944</v>
      </c>
      <c r="BC21">
        <f>SUM(Z19:BC19)</f>
        <v>2160</v>
      </c>
    </row>
    <row r="22" spans="1:447">
      <c r="Y22">
        <f>SUM(C20:Y20)</f>
        <v>0</v>
      </c>
      <c r="BC22">
        <f>SUM(Z20:BC20)</f>
        <v>0</v>
      </c>
    </row>
  </sheetData>
  <autoFilter ref="A2:QS17" xr:uid="{00000000-0009-0000-0000-000001000000}"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V462"/>
  <sheetViews>
    <sheetView workbookViewId="0">
      <selection activeCell="D4" sqref="D4"/>
    </sheetView>
  </sheetViews>
  <sheetFormatPr defaultRowHeight="18.75"/>
  <cols>
    <col min="5" max="5" width="6.5" hidden="1" customWidth="1"/>
    <col min="6" max="6" width="6.5" bestFit="1" customWidth="1"/>
    <col min="7" max="7" width="7.5" bestFit="1" customWidth="1"/>
    <col min="8" max="8" width="7.5" customWidth="1"/>
    <col min="9" max="9" width="6.5" customWidth="1"/>
    <col min="10" max="10" width="11.125" customWidth="1"/>
    <col min="11" max="11" width="10.75" customWidth="1"/>
    <col min="12" max="12" width="7.5" customWidth="1"/>
    <col min="19" max="34" width="9" customWidth="1"/>
    <col min="36" max="39" width="0" hidden="1" customWidth="1"/>
  </cols>
  <sheetData>
    <row r="1" spans="1:48"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300" t="s">
        <v>50</v>
      </c>
      <c r="V1" s="300"/>
      <c r="W1" s="300"/>
      <c r="X1" s="300"/>
      <c r="Y1" s="300"/>
      <c r="Z1" s="300"/>
      <c r="AA1" s="300"/>
      <c r="AB1" s="300" t="s">
        <v>51</v>
      </c>
      <c r="AC1" s="300"/>
      <c r="AD1" s="300"/>
      <c r="AE1" s="300"/>
      <c r="AF1" s="300"/>
      <c r="AG1" s="300"/>
      <c r="AH1" s="300"/>
      <c r="AI1" s="300" t="s">
        <v>51</v>
      </c>
      <c r="AJ1" s="300"/>
      <c r="AK1" s="300"/>
      <c r="AL1" s="300"/>
      <c r="AM1" s="300"/>
      <c r="AN1" s="300"/>
      <c r="AO1" s="300"/>
    </row>
    <row r="2" spans="1:48">
      <c r="C2" s="28" t="s">
        <v>53</v>
      </c>
      <c r="D2" s="28">
        <v>1</v>
      </c>
      <c r="E2" s="28">
        <v>2</v>
      </c>
      <c r="F2" s="28">
        <v>3</v>
      </c>
      <c r="G2" s="28">
        <v>4</v>
      </c>
      <c r="H2" s="28">
        <v>5</v>
      </c>
      <c r="I2" s="28">
        <v>6</v>
      </c>
      <c r="J2" s="28">
        <v>7</v>
      </c>
      <c r="K2" s="28">
        <v>8</v>
      </c>
      <c r="L2" s="28">
        <v>9</v>
      </c>
      <c r="M2" s="28">
        <v>10</v>
      </c>
      <c r="N2" s="28">
        <v>11</v>
      </c>
      <c r="O2" s="28">
        <v>12</v>
      </c>
      <c r="P2" s="28">
        <v>13</v>
      </c>
      <c r="Q2" s="28">
        <v>14</v>
      </c>
      <c r="R2" s="28">
        <v>15</v>
      </c>
      <c r="S2" s="28">
        <v>16</v>
      </c>
      <c r="T2" s="28">
        <v>17</v>
      </c>
      <c r="U2" s="28">
        <v>18</v>
      </c>
      <c r="V2" s="28">
        <v>19</v>
      </c>
      <c r="W2" s="28">
        <v>20</v>
      </c>
      <c r="X2" s="28">
        <v>21</v>
      </c>
      <c r="Y2" s="28">
        <v>22</v>
      </c>
      <c r="Z2" s="28">
        <v>23</v>
      </c>
      <c r="AA2" s="28">
        <v>24</v>
      </c>
      <c r="AB2" s="28">
        <v>25</v>
      </c>
      <c r="AC2" s="28">
        <v>26</v>
      </c>
      <c r="AD2" s="28">
        <v>27</v>
      </c>
      <c r="AE2" s="28">
        <v>28</v>
      </c>
      <c r="AF2" s="28">
        <v>29</v>
      </c>
      <c r="AG2" s="28">
        <v>30</v>
      </c>
      <c r="AH2" s="28">
        <v>31</v>
      </c>
      <c r="AI2" s="28">
        <v>32</v>
      </c>
      <c r="AJ2" s="28">
        <v>33</v>
      </c>
      <c r="AK2" s="28">
        <v>34</v>
      </c>
      <c r="AL2" s="28">
        <v>35</v>
      </c>
      <c r="AM2" s="28">
        <v>36</v>
      </c>
      <c r="AN2" s="28">
        <v>37</v>
      </c>
      <c r="AO2" s="28">
        <v>38</v>
      </c>
    </row>
    <row r="3" spans="1:48">
      <c r="A3" t="s">
        <v>13</v>
      </c>
      <c r="C3" s="28"/>
      <c r="D3" s="28" t="s">
        <v>52</v>
      </c>
      <c r="E3" s="28" t="s">
        <v>14</v>
      </c>
      <c r="F3" s="28" t="s">
        <v>15</v>
      </c>
      <c r="G3" s="28" t="s">
        <v>16</v>
      </c>
      <c r="H3" s="28" t="s">
        <v>17</v>
      </c>
      <c r="I3" s="28" t="s">
        <v>18</v>
      </c>
      <c r="J3" s="28" t="s">
        <v>19</v>
      </c>
      <c r="K3" s="28" t="s">
        <v>20</v>
      </c>
      <c r="L3" s="28" t="s">
        <v>21</v>
      </c>
      <c r="M3" s="28" t="s">
        <v>22</v>
      </c>
      <c r="N3" s="28" t="s">
        <v>23</v>
      </c>
      <c r="O3" s="28" t="s">
        <v>24</v>
      </c>
      <c r="P3" s="28" t="s">
        <v>25</v>
      </c>
      <c r="Q3" s="28" t="s">
        <v>26</v>
      </c>
      <c r="R3" s="28" t="s">
        <v>27</v>
      </c>
      <c r="S3" s="28" t="s">
        <v>28</v>
      </c>
      <c r="T3" s="28" t="s">
        <v>29</v>
      </c>
      <c r="U3" s="28" t="s">
        <v>23</v>
      </c>
      <c r="V3" s="28"/>
      <c r="W3" s="28" t="s">
        <v>47</v>
      </c>
      <c r="X3" s="28" t="s">
        <v>25</v>
      </c>
      <c r="Y3" s="28" t="s">
        <v>48</v>
      </c>
      <c r="Z3" s="28" t="s">
        <v>24</v>
      </c>
      <c r="AA3" s="28" t="s">
        <v>49</v>
      </c>
      <c r="AB3" s="28" t="s">
        <v>23</v>
      </c>
      <c r="AC3" s="28"/>
      <c r="AD3" s="28" t="s">
        <v>47</v>
      </c>
      <c r="AE3" s="28" t="s">
        <v>25</v>
      </c>
      <c r="AF3" s="28" t="s">
        <v>48</v>
      </c>
      <c r="AG3" s="28" t="s">
        <v>24</v>
      </c>
      <c r="AH3" s="28" t="s">
        <v>49</v>
      </c>
      <c r="AI3" s="28" t="s">
        <v>23</v>
      </c>
      <c r="AJ3" s="28"/>
      <c r="AK3" s="28" t="s">
        <v>47</v>
      </c>
      <c r="AL3" s="28" t="s">
        <v>25</v>
      </c>
      <c r="AM3" s="28" t="s">
        <v>48</v>
      </c>
      <c r="AN3" s="28" t="s">
        <v>24</v>
      </c>
      <c r="AO3" s="28" t="s">
        <v>49</v>
      </c>
      <c r="AQ3" t="s">
        <v>52</v>
      </c>
      <c r="AR3" t="s">
        <v>58</v>
      </c>
      <c r="AS3" t="s">
        <v>59</v>
      </c>
      <c r="AT3" t="s">
        <v>60</v>
      </c>
      <c r="AU3" t="s">
        <v>61</v>
      </c>
      <c r="AV3" t="s">
        <v>74</v>
      </c>
    </row>
    <row r="4" spans="1:48">
      <c r="A4">
        <v>1</v>
      </c>
      <c r="B4" t="s">
        <v>10</v>
      </c>
      <c r="C4" t="s">
        <v>10</v>
      </c>
      <c r="D4" t="str">
        <f>A4&amp;IF(B4="","","_")&amp;B4&amp;IF(C4="","","_")&amp;C4</f>
        <v>1</v>
      </c>
      <c r="E4" t="s">
        <v>10</v>
      </c>
      <c r="F4" t="s">
        <v>10</v>
      </c>
      <c r="G4" t="s">
        <v>10</v>
      </c>
      <c r="H4" t="s">
        <v>10</v>
      </c>
      <c r="I4" t="s">
        <v>10</v>
      </c>
      <c r="L4">
        <v>0</v>
      </c>
      <c r="M4" t="s">
        <v>11</v>
      </c>
      <c r="N4" t="s">
        <v>11</v>
      </c>
      <c r="O4" t="s">
        <v>11</v>
      </c>
      <c r="P4" t="s">
        <v>11</v>
      </c>
      <c r="Q4">
        <v>2</v>
      </c>
      <c r="R4" t="s">
        <v>30</v>
      </c>
      <c r="AI4">
        <f>U4+AB4</f>
        <v>0</v>
      </c>
      <c r="AJ4">
        <f t="shared" ref="AJ4:AO4" si="0">V4+AC4</f>
        <v>0</v>
      </c>
      <c r="AK4">
        <f t="shared" si="0"/>
        <v>0</v>
      </c>
      <c r="AL4">
        <f t="shared" si="0"/>
        <v>0</v>
      </c>
      <c r="AM4">
        <f t="shared" si="0"/>
        <v>0</v>
      </c>
      <c r="AN4">
        <f t="shared" si="0"/>
        <v>0</v>
      </c>
      <c r="AO4">
        <f t="shared" si="0"/>
        <v>0</v>
      </c>
      <c r="AQ4" t="str">
        <f>D4</f>
        <v>1</v>
      </c>
      <c r="AR4" t="str">
        <f>F4</f>
        <v/>
      </c>
      <c r="AS4">
        <f>AI4</f>
        <v>0</v>
      </c>
      <c r="AT4" t="str">
        <f>G4</f>
        <v/>
      </c>
      <c r="AU4">
        <f>AN4</f>
        <v>0</v>
      </c>
      <c r="AV4">
        <f>AO4</f>
        <v>0</v>
      </c>
    </row>
    <row r="5" spans="1:48">
      <c r="A5">
        <v>1</v>
      </c>
      <c r="B5">
        <v>1</v>
      </c>
      <c r="C5" t="s">
        <v>10</v>
      </c>
      <c r="D5" t="str">
        <f t="shared" ref="D5:D68" si="1">A5&amp;IF(B5="","","_")&amp;B5&amp;IF(C5="","","_")&amp;C5</f>
        <v>1_1</v>
      </c>
      <c r="E5">
        <v>0</v>
      </c>
      <c r="F5">
        <v>6.375</v>
      </c>
      <c r="G5">
        <v>11.875</v>
      </c>
      <c r="H5">
        <v>11.875</v>
      </c>
      <c r="I5">
        <v>2</v>
      </c>
      <c r="J5">
        <v>7.4925000000000006</v>
      </c>
      <c r="K5">
        <v>6.3824999999999994</v>
      </c>
      <c r="L5">
        <v>32.125</v>
      </c>
      <c r="M5" t="s">
        <v>31</v>
      </c>
      <c r="N5" t="s">
        <v>32</v>
      </c>
      <c r="O5" t="s">
        <v>32</v>
      </c>
      <c r="P5" t="s">
        <v>33</v>
      </c>
      <c r="Q5">
        <v>2</v>
      </c>
      <c r="S5">
        <v>7.4925000000000006</v>
      </c>
      <c r="T5">
        <v>6.3824999999999994</v>
      </c>
      <c r="U5">
        <v>0</v>
      </c>
      <c r="V5">
        <v>0</v>
      </c>
      <c r="W5">
        <v>0</v>
      </c>
      <c r="X5">
        <v>1.4985000000000002</v>
      </c>
      <c r="Y5">
        <v>1.4985000000000002</v>
      </c>
      <c r="Z5">
        <v>0</v>
      </c>
      <c r="AA5">
        <v>6.3824999999999994</v>
      </c>
      <c r="AI5">
        <f t="shared" ref="AI5:AI68" si="2">U5+AB5</f>
        <v>0</v>
      </c>
      <c r="AJ5">
        <f t="shared" ref="AJ5:AJ68" si="3">V5+AC5</f>
        <v>0</v>
      </c>
      <c r="AK5">
        <f t="shared" ref="AK5:AK68" si="4">W5+AD5</f>
        <v>0</v>
      </c>
      <c r="AL5">
        <f t="shared" ref="AL5:AL68" si="5">X5+AE5</f>
        <v>1.4985000000000002</v>
      </c>
      <c r="AM5">
        <f t="shared" ref="AM5:AM68" si="6">Y5+AF5</f>
        <v>1.4985000000000002</v>
      </c>
      <c r="AN5">
        <f t="shared" ref="AN5:AN68" si="7">Z5+AG5</f>
        <v>0</v>
      </c>
      <c r="AO5">
        <f t="shared" ref="AO5:AO68" si="8">AA5+AH5</f>
        <v>6.3824999999999994</v>
      </c>
      <c r="AQ5" t="str">
        <f t="shared" ref="AQ5:AQ68" si="9">D5</f>
        <v>1_1</v>
      </c>
      <c r="AR5">
        <f t="shared" ref="AR5:AR68" si="10">F5</f>
        <v>6.375</v>
      </c>
      <c r="AS5">
        <f t="shared" ref="AS5:AS68" si="11">AI5</f>
        <v>0</v>
      </c>
      <c r="AT5">
        <f t="shared" ref="AT5:AT68" si="12">G5</f>
        <v>11.875</v>
      </c>
      <c r="AU5">
        <f t="shared" ref="AU5:AU68" si="13">AN5</f>
        <v>0</v>
      </c>
      <c r="AV5">
        <f t="shared" ref="AV5:AV68" si="14">AO5</f>
        <v>6.3824999999999994</v>
      </c>
    </row>
    <row r="6" spans="1:48">
      <c r="A6">
        <v>1</v>
      </c>
      <c r="B6">
        <v>2</v>
      </c>
      <c r="C6" t="s">
        <v>10</v>
      </c>
      <c r="D6" t="str">
        <f t="shared" si="1"/>
        <v>1_2</v>
      </c>
      <c r="E6">
        <v>0</v>
      </c>
      <c r="F6">
        <v>3.625</v>
      </c>
      <c r="G6">
        <v>6.75</v>
      </c>
      <c r="H6">
        <v>6.75</v>
      </c>
      <c r="I6">
        <v>1.125</v>
      </c>
      <c r="J6">
        <v>4.2525000000000004</v>
      </c>
      <c r="K6">
        <v>3.6224999999999996</v>
      </c>
      <c r="L6">
        <v>18.25</v>
      </c>
      <c r="M6" t="s">
        <v>31</v>
      </c>
      <c r="N6" t="s">
        <v>11</v>
      </c>
      <c r="O6" t="s">
        <v>11</v>
      </c>
      <c r="P6" t="s">
        <v>11</v>
      </c>
      <c r="Q6" t="s">
        <v>34</v>
      </c>
      <c r="S6">
        <v>4.2525000000000004</v>
      </c>
      <c r="T6">
        <v>3.6224999999999996</v>
      </c>
      <c r="AB6">
        <v>3.625</v>
      </c>
      <c r="AD6">
        <v>0.72500000000000009</v>
      </c>
      <c r="AE6">
        <v>4.2525000000000004</v>
      </c>
      <c r="AF6">
        <v>0.85050000000000014</v>
      </c>
      <c r="AG6">
        <v>6.75</v>
      </c>
      <c r="AH6">
        <v>3.6224999999999996</v>
      </c>
      <c r="AI6">
        <f t="shared" si="2"/>
        <v>3.625</v>
      </c>
      <c r="AJ6">
        <f t="shared" si="3"/>
        <v>0</v>
      </c>
      <c r="AK6">
        <f t="shared" si="4"/>
        <v>0.72500000000000009</v>
      </c>
      <c r="AL6">
        <f t="shared" si="5"/>
        <v>4.2525000000000004</v>
      </c>
      <c r="AM6">
        <f t="shared" si="6"/>
        <v>0.85050000000000014</v>
      </c>
      <c r="AN6">
        <f t="shared" si="7"/>
        <v>6.75</v>
      </c>
      <c r="AO6">
        <f t="shared" si="8"/>
        <v>3.6224999999999996</v>
      </c>
      <c r="AQ6" t="str">
        <f t="shared" si="9"/>
        <v>1_2</v>
      </c>
      <c r="AR6">
        <f t="shared" si="10"/>
        <v>3.625</v>
      </c>
      <c r="AS6">
        <f t="shared" si="11"/>
        <v>3.625</v>
      </c>
      <c r="AT6">
        <f t="shared" si="12"/>
        <v>6.75</v>
      </c>
      <c r="AU6">
        <f t="shared" si="13"/>
        <v>6.75</v>
      </c>
      <c r="AV6">
        <f t="shared" si="14"/>
        <v>3.6224999999999996</v>
      </c>
    </row>
    <row r="7" spans="1:48">
      <c r="A7">
        <v>2</v>
      </c>
      <c r="B7" t="s">
        <v>10</v>
      </c>
      <c r="C7" t="s">
        <v>10</v>
      </c>
      <c r="D7" t="str">
        <f t="shared" si="1"/>
        <v>2</v>
      </c>
      <c r="E7" t="s">
        <v>10</v>
      </c>
      <c r="F7" t="s">
        <v>10</v>
      </c>
      <c r="G7" t="s">
        <v>10</v>
      </c>
      <c r="H7" t="s">
        <v>10</v>
      </c>
      <c r="I7" t="s">
        <v>10</v>
      </c>
      <c r="L7">
        <v>0</v>
      </c>
      <c r="M7" t="s">
        <v>11</v>
      </c>
      <c r="N7" t="s">
        <v>11</v>
      </c>
      <c r="O7" t="s">
        <v>11</v>
      </c>
      <c r="P7" t="s">
        <v>11</v>
      </c>
      <c r="Q7">
        <v>1</v>
      </c>
      <c r="R7" t="s">
        <v>30</v>
      </c>
      <c r="AI7">
        <f t="shared" si="2"/>
        <v>0</v>
      </c>
      <c r="AJ7">
        <f t="shared" si="3"/>
        <v>0</v>
      </c>
      <c r="AK7">
        <f t="shared" si="4"/>
        <v>0</v>
      </c>
      <c r="AL7">
        <f t="shared" si="5"/>
        <v>0</v>
      </c>
      <c r="AM7">
        <f t="shared" si="6"/>
        <v>0</v>
      </c>
      <c r="AN7">
        <f t="shared" si="7"/>
        <v>0</v>
      </c>
      <c r="AO7">
        <f t="shared" si="8"/>
        <v>0</v>
      </c>
      <c r="AQ7" t="str">
        <f t="shared" si="9"/>
        <v>2</v>
      </c>
      <c r="AR7" t="str">
        <f t="shared" si="10"/>
        <v/>
      </c>
      <c r="AS7">
        <f t="shared" si="11"/>
        <v>0</v>
      </c>
      <c r="AT7" t="str">
        <f t="shared" si="12"/>
        <v/>
      </c>
      <c r="AU7">
        <f t="shared" si="13"/>
        <v>0</v>
      </c>
      <c r="AV7">
        <f t="shared" si="14"/>
        <v>0</v>
      </c>
    </row>
    <row r="8" spans="1:48">
      <c r="A8">
        <v>2</v>
      </c>
      <c r="B8">
        <v>1</v>
      </c>
      <c r="C8" t="s">
        <v>10</v>
      </c>
      <c r="D8" t="str">
        <f t="shared" si="1"/>
        <v>2_1</v>
      </c>
      <c r="E8">
        <v>0</v>
      </c>
      <c r="F8">
        <v>1</v>
      </c>
      <c r="G8">
        <v>3.375</v>
      </c>
      <c r="H8">
        <v>2.875</v>
      </c>
      <c r="I8">
        <v>0.5</v>
      </c>
      <c r="J8">
        <v>1.8225000000000002</v>
      </c>
      <c r="K8">
        <v>1.5524999999999998</v>
      </c>
      <c r="L8">
        <v>7.75</v>
      </c>
      <c r="M8" t="s">
        <v>31</v>
      </c>
      <c r="N8" t="s">
        <v>32</v>
      </c>
      <c r="O8" t="s">
        <v>32</v>
      </c>
      <c r="P8" t="s">
        <v>33</v>
      </c>
      <c r="Q8">
        <v>1</v>
      </c>
      <c r="S8">
        <v>1.8225000000000002</v>
      </c>
      <c r="T8">
        <v>1.5524999999999998</v>
      </c>
      <c r="U8">
        <v>0</v>
      </c>
      <c r="V8">
        <v>0</v>
      </c>
      <c r="W8">
        <v>0</v>
      </c>
      <c r="X8">
        <v>0.36450000000000005</v>
      </c>
      <c r="Y8">
        <v>0.36450000000000005</v>
      </c>
      <c r="Z8">
        <v>0</v>
      </c>
      <c r="AA8">
        <v>1.5524999999999998</v>
      </c>
      <c r="AI8">
        <f t="shared" si="2"/>
        <v>0</v>
      </c>
      <c r="AJ8">
        <f t="shared" si="3"/>
        <v>0</v>
      </c>
      <c r="AK8">
        <f t="shared" si="4"/>
        <v>0</v>
      </c>
      <c r="AL8">
        <f t="shared" si="5"/>
        <v>0.36450000000000005</v>
      </c>
      <c r="AM8">
        <f t="shared" si="6"/>
        <v>0.36450000000000005</v>
      </c>
      <c r="AN8">
        <f t="shared" si="7"/>
        <v>0</v>
      </c>
      <c r="AO8">
        <f t="shared" si="8"/>
        <v>1.5524999999999998</v>
      </c>
      <c r="AQ8" t="str">
        <f t="shared" si="9"/>
        <v>2_1</v>
      </c>
      <c r="AR8">
        <f t="shared" si="10"/>
        <v>1</v>
      </c>
      <c r="AS8">
        <f t="shared" si="11"/>
        <v>0</v>
      </c>
      <c r="AT8">
        <f t="shared" si="12"/>
        <v>3.375</v>
      </c>
      <c r="AU8">
        <f t="shared" si="13"/>
        <v>0</v>
      </c>
      <c r="AV8">
        <f t="shared" si="14"/>
        <v>1.5524999999999998</v>
      </c>
    </row>
    <row r="9" spans="1:48">
      <c r="A9">
        <v>2</v>
      </c>
      <c r="B9">
        <v>2</v>
      </c>
      <c r="C9" t="s">
        <v>10</v>
      </c>
      <c r="D9" t="str">
        <f t="shared" si="1"/>
        <v>2_2</v>
      </c>
      <c r="E9">
        <v>0</v>
      </c>
      <c r="F9">
        <v>1</v>
      </c>
      <c r="G9">
        <v>3.375</v>
      </c>
      <c r="H9">
        <v>2.875</v>
      </c>
      <c r="I9">
        <v>0.5</v>
      </c>
      <c r="J9">
        <v>1.8225000000000002</v>
      </c>
      <c r="K9">
        <v>1.5524999999999998</v>
      </c>
      <c r="L9">
        <v>7.75</v>
      </c>
      <c r="M9" t="s">
        <v>31</v>
      </c>
      <c r="N9" t="s">
        <v>11</v>
      </c>
      <c r="O9" t="s">
        <v>11</v>
      </c>
      <c r="P9" t="s">
        <v>11</v>
      </c>
      <c r="Q9" t="s">
        <v>34</v>
      </c>
      <c r="S9">
        <v>1.8225000000000002</v>
      </c>
      <c r="T9">
        <v>1.5524999999999998</v>
      </c>
      <c r="AB9">
        <v>1</v>
      </c>
      <c r="AD9">
        <v>0.2</v>
      </c>
      <c r="AE9">
        <v>1.8225000000000002</v>
      </c>
      <c r="AF9">
        <v>0.36450000000000005</v>
      </c>
      <c r="AG9">
        <v>3.375</v>
      </c>
      <c r="AH9">
        <v>1.5524999999999998</v>
      </c>
      <c r="AI9">
        <f t="shared" si="2"/>
        <v>1</v>
      </c>
      <c r="AJ9">
        <f t="shared" si="3"/>
        <v>0</v>
      </c>
      <c r="AK9">
        <f t="shared" si="4"/>
        <v>0.2</v>
      </c>
      <c r="AL9">
        <f t="shared" si="5"/>
        <v>1.8225000000000002</v>
      </c>
      <c r="AM9">
        <f t="shared" si="6"/>
        <v>0.36450000000000005</v>
      </c>
      <c r="AN9">
        <f t="shared" si="7"/>
        <v>3.375</v>
      </c>
      <c r="AO9">
        <f t="shared" si="8"/>
        <v>1.5524999999999998</v>
      </c>
      <c r="AQ9" t="str">
        <f t="shared" si="9"/>
        <v>2_2</v>
      </c>
      <c r="AR9">
        <f t="shared" si="10"/>
        <v>1</v>
      </c>
      <c r="AS9">
        <f t="shared" si="11"/>
        <v>1</v>
      </c>
      <c r="AT9">
        <f t="shared" si="12"/>
        <v>3.375</v>
      </c>
      <c r="AU9">
        <f t="shared" si="13"/>
        <v>3.375</v>
      </c>
      <c r="AV9">
        <f t="shared" si="14"/>
        <v>1.5524999999999998</v>
      </c>
    </row>
    <row r="10" spans="1:48">
      <c r="A10">
        <v>3</v>
      </c>
      <c r="B10" t="s">
        <v>10</v>
      </c>
      <c r="C10" t="s">
        <v>10</v>
      </c>
      <c r="D10" t="str">
        <f t="shared" si="1"/>
        <v>3</v>
      </c>
      <c r="E10" t="s">
        <v>10</v>
      </c>
      <c r="F10" t="s">
        <v>10</v>
      </c>
      <c r="G10" t="s">
        <v>10</v>
      </c>
      <c r="H10" t="s">
        <v>10</v>
      </c>
      <c r="I10" t="s">
        <v>10</v>
      </c>
      <c r="L10">
        <v>0</v>
      </c>
      <c r="M10" t="s">
        <v>11</v>
      </c>
      <c r="N10" t="s">
        <v>11</v>
      </c>
      <c r="O10" t="s">
        <v>11</v>
      </c>
      <c r="P10" t="s">
        <v>11</v>
      </c>
      <c r="Q10">
        <v>4</v>
      </c>
      <c r="R10" t="s">
        <v>35</v>
      </c>
      <c r="AI10">
        <f t="shared" si="2"/>
        <v>0</v>
      </c>
      <c r="AJ10">
        <f t="shared" si="3"/>
        <v>0</v>
      </c>
      <c r="AK10">
        <f t="shared" si="4"/>
        <v>0</v>
      </c>
      <c r="AL10">
        <f t="shared" si="5"/>
        <v>0</v>
      </c>
      <c r="AM10">
        <f t="shared" si="6"/>
        <v>0</v>
      </c>
      <c r="AN10">
        <f t="shared" si="7"/>
        <v>0</v>
      </c>
      <c r="AO10">
        <f t="shared" si="8"/>
        <v>0</v>
      </c>
      <c r="AQ10" t="str">
        <f t="shared" si="9"/>
        <v>3</v>
      </c>
      <c r="AR10" t="str">
        <f t="shared" si="10"/>
        <v/>
      </c>
      <c r="AS10">
        <f t="shared" si="11"/>
        <v>0</v>
      </c>
      <c r="AT10" t="str">
        <f t="shared" si="12"/>
        <v/>
      </c>
      <c r="AU10">
        <f t="shared" si="13"/>
        <v>0</v>
      </c>
      <c r="AV10">
        <f t="shared" si="14"/>
        <v>0</v>
      </c>
    </row>
    <row r="11" spans="1:48">
      <c r="A11">
        <v>3</v>
      </c>
      <c r="B11">
        <v>1</v>
      </c>
      <c r="C11" t="s">
        <v>10</v>
      </c>
      <c r="D11" t="str">
        <f t="shared" si="1"/>
        <v>3_1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11</v>
      </c>
      <c r="N11" t="s">
        <v>11</v>
      </c>
      <c r="O11" t="s">
        <v>11</v>
      </c>
      <c r="P11" t="s">
        <v>11</v>
      </c>
      <c r="Q11" t="s">
        <v>11</v>
      </c>
      <c r="S11">
        <v>0</v>
      </c>
      <c r="T11">
        <v>0</v>
      </c>
      <c r="AI11">
        <f t="shared" si="2"/>
        <v>0</v>
      </c>
      <c r="AJ11">
        <f t="shared" si="3"/>
        <v>0</v>
      </c>
      <c r="AK11">
        <f t="shared" si="4"/>
        <v>0</v>
      </c>
      <c r="AL11">
        <f t="shared" si="5"/>
        <v>0</v>
      </c>
      <c r="AM11">
        <f t="shared" si="6"/>
        <v>0</v>
      </c>
      <c r="AN11">
        <f t="shared" si="7"/>
        <v>0</v>
      </c>
      <c r="AO11">
        <f t="shared" si="8"/>
        <v>0</v>
      </c>
      <c r="AQ11" t="str">
        <f t="shared" si="9"/>
        <v>3_1</v>
      </c>
      <c r="AR11">
        <f t="shared" si="10"/>
        <v>0</v>
      </c>
      <c r="AS11">
        <f t="shared" si="11"/>
        <v>0</v>
      </c>
      <c r="AT11">
        <f t="shared" si="12"/>
        <v>0</v>
      </c>
      <c r="AU11">
        <f t="shared" si="13"/>
        <v>0</v>
      </c>
      <c r="AV11">
        <f t="shared" si="14"/>
        <v>0</v>
      </c>
    </row>
    <row r="12" spans="1:48">
      <c r="A12">
        <v>3</v>
      </c>
      <c r="B12">
        <v>2</v>
      </c>
      <c r="C12" t="s">
        <v>10</v>
      </c>
      <c r="D12" t="str">
        <f t="shared" si="1"/>
        <v>3_2</v>
      </c>
      <c r="E12">
        <v>0</v>
      </c>
      <c r="F12">
        <v>0.625</v>
      </c>
      <c r="G12">
        <v>0</v>
      </c>
      <c r="H12">
        <v>1.125</v>
      </c>
      <c r="I12">
        <v>0.25</v>
      </c>
      <c r="J12">
        <v>0</v>
      </c>
      <c r="K12">
        <v>0</v>
      </c>
      <c r="L12">
        <v>2</v>
      </c>
      <c r="M12" t="s">
        <v>31</v>
      </c>
      <c r="N12" t="s">
        <v>36</v>
      </c>
      <c r="O12" t="s">
        <v>36</v>
      </c>
      <c r="P12" t="s">
        <v>36</v>
      </c>
      <c r="Q12">
        <v>4</v>
      </c>
      <c r="S12">
        <v>0.74250000000000005</v>
      </c>
      <c r="T12">
        <v>0.63249999999999995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I12">
        <f t="shared" si="2"/>
        <v>0</v>
      </c>
      <c r="AJ12">
        <f t="shared" si="3"/>
        <v>0</v>
      </c>
      <c r="AK12">
        <f t="shared" si="4"/>
        <v>0</v>
      </c>
      <c r="AL12">
        <f t="shared" si="5"/>
        <v>0</v>
      </c>
      <c r="AM12">
        <f t="shared" si="6"/>
        <v>0</v>
      </c>
      <c r="AN12">
        <f t="shared" si="7"/>
        <v>0</v>
      </c>
      <c r="AO12">
        <f t="shared" si="8"/>
        <v>0</v>
      </c>
      <c r="AQ12" t="str">
        <f t="shared" si="9"/>
        <v>3_2</v>
      </c>
      <c r="AR12">
        <f t="shared" si="10"/>
        <v>0.625</v>
      </c>
      <c r="AS12">
        <f t="shared" si="11"/>
        <v>0</v>
      </c>
      <c r="AT12">
        <f t="shared" si="12"/>
        <v>0</v>
      </c>
      <c r="AU12">
        <f t="shared" si="13"/>
        <v>0</v>
      </c>
      <c r="AV12">
        <f t="shared" si="14"/>
        <v>0</v>
      </c>
    </row>
    <row r="13" spans="1:48">
      <c r="A13">
        <v>4</v>
      </c>
      <c r="B13" t="s">
        <v>10</v>
      </c>
      <c r="C13" t="s">
        <v>10</v>
      </c>
      <c r="D13" t="str">
        <f t="shared" si="1"/>
        <v>4</v>
      </c>
      <c r="E13" t="s">
        <v>10</v>
      </c>
      <c r="F13" t="s">
        <v>10</v>
      </c>
      <c r="G13" t="s">
        <v>10</v>
      </c>
      <c r="H13" t="s">
        <v>10</v>
      </c>
      <c r="I13" t="s">
        <v>10</v>
      </c>
      <c r="L13">
        <v>0</v>
      </c>
      <c r="M13" t="s">
        <v>11</v>
      </c>
      <c r="N13" t="s">
        <v>11</v>
      </c>
      <c r="O13" t="s">
        <v>11</v>
      </c>
      <c r="P13" t="s">
        <v>11</v>
      </c>
      <c r="Q13">
        <v>52</v>
      </c>
      <c r="R13" t="s">
        <v>35</v>
      </c>
      <c r="AI13">
        <f t="shared" si="2"/>
        <v>0</v>
      </c>
      <c r="AJ13">
        <f t="shared" si="3"/>
        <v>0</v>
      </c>
      <c r="AK13">
        <f t="shared" si="4"/>
        <v>0</v>
      </c>
      <c r="AL13">
        <f t="shared" si="5"/>
        <v>0</v>
      </c>
      <c r="AM13">
        <f t="shared" si="6"/>
        <v>0</v>
      </c>
      <c r="AN13">
        <f t="shared" si="7"/>
        <v>0</v>
      </c>
      <c r="AO13">
        <f t="shared" si="8"/>
        <v>0</v>
      </c>
      <c r="AQ13" t="str">
        <f t="shared" si="9"/>
        <v>4</v>
      </c>
      <c r="AR13" t="str">
        <f t="shared" si="10"/>
        <v/>
      </c>
      <c r="AS13">
        <f t="shared" si="11"/>
        <v>0</v>
      </c>
      <c r="AT13" t="str">
        <f t="shared" si="12"/>
        <v/>
      </c>
      <c r="AU13">
        <f t="shared" si="13"/>
        <v>0</v>
      </c>
      <c r="AV13">
        <f t="shared" si="14"/>
        <v>0</v>
      </c>
    </row>
    <row r="14" spans="1:48">
      <c r="A14">
        <v>4</v>
      </c>
      <c r="B14">
        <v>1</v>
      </c>
      <c r="C14" t="s">
        <v>10</v>
      </c>
      <c r="D14" t="str">
        <f t="shared" si="1"/>
        <v>4_1</v>
      </c>
      <c r="E14">
        <v>0</v>
      </c>
      <c r="F14">
        <v>0.625</v>
      </c>
      <c r="G14">
        <v>1.125</v>
      </c>
      <c r="H14">
        <v>1.125</v>
      </c>
      <c r="I14">
        <v>0.25</v>
      </c>
      <c r="J14">
        <v>0.74250000000000005</v>
      </c>
      <c r="K14">
        <v>0.63249999999999995</v>
      </c>
      <c r="L14">
        <v>3.125</v>
      </c>
      <c r="M14" t="s">
        <v>31</v>
      </c>
      <c r="N14" t="s">
        <v>33</v>
      </c>
      <c r="O14" t="s">
        <v>37</v>
      </c>
      <c r="P14" t="s">
        <v>37</v>
      </c>
      <c r="Q14">
        <v>52</v>
      </c>
      <c r="S14">
        <v>0.74250000000000005</v>
      </c>
      <c r="T14">
        <v>0.63249999999999995</v>
      </c>
      <c r="U14">
        <v>0.125</v>
      </c>
      <c r="V14">
        <v>0</v>
      </c>
      <c r="W14">
        <v>0.125</v>
      </c>
      <c r="X14">
        <v>0.74250000000000005</v>
      </c>
      <c r="Y14">
        <v>0.14850000000000002</v>
      </c>
      <c r="Z14">
        <v>1.125</v>
      </c>
      <c r="AA14">
        <v>0.63249999999999995</v>
      </c>
      <c r="AI14">
        <f t="shared" si="2"/>
        <v>0.125</v>
      </c>
      <c r="AJ14">
        <f t="shared" si="3"/>
        <v>0</v>
      </c>
      <c r="AK14">
        <f t="shared" si="4"/>
        <v>0.125</v>
      </c>
      <c r="AL14">
        <f t="shared" si="5"/>
        <v>0.74250000000000005</v>
      </c>
      <c r="AM14">
        <f t="shared" si="6"/>
        <v>0.14850000000000002</v>
      </c>
      <c r="AN14">
        <f t="shared" si="7"/>
        <v>1.125</v>
      </c>
      <c r="AO14">
        <f t="shared" si="8"/>
        <v>0.63249999999999995</v>
      </c>
      <c r="AQ14" t="str">
        <f t="shared" si="9"/>
        <v>4_1</v>
      </c>
      <c r="AR14">
        <f t="shared" si="10"/>
        <v>0.625</v>
      </c>
      <c r="AS14">
        <f t="shared" si="11"/>
        <v>0.125</v>
      </c>
      <c r="AT14">
        <f t="shared" si="12"/>
        <v>1.125</v>
      </c>
      <c r="AU14">
        <f t="shared" si="13"/>
        <v>1.125</v>
      </c>
      <c r="AV14">
        <f t="shared" si="14"/>
        <v>0.63249999999999995</v>
      </c>
    </row>
    <row r="15" spans="1:48">
      <c r="A15">
        <v>4</v>
      </c>
      <c r="B15">
        <v>2</v>
      </c>
      <c r="C15">
        <v>1</v>
      </c>
      <c r="D15" t="str">
        <f t="shared" si="1"/>
        <v>4_2_1</v>
      </c>
      <c r="E15">
        <v>0</v>
      </c>
      <c r="F15">
        <v>0.5</v>
      </c>
      <c r="G15">
        <v>0</v>
      </c>
      <c r="H15">
        <v>0.875</v>
      </c>
      <c r="I15">
        <v>0.25</v>
      </c>
      <c r="J15">
        <v>0.60750000000000004</v>
      </c>
      <c r="K15">
        <v>0.51749999999999996</v>
      </c>
      <c r="L15">
        <v>1.625</v>
      </c>
      <c r="M15" t="s">
        <v>31</v>
      </c>
      <c r="N15" t="s">
        <v>33</v>
      </c>
      <c r="O15" t="s">
        <v>37</v>
      </c>
      <c r="P15" t="s">
        <v>37</v>
      </c>
      <c r="Q15">
        <v>52</v>
      </c>
      <c r="S15">
        <v>0.60750000000000004</v>
      </c>
      <c r="T15">
        <v>0.51749999999999996</v>
      </c>
      <c r="U15">
        <v>0.1</v>
      </c>
      <c r="V15">
        <v>0</v>
      </c>
      <c r="W15">
        <v>0.1</v>
      </c>
      <c r="X15">
        <v>0.60750000000000004</v>
      </c>
      <c r="Y15">
        <v>0.12150000000000001</v>
      </c>
      <c r="Z15">
        <v>0</v>
      </c>
      <c r="AA15">
        <v>0.51749999999999996</v>
      </c>
      <c r="AI15">
        <f t="shared" si="2"/>
        <v>0.1</v>
      </c>
      <c r="AJ15">
        <f t="shared" si="3"/>
        <v>0</v>
      </c>
      <c r="AK15">
        <f t="shared" si="4"/>
        <v>0.1</v>
      </c>
      <c r="AL15">
        <f t="shared" si="5"/>
        <v>0.60750000000000004</v>
      </c>
      <c r="AM15">
        <f t="shared" si="6"/>
        <v>0.12150000000000001</v>
      </c>
      <c r="AN15">
        <f t="shared" si="7"/>
        <v>0</v>
      </c>
      <c r="AO15">
        <f t="shared" si="8"/>
        <v>0.51749999999999996</v>
      </c>
      <c r="AQ15" t="str">
        <f t="shared" si="9"/>
        <v>4_2_1</v>
      </c>
      <c r="AR15">
        <f t="shared" si="10"/>
        <v>0.5</v>
      </c>
      <c r="AS15">
        <f t="shared" si="11"/>
        <v>0.1</v>
      </c>
      <c r="AT15">
        <f t="shared" si="12"/>
        <v>0</v>
      </c>
      <c r="AU15">
        <f t="shared" si="13"/>
        <v>0</v>
      </c>
      <c r="AV15">
        <f t="shared" si="14"/>
        <v>0.51749999999999996</v>
      </c>
    </row>
    <row r="16" spans="1:48">
      <c r="A16">
        <v>4</v>
      </c>
      <c r="B16">
        <v>2</v>
      </c>
      <c r="C16">
        <v>2</v>
      </c>
      <c r="D16" t="str">
        <f t="shared" si="1"/>
        <v>4_2_2</v>
      </c>
      <c r="E16">
        <v>0</v>
      </c>
      <c r="F16">
        <v>0.5</v>
      </c>
      <c r="G16">
        <v>0.875</v>
      </c>
      <c r="H16">
        <v>0.875</v>
      </c>
      <c r="I16">
        <v>0.25</v>
      </c>
      <c r="J16">
        <v>0.60750000000000004</v>
      </c>
      <c r="K16">
        <v>0.51749999999999996</v>
      </c>
      <c r="L16">
        <v>2.5</v>
      </c>
      <c r="M16" t="s">
        <v>31</v>
      </c>
      <c r="N16" t="s">
        <v>33</v>
      </c>
      <c r="O16" t="s">
        <v>37</v>
      </c>
      <c r="P16" t="s">
        <v>37</v>
      </c>
      <c r="Q16">
        <v>52</v>
      </c>
      <c r="S16">
        <v>0.60750000000000004</v>
      </c>
      <c r="T16">
        <v>0.51749999999999996</v>
      </c>
      <c r="U16">
        <v>0.1</v>
      </c>
      <c r="V16">
        <v>0</v>
      </c>
      <c r="W16">
        <v>0.1</v>
      </c>
      <c r="X16">
        <v>0.60750000000000004</v>
      </c>
      <c r="Y16">
        <v>0.12150000000000001</v>
      </c>
      <c r="Z16">
        <v>0.875</v>
      </c>
      <c r="AA16">
        <v>0.51749999999999996</v>
      </c>
      <c r="AI16">
        <f t="shared" si="2"/>
        <v>0.1</v>
      </c>
      <c r="AJ16">
        <f t="shared" si="3"/>
        <v>0</v>
      </c>
      <c r="AK16">
        <f t="shared" si="4"/>
        <v>0.1</v>
      </c>
      <c r="AL16">
        <f t="shared" si="5"/>
        <v>0.60750000000000004</v>
      </c>
      <c r="AM16">
        <f t="shared" si="6"/>
        <v>0.12150000000000001</v>
      </c>
      <c r="AN16">
        <f t="shared" si="7"/>
        <v>0.875</v>
      </c>
      <c r="AO16">
        <f t="shared" si="8"/>
        <v>0.51749999999999996</v>
      </c>
      <c r="AQ16" t="str">
        <f t="shared" si="9"/>
        <v>4_2_2</v>
      </c>
      <c r="AR16">
        <f t="shared" si="10"/>
        <v>0.5</v>
      </c>
      <c r="AS16">
        <f t="shared" si="11"/>
        <v>0.1</v>
      </c>
      <c r="AT16">
        <f t="shared" si="12"/>
        <v>0.875</v>
      </c>
      <c r="AU16">
        <f t="shared" si="13"/>
        <v>0.875</v>
      </c>
      <c r="AV16">
        <f t="shared" si="14"/>
        <v>0.51749999999999996</v>
      </c>
    </row>
    <row r="17" spans="1:48">
      <c r="A17">
        <v>4</v>
      </c>
      <c r="B17">
        <v>2</v>
      </c>
      <c r="C17">
        <v>3</v>
      </c>
      <c r="D17" t="str">
        <f t="shared" si="1"/>
        <v>4_2_3</v>
      </c>
      <c r="E17">
        <v>0</v>
      </c>
      <c r="F17">
        <v>0.625</v>
      </c>
      <c r="G17">
        <v>1.125</v>
      </c>
      <c r="H17">
        <v>1.125</v>
      </c>
      <c r="I17">
        <v>0.25</v>
      </c>
      <c r="J17">
        <v>0.74250000000000005</v>
      </c>
      <c r="K17">
        <v>0.63249999999999995</v>
      </c>
      <c r="L17">
        <v>3.125</v>
      </c>
      <c r="M17" t="s">
        <v>31</v>
      </c>
      <c r="N17" t="s">
        <v>33</v>
      </c>
      <c r="O17" t="s">
        <v>37</v>
      </c>
      <c r="P17" t="s">
        <v>37</v>
      </c>
      <c r="Q17">
        <v>52</v>
      </c>
      <c r="S17">
        <v>0.74250000000000005</v>
      </c>
      <c r="T17">
        <v>0.63249999999999995</v>
      </c>
      <c r="U17">
        <v>0.125</v>
      </c>
      <c r="V17">
        <v>0</v>
      </c>
      <c r="W17">
        <v>0.125</v>
      </c>
      <c r="X17">
        <v>0.74250000000000005</v>
      </c>
      <c r="Y17">
        <v>0.14850000000000002</v>
      </c>
      <c r="Z17">
        <v>1.125</v>
      </c>
      <c r="AA17">
        <v>0.63249999999999995</v>
      </c>
      <c r="AI17">
        <f t="shared" si="2"/>
        <v>0.125</v>
      </c>
      <c r="AJ17">
        <f t="shared" si="3"/>
        <v>0</v>
      </c>
      <c r="AK17">
        <f t="shared" si="4"/>
        <v>0.125</v>
      </c>
      <c r="AL17">
        <f t="shared" si="5"/>
        <v>0.74250000000000005</v>
      </c>
      <c r="AM17">
        <f t="shared" si="6"/>
        <v>0.14850000000000002</v>
      </c>
      <c r="AN17">
        <f t="shared" si="7"/>
        <v>1.125</v>
      </c>
      <c r="AO17">
        <f t="shared" si="8"/>
        <v>0.63249999999999995</v>
      </c>
      <c r="AQ17" t="str">
        <f t="shared" si="9"/>
        <v>4_2_3</v>
      </c>
      <c r="AR17">
        <f t="shared" si="10"/>
        <v>0.625</v>
      </c>
      <c r="AS17">
        <f t="shared" si="11"/>
        <v>0.125</v>
      </c>
      <c r="AT17">
        <f t="shared" si="12"/>
        <v>1.125</v>
      </c>
      <c r="AU17">
        <f t="shared" si="13"/>
        <v>1.125</v>
      </c>
      <c r="AV17">
        <f t="shared" si="14"/>
        <v>0.63249999999999995</v>
      </c>
    </row>
    <row r="18" spans="1:48">
      <c r="A18">
        <v>4</v>
      </c>
      <c r="B18">
        <v>3</v>
      </c>
      <c r="D18" t="str">
        <f t="shared" si="1"/>
        <v>4_3</v>
      </c>
      <c r="E18">
        <v>0</v>
      </c>
      <c r="F18">
        <v>0</v>
      </c>
      <c r="G18">
        <v>0</v>
      </c>
      <c r="H18">
        <v>0.875</v>
      </c>
      <c r="I18">
        <v>0.25</v>
      </c>
      <c r="J18">
        <v>0.60750000000000004</v>
      </c>
      <c r="K18">
        <v>0.51749999999999996</v>
      </c>
      <c r="L18">
        <v>1.125</v>
      </c>
      <c r="M18" t="s">
        <v>31</v>
      </c>
      <c r="N18" t="s">
        <v>36</v>
      </c>
      <c r="O18" t="s">
        <v>36</v>
      </c>
      <c r="P18" t="s">
        <v>33</v>
      </c>
      <c r="Q18">
        <v>52</v>
      </c>
      <c r="S18">
        <v>0.60750000000000004</v>
      </c>
      <c r="T18">
        <v>0.51749999999999996</v>
      </c>
      <c r="U18">
        <v>0</v>
      </c>
      <c r="V18">
        <v>0</v>
      </c>
      <c r="W18">
        <v>0</v>
      </c>
      <c r="X18">
        <v>0.12150000000000001</v>
      </c>
      <c r="Y18">
        <v>0.12150000000000001</v>
      </c>
      <c r="Z18">
        <v>0</v>
      </c>
      <c r="AA18">
        <v>0.51749999999999996</v>
      </c>
      <c r="AI18">
        <f t="shared" si="2"/>
        <v>0</v>
      </c>
      <c r="AJ18">
        <f t="shared" si="3"/>
        <v>0</v>
      </c>
      <c r="AK18">
        <f t="shared" si="4"/>
        <v>0</v>
      </c>
      <c r="AL18">
        <f t="shared" si="5"/>
        <v>0.12150000000000001</v>
      </c>
      <c r="AM18">
        <f t="shared" si="6"/>
        <v>0.12150000000000001</v>
      </c>
      <c r="AN18">
        <f t="shared" si="7"/>
        <v>0</v>
      </c>
      <c r="AO18">
        <f t="shared" si="8"/>
        <v>0.51749999999999996</v>
      </c>
      <c r="AQ18" t="str">
        <f t="shared" si="9"/>
        <v>4_3</v>
      </c>
      <c r="AR18">
        <f t="shared" si="10"/>
        <v>0</v>
      </c>
      <c r="AS18">
        <f t="shared" si="11"/>
        <v>0</v>
      </c>
      <c r="AT18">
        <f t="shared" si="12"/>
        <v>0</v>
      </c>
      <c r="AU18">
        <f t="shared" si="13"/>
        <v>0</v>
      </c>
      <c r="AV18">
        <f t="shared" si="14"/>
        <v>0.51749999999999996</v>
      </c>
    </row>
    <row r="19" spans="1:48">
      <c r="A19">
        <v>4</v>
      </c>
      <c r="B19">
        <v>4</v>
      </c>
      <c r="D19" t="str">
        <f t="shared" si="1"/>
        <v>4_4</v>
      </c>
      <c r="E19">
        <v>0</v>
      </c>
      <c r="F19">
        <v>0</v>
      </c>
      <c r="G19">
        <v>0</v>
      </c>
      <c r="H19">
        <v>0.875</v>
      </c>
      <c r="I19">
        <v>0.25</v>
      </c>
      <c r="J19">
        <v>0.60750000000000004</v>
      </c>
      <c r="K19">
        <v>0.51749999999999996</v>
      </c>
      <c r="L19">
        <v>1.125</v>
      </c>
      <c r="M19" t="s">
        <v>31</v>
      </c>
      <c r="N19" t="s">
        <v>36</v>
      </c>
      <c r="O19" t="s">
        <v>36</v>
      </c>
      <c r="P19" t="s">
        <v>33</v>
      </c>
      <c r="Q19">
        <v>52</v>
      </c>
      <c r="S19">
        <v>0.60750000000000004</v>
      </c>
      <c r="T19">
        <v>0.51749999999999996</v>
      </c>
      <c r="U19">
        <v>0</v>
      </c>
      <c r="V19">
        <v>0</v>
      </c>
      <c r="W19">
        <v>0</v>
      </c>
      <c r="X19">
        <v>0.12150000000000001</v>
      </c>
      <c r="Y19">
        <v>0.12150000000000001</v>
      </c>
      <c r="Z19">
        <v>0</v>
      </c>
      <c r="AA19">
        <v>0.51749999999999996</v>
      </c>
      <c r="AI19">
        <f t="shared" si="2"/>
        <v>0</v>
      </c>
      <c r="AJ19">
        <f t="shared" si="3"/>
        <v>0</v>
      </c>
      <c r="AK19">
        <f t="shared" si="4"/>
        <v>0</v>
      </c>
      <c r="AL19">
        <f t="shared" si="5"/>
        <v>0.12150000000000001</v>
      </c>
      <c r="AM19">
        <f t="shared" si="6"/>
        <v>0.12150000000000001</v>
      </c>
      <c r="AN19">
        <f t="shared" si="7"/>
        <v>0</v>
      </c>
      <c r="AO19">
        <f t="shared" si="8"/>
        <v>0.51749999999999996</v>
      </c>
      <c r="AQ19" t="str">
        <f t="shared" si="9"/>
        <v>4_4</v>
      </c>
      <c r="AR19">
        <f t="shared" si="10"/>
        <v>0</v>
      </c>
      <c r="AS19">
        <f t="shared" si="11"/>
        <v>0</v>
      </c>
      <c r="AT19">
        <f t="shared" si="12"/>
        <v>0</v>
      </c>
      <c r="AU19">
        <f t="shared" si="13"/>
        <v>0</v>
      </c>
      <c r="AV19">
        <f t="shared" si="14"/>
        <v>0.51749999999999996</v>
      </c>
    </row>
    <row r="20" spans="1:48">
      <c r="A20">
        <v>5</v>
      </c>
      <c r="B20" t="s">
        <v>10</v>
      </c>
      <c r="C20" t="s">
        <v>10</v>
      </c>
      <c r="D20" t="str">
        <f t="shared" si="1"/>
        <v>5</v>
      </c>
      <c r="L20">
        <v>0</v>
      </c>
      <c r="M20" t="s">
        <v>11</v>
      </c>
      <c r="N20" t="s">
        <v>11</v>
      </c>
      <c r="O20" t="s">
        <v>11</v>
      </c>
      <c r="P20" t="s">
        <v>11</v>
      </c>
      <c r="Q20">
        <v>6</v>
      </c>
      <c r="R20" t="s">
        <v>35</v>
      </c>
      <c r="S20">
        <v>0</v>
      </c>
      <c r="T20">
        <v>0</v>
      </c>
      <c r="AI20">
        <f t="shared" si="2"/>
        <v>0</v>
      </c>
      <c r="AJ20">
        <f t="shared" si="3"/>
        <v>0</v>
      </c>
      <c r="AK20">
        <f t="shared" si="4"/>
        <v>0</v>
      </c>
      <c r="AL20">
        <f t="shared" si="5"/>
        <v>0</v>
      </c>
      <c r="AM20">
        <f t="shared" si="6"/>
        <v>0</v>
      </c>
      <c r="AN20">
        <f t="shared" si="7"/>
        <v>0</v>
      </c>
      <c r="AO20">
        <f t="shared" si="8"/>
        <v>0</v>
      </c>
      <c r="AQ20" t="str">
        <f t="shared" si="9"/>
        <v>5</v>
      </c>
      <c r="AR20">
        <f t="shared" si="10"/>
        <v>0</v>
      </c>
      <c r="AS20">
        <f t="shared" si="11"/>
        <v>0</v>
      </c>
      <c r="AT20">
        <f t="shared" si="12"/>
        <v>0</v>
      </c>
      <c r="AU20">
        <f t="shared" si="13"/>
        <v>0</v>
      </c>
      <c r="AV20">
        <f t="shared" si="14"/>
        <v>0</v>
      </c>
    </row>
    <row r="21" spans="1:48">
      <c r="A21">
        <v>5</v>
      </c>
      <c r="B21">
        <v>1</v>
      </c>
      <c r="C21" t="s">
        <v>10</v>
      </c>
      <c r="D21" t="str">
        <f t="shared" si="1"/>
        <v>5_1</v>
      </c>
      <c r="E21">
        <v>0</v>
      </c>
      <c r="F21">
        <v>0.5</v>
      </c>
      <c r="G21">
        <v>0.875</v>
      </c>
      <c r="H21">
        <v>0.875</v>
      </c>
      <c r="I21">
        <v>0.25</v>
      </c>
      <c r="J21">
        <v>0.60750000000000004</v>
      </c>
      <c r="K21">
        <v>0.51749999999999996</v>
      </c>
      <c r="L21">
        <v>2.5</v>
      </c>
      <c r="M21" t="s">
        <v>31</v>
      </c>
      <c r="N21" t="s">
        <v>33</v>
      </c>
      <c r="O21" t="s">
        <v>37</v>
      </c>
      <c r="P21" t="s">
        <v>33</v>
      </c>
      <c r="Q21">
        <v>6</v>
      </c>
      <c r="S21">
        <v>0.60750000000000004</v>
      </c>
      <c r="T21">
        <v>0.51749999999999996</v>
      </c>
      <c r="U21">
        <v>0.1</v>
      </c>
      <c r="V21">
        <v>0</v>
      </c>
      <c r="W21">
        <v>0.1</v>
      </c>
      <c r="X21">
        <v>0.12150000000000001</v>
      </c>
      <c r="Y21">
        <v>0.12150000000000001</v>
      </c>
      <c r="Z21">
        <v>0.875</v>
      </c>
      <c r="AA21">
        <v>0.51749999999999996</v>
      </c>
      <c r="AI21">
        <f t="shared" si="2"/>
        <v>0.1</v>
      </c>
      <c r="AJ21">
        <f t="shared" si="3"/>
        <v>0</v>
      </c>
      <c r="AK21">
        <f t="shared" si="4"/>
        <v>0.1</v>
      </c>
      <c r="AL21">
        <f t="shared" si="5"/>
        <v>0.12150000000000001</v>
      </c>
      <c r="AM21">
        <f t="shared" si="6"/>
        <v>0.12150000000000001</v>
      </c>
      <c r="AN21">
        <f t="shared" si="7"/>
        <v>0.875</v>
      </c>
      <c r="AO21">
        <f t="shared" si="8"/>
        <v>0.51749999999999996</v>
      </c>
      <c r="AQ21" t="str">
        <f t="shared" si="9"/>
        <v>5_1</v>
      </c>
      <c r="AR21">
        <f t="shared" si="10"/>
        <v>0.5</v>
      </c>
      <c r="AS21">
        <f t="shared" si="11"/>
        <v>0.1</v>
      </c>
      <c r="AT21">
        <f t="shared" si="12"/>
        <v>0.875</v>
      </c>
      <c r="AU21">
        <f t="shared" si="13"/>
        <v>0.875</v>
      </c>
      <c r="AV21">
        <f t="shared" si="14"/>
        <v>0.51749999999999996</v>
      </c>
    </row>
    <row r="22" spans="1:48">
      <c r="A22">
        <v>5</v>
      </c>
      <c r="B22">
        <v>2</v>
      </c>
      <c r="C22" t="s">
        <v>10</v>
      </c>
      <c r="D22" t="str">
        <f t="shared" si="1"/>
        <v>5_2</v>
      </c>
      <c r="E22">
        <v>0</v>
      </c>
      <c r="F22">
        <v>0.375</v>
      </c>
      <c r="G22">
        <v>0</v>
      </c>
      <c r="H22">
        <v>0.625</v>
      </c>
      <c r="I22">
        <v>0.125</v>
      </c>
      <c r="J22">
        <v>0.40500000000000003</v>
      </c>
      <c r="K22">
        <v>0.34499999999999997</v>
      </c>
      <c r="L22">
        <v>1.125</v>
      </c>
      <c r="M22" t="s">
        <v>31</v>
      </c>
      <c r="N22" t="s">
        <v>33</v>
      </c>
      <c r="O22" t="s">
        <v>37</v>
      </c>
      <c r="P22" t="s">
        <v>33</v>
      </c>
      <c r="Q22">
        <v>6</v>
      </c>
      <c r="S22">
        <v>0.40500000000000003</v>
      </c>
      <c r="T22">
        <v>0.34499999999999997</v>
      </c>
      <c r="U22">
        <v>7.5000000000000011E-2</v>
      </c>
      <c r="V22">
        <v>0</v>
      </c>
      <c r="W22">
        <v>7.5000000000000011E-2</v>
      </c>
      <c r="X22">
        <v>8.1000000000000016E-2</v>
      </c>
      <c r="Y22">
        <v>8.1000000000000016E-2</v>
      </c>
      <c r="Z22">
        <v>0</v>
      </c>
      <c r="AA22">
        <v>0.34499999999999997</v>
      </c>
      <c r="AI22">
        <f t="shared" si="2"/>
        <v>7.5000000000000011E-2</v>
      </c>
      <c r="AJ22">
        <f t="shared" si="3"/>
        <v>0</v>
      </c>
      <c r="AK22">
        <f t="shared" si="4"/>
        <v>7.5000000000000011E-2</v>
      </c>
      <c r="AL22">
        <f t="shared" si="5"/>
        <v>8.1000000000000016E-2</v>
      </c>
      <c r="AM22">
        <f t="shared" si="6"/>
        <v>8.1000000000000016E-2</v>
      </c>
      <c r="AN22">
        <f t="shared" si="7"/>
        <v>0</v>
      </c>
      <c r="AO22">
        <f t="shared" si="8"/>
        <v>0.34499999999999997</v>
      </c>
      <c r="AQ22" t="str">
        <f t="shared" si="9"/>
        <v>5_2</v>
      </c>
      <c r="AR22">
        <f t="shared" si="10"/>
        <v>0.375</v>
      </c>
      <c r="AS22">
        <f t="shared" si="11"/>
        <v>7.5000000000000011E-2</v>
      </c>
      <c r="AT22">
        <f t="shared" si="12"/>
        <v>0</v>
      </c>
      <c r="AU22">
        <f t="shared" si="13"/>
        <v>0</v>
      </c>
      <c r="AV22">
        <f t="shared" si="14"/>
        <v>0.34499999999999997</v>
      </c>
    </row>
    <row r="23" spans="1:48">
      <c r="A23">
        <v>5</v>
      </c>
      <c r="B23">
        <v>3</v>
      </c>
      <c r="C23" t="s">
        <v>10</v>
      </c>
      <c r="D23" t="str">
        <f t="shared" si="1"/>
        <v>5_3</v>
      </c>
      <c r="E23">
        <v>0</v>
      </c>
      <c r="F23">
        <v>0.375</v>
      </c>
      <c r="G23">
        <v>0.625</v>
      </c>
      <c r="H23">
        <v>0.625</v>
      </c>
      <c r="I23">
        <v>0.125</v>
      </c>
      <c r="J23">
        <v>0.40500000000000003</v>
      </c>
      <c r="K23">
        <v>0.34499999999999997</v>
      </c>
      <c r="L23">
        <v>1.75</v>
      </c>
      <c r="M23" t="s">
        <v>31</v>
      </c>
      <c r="N23" t="s">
        <v>33</v>
      </c>
      <c r="O23" t="s">
        <v>37</v>
      </c>
      <c r="P23" t="s">
        <v>33</v>
      </c>
      <c r="Q23">
        <v>6</v>
      </c>
      <c r="S23">
        <v>0.40500000000000003</v>
      </c>
      <c r="T23">
        <v>0.34499999999999997</v>
      </c>
      <c r="U23">
        <v>7.5000000000000011E-2</v>
      </c>
      <c r="V23">
        <v>0</v>
      </c>
      <c r="W23">
        <v>7.5000000000000011E-2</v>
      </c>
      <c r="X23">
        <v>8.1000000000000016E-2</v>
      </c>
      <c r="Y23">
        <v>8.1000000000000016E-2</v>
      </c>
      <c r="Z23">
        <v>0.625</v>
      </c>
      <c r="AA23">
        <v>0.34499999999999997</v>
      </c>
      <c r="AI23">
        <f t="shared" si="2"/>
        <v>7.5000000000000011E-2</v>
      </c>
      <c r="AJ23">
        <f t="shared" si="3"/>
        <v>0</v>
      </c>
      <c r="AK23">
        <f t="shared" si="4"/>
        <v>7.5000000000000011E-2</v>
      </c>
      <c r="AL23">
        <f t="shared" si="5"/>
        <v>8.1000000000000016E-2</v>
      </c>
      <c r="AM23">
        <f t="shared" si="6"/>
        <v>8.1000000000000016E-2</v>
      </c>
      <c r="AN23">
        <f t="shared" si="7"/>
        <v>0.625</v>
      </c>
      <c r="AO23">
        <f t="shared" si="8"/>
        <v>0.34499999999999997</v>
      </c>
      <c r="AQ23" t="str">
        <f t="shared" si="9"/>
        <v>5_3</v>
      </c>
      <c r="AR23">
        <f t="shared" si="10"/>
        <v>0.375</v>
      </c>
      <c r="AS23">
        <f t="shared" si="11"/>
        <v>7.5000000000000011E-2</v>
      </c>
      <c r="AT23">
        <f t="shared" si="12"/>
        <v>0.625</v>
      </c>
      <c r="AU23">
        <f t="shared" si="13"/>
        <v>0.625</v>
      </c>
      <c r="AV23">
        <f t="shared" si="14"/>
        <v>0.34499999999999997</v>
      </c>
    </row>
    <row r="24" spans="1:48">
      <c r="A24">
        <v>5</v>
      </c>
      <c r="B24">
        <v>4</v>
      </c>
      <c r="D24" t="str">
        <f t="shared" si="1"/>
        <v>5_4</v>
      </c>
      <c r="E24">
        <v>0</v>
      </c>
      <c r="F24">
        <v>0</v>
      </c>
      <c r="G24">
        <v>0</v>
      </c>
      <c r="H24">
        <v>0.625</v>
      </c>
      <c r="I24">
        <v>0.125</v>
      </c>
      <c r="J24">
        <v>0.40500000000000003</v>
      </c>
      <c r="K24">
        <v>0.34499999999999997</v>
      </c>
      <c r="L24">
        <v>0.75</v>
      </c>
      <c r="M24" t="s">
        <v>31</v>
      </c>
      <c r="N24" t="s">
        <v>36</v>
      </c>
      <c r="O24" t="s">
        <v>36</v>
      </c>
      <c r="P24" t="s">
        <v>37</v>
      </c>
      <c r="Q24">
        <v>6</v>
      </c>
      <c r="S24">
        <v>0.40500000000000003</v>
      </c>
      <c r="T24">
        <v>0.34499999999999997</v>
      </c>
      <c r="U24">
        <v>0</v>
      </c>
      <c r="V24">
        <v>0</v>
      </c>
      <c r="W24">
        <v>0</v>
      </c>
      <c r="X24">
        <v>0.40500000000000003</v>
      </c>
      <c r="Y24">
        <v>8.1000000000000016E-2</v>
      </c>
      <c r="Z24">
        <v>0</v>
      </c>
      <c r="AA24">
        <v>0.34499999999999997</v>
      </c>
      <c r="AI24">
        <f t="shared" si="2"/>
        <v>0</v>
      </c>
      <c r="AJ24">
        <f t="shared" si="3"/>
        <v>0</v>
      </c>
      <c r="AK24">
        <f t="shared" si="4"/>
        <v>0</v>
      </c>
      <c r="AL24">
        <f t="shared" si="5"/>
        <v>0.40500000000000003</v>
      </c>
      <c r="AM24">
        <f t="shared" si="6"/>
        <v>8.1000000000000016E-2</v>
      </c>
      <c r="AN24">
        <f t="shared" si="7"/>
        <v>0</v>
      </c>
      <c r="AO24">
        <f t="shared" si="8"/>
        <v>0.34499999999999997</v>
      </c>
      <c r="AQ24" t="str">
        <f t="shared" si="9"/>
        <v>5_4</v>
      </c>
      <c r="AR24">
        <f t="shared" si="10"/>
        <v>0</v>
      </c>
      <c r="AS24">
        <f t="shared" si="11"/>
        <v>0</v>
      </c>
      <c r="AT24">
        <f t="shared" si="12"/>
        <v>0</v>
      </c>
      <c r="AU24">
        <f t="shared" si="13"/>
        <v>0</v>
      </c>
      <c r="AV24">
        <f t="shared" si="14"/>
        <v>0.34499999999999997</v>
      </c>
    </row>
    <row r="25" spans="1:48">
      <c r="A25">
        <v>5</v>
      </c>
      <c r="B25">
        <v>5</v>
      </c>
      <c r="D25" t="str">
        <f t="shared" si="1"/>
        <v>5_5</v>
      </c>
      <c r="E25">
        <v>0</v>
      </c>
      <c r="F25">
        <v>0</v>
      </c>
      <c r="G25">
        <v>0</v>
      </c>
      <c r="H25">
        <v>0.625</v>
      </c>
      <c r="I25">
        <v>0.125</v>
      </c>
      <c r="J25">
        <v>0.40500000000000003</v>
      </c>
      <c r="K25">
        <v>0.34499999999999997</v>
      </c>
      <c r="L25">
        <v>0.75</v>
      </c>
      <c r="M25" t="s">
        <v>31</v>
      </c>
      <c r="N25" t="s">
        <v>36</v>
      </c>
      <c r="O25" t="s">
        <v>36</v>
      </c>
      <c r="P25" t="s">
        <v>37</v>
      </c>
      <c r="Q25">
        <v>6</v>
      </c>
      <c r="S25">
        <v>0.40500000000000003</v>
      </c>
      <c r="T25">
        <v>0.34499999999999997</v>
      </c>
      <c r="U25">
        <v>0</v>
      </c>
      <c r="V25">
        <v>0</v>
      </c>
      <c r="W25">
        <v>0</v>
      </c>
      <c r="X25">
        <v>0.40500000000000003</v>
      </c>
      <c r="Y25">
        <v>8.1000000000000016E-2</v>
      </c>
      <c r="Z25">
        <v>0</v>
      </c>
      <c r="AA25">
        <v>0.34499999999999997</v>
      </c>
      <c r="AI25">
        <f t="shared" si="2"/>
        <v>0</v>
      </c>
      <c r="AJ25">
        <f t="shared" si="3"/>
        <v>0</v>
      </c>
      <c r="AK25">
        <f t="shared" si="4"/>
        <v>0</v>
      </c>
      <c r="AL25">
        <f t="shared" si="5"/>
        <v>0.40500000000000003</v>
      </c>
      <c r="AM25">
        <f t="shared" si="6"/>
        <v>8.1000000000000016E-2</v>
      </c>
      <c r="AN25">
        <f t="shared" si="7"/>
        <v>0</v>
      </c>
      <c r="AO25">
        <f t="shared" si="8"/>
        <v>0.34499999999999997</v>
      </c>
      <c r="AQ25" t="str">
        <f t="shared" si="9"/>
        <v>5_5</v>
      </c>
      <c r="AR25">
        <f t="shared" si="10"/>
        <v>0</v>
      </c>
      <c r="AS25">
        <f t="shared" si="11"/>
        <v>0</v>
      </c>
      <c r="AT25">
        <f t="shared" si="12"/>
        <v>0</v>
      </c>
      <c r="AU25">
        <f t="shared" si="13"/>
        <v>0</v>
      </c>
      <c r="AV25">
        <f t="shared" si="14"/>
        <v>0.34499999999999997</v>
      </c>
    </row>
    <row r="26" spans="1:48">
      <c r="A26">
        <v>6</v>
      </c>
      <c r="B26" t="s">
        <v>10</v>
      </c>
      <c r="C26" t="s">
        <v>10</v>
      </c>
      <c r="D26" t="str">
        <f t="shared" si="1"/>
        <v>6</v>
      </c>
      <c r="E26" t="s">
        <v>10</v>
      </c>
      <c r="F26" t="s">
        <v>10</v>
      </c>
      <c r="G26" t="s">
        <v>10</v>
      </c>
      <c r="H26" t="s">
        <v>10</v>
      </c>
      <c r="I26" t="s">
        <v>10</v>
      </c>
      <c r="L26">
        <v>0</v>
      </c>
      <c r="M26" t="s">
        <v>11</v>
      </c>
      <c r="N26" t="s">
        <v>11</v>
      </c>
      <c r="O26" t="s">
        <v>11</v>
      </c>
      <c r="P26" t="s">
        <v>11</v>
      </c>
      <c r="Q26" t="s">
        <v>34</v>
      </c>
      <c r="R26" t="s">
        <v>38</v>
      </c>
      <c r="AI26">
        <f t="shared" si="2"/>
        <v>0</v>
      </c>
      <c r="AJ26">
        <f t="shared" si="3"/>
        <v>0</v>
      </c>
      <c r="AK26">
        <f t="shared" si="4"/>
        <v>0</v>
      </c>
      <c r="AL26">
        <f t="shared" si="5"/>
        <v>0</v>
      </c>
      <c r="AM26">
        <f t="shared" si="6"/>
        <v>0</v>
      </c>
      <c r="AN26">
        <f t="shared" si="7"/>
        <v>0</v>
      </c>
      <c r="AO26">
        <f t="shared" si="8"/>
        <v>0</v>
      </c>
      <c r="AQ26" t="str">
        <f t="shared" si="9"/>
        <v>6</v>
      </c>
      <c r="AR26" t="str">
        <f t="shared" si="10"/>
        <v/>
      </c>
      <c r="AS26">
        <f t="shared" si="11"/>
        <v>0</v>
      </c>
      <c r="AT26" t="str">
        <f t="shared" si="12"/>
        <v/>
      </c>
      <c r="AU26">
        <f t="shared" si="13"/>
        <v>0</v>
      </c>
      <c r="AV26">
        <f t="shared" si="14"/>
        <v>0</v>
      </c>
    </row>
    <row r="27" spans="1:48">
      <c r="A27">
        <v>6</v>
      </c>
      <c r="B27">
        <v>1</v>
      </c>
      <c r="C27" t="s">
        <v>10</v>
      </c>
      <c r="D27" t="str">
        <f t="shared" si="1"/>
        <v>6_1</v>
      </c>
      <c r="E27">
        <v>0</v>
      </c>
      <c r="F27">
        <v>0.625</v>
      </c>
      <c r="G27">
        <v>0</v>
      </c>
      <c r="H27">
        <v>1.125</v>
      </c>
      <c r="I27">
        <v>0.25</v>
      </c>
      <c r="J27">
        <v>0.74250000000000005</v>
      </c>
      <c r="K27">
        <v>0.63249999999999995</v>
      </c>
      <c r="L27">
        <v>2</v>
      </c>
      <c r="M27" t="s">
        <v>31</v>
      </c>
      <c r="N27" t="s">
        <v>11</v>
      </c>
      <c r="O27" t="s">
        <v>11</v>
      </c>
      <c r="P27" t="s">
        <v>11</v>
      </c>
      <c r="Q27" t="s">
        <v>34</v>
      </c>
      <c r="S27">
        <v>0.74250000000000005</v>
      </c>
      <c r="T27">
        <v>0.63249999999999995</v>
      </c>
      <c r="AB27">
        <v>0.625</v>
      </c>
      <c r="AD27">
        <v>0.125</v>
      </c>
      <c r="AE27">
        <v>0.74250000000000005</v>
      </c>
      <c r="AF27">
        <v>0.14850000000000002</v>
      </c>
      <c r="AG27">
        <v>0</v>
      </c>
      <c r="AH27">
        <v>0.63249999999999995</v>
      </c>
      <c r="AI27">
        <f t="shared" si="2"/>
        <v>0.625</v>
      </c>
      <c r="AJ27">
        <f t="shared" si="3"/>
        <v>0</v>
      </c>
      <c r="AK27">
        <f t="shared" si="4"/>
        <v>0.125</v>
      </c>
      <c r="AL27">
        <f t="shared" si="5"/>
        <v>0.74250000000000005</v>
      </c>
      <c r="AM27">
        <f t="shared" si="6"/>
        <v>0.14850000000000002</v>
      </c>
      <c r="AN27">
        <f t="shared" si="7"/>
        <v>0</v>
      </c>
      <c r="AO27">
        <f t="shared" si="8"/>
        <v>0.63249999999999995</v>
      </c>
      <c r="AQ27" t="str">
        <f t="shared" si="9"/>
        <v>6_1</v>
      </c>
      <c r="AR27">
        <f t="shared" si="10"/>
        <v>0.625</v>
      </c>
      <c r="AS27">
        <f t="shared" si="11"/>
        <v>0.625</v>
      </c>
      <c r="AT27">
        <f t="shared" si="12"/>
        <v>0</v>
      </c>
      <c r="AU27">
        <f t="shared" si="13"/>
        <v>0</v>
      </c>
      <c r="AV27">
        <f t="shared" si="14"/>
        <v>0.63249999999999995</v>
      </c>
    </row>
    <row r="28" spans="1:48">
      <c r="A28">
        <v>6</v>
      </c>
      <c r="B28">
        <v>2</v>
      </c>
      <c r="C28" t="s">
        <v>10</v>
      </c>
      <c r="D28" t="str">
        <f t="shared" si="1"/>
        <v>6_2</v>
      </c>
      <c r="E28">
        <v>0</v>
      </c>
      <c r="F28">
        <v>0.625</v>
      </c>
      <c r="G28">
        <v>0</v>
      </c>
      <c r="H28">
        <v>1.125</v>
      </c>
      <c r="I28">
        <v>0.25</v>
      </c>
      <c r="J28">
        <v>0.74250000000000005</v>
      </c>
      <c r="K28">
        <v>0.63249999999999995</v>
      </c>
      <c r="L28">
        <v>2</v>
      </c>
      <c r="M28" t="s">
        <v>31</v>
      </c>
      <c r="N28" t="s">
        <v>11</v>
      </c>
      <c r="O28" t="s">
        <v>11</v>
      </c>
      <c r="P28" t="s">
        <v>11</v>
      </c>
      <c r="Q28" t="s">
        <v>34</v>
      </c>
      <c r="S28">
        <v>0.74250000000000005</v>
      </c>
      <c r="T28">
        <v>0.63249999999999995</v>
      </c>
      <c r="AB28">
        <v>0.625</v>
      </c>
      <c r="AD28">
        <v>0.125</v>
      </c>
      <c r="AE28">
        <v>0.74250000000000005</v>
      </c>
      <c r="AF28">
        <v>0.14850000000000002</v>
      </c>
      <c r="AG28">
        <v>0</v>
      </c>
      <c r="AH28">
        <v>0.63249999999999995</v>
      </c>
      <c r="AI28">
        <f t="shared" si="2"/>
        <v>0.625</v>
      </c>
      <c r="AJ28">
        <f t="shared" si="3"/>
        <v>0</v>
      </c>
      <c r="AK28">
        <f t="shared" si="4"/>
        <v>0.125</v>
      </c>
      <c r="AL28">
        <f t="shared" si="5"/>
        <v>0.74250000000000005</v>
      </c>
      <c r="AM28">
        <f t="shared" si="6"/>
        <v>0.14850000000000002</v>
      </c>
      <c r="AN28">
        <f t="shared" si="7"/>
        <v>0</v>
      </c>
      <c r="AO28">
        <f t="shared" si="8"/>
        <v>0.63249999999999995</v>
      </c>
      <c r="AQ28" t="str">
        <f t="shared" si="9"/>
        <v>6_2</v>
      </c>
      <c r="AR28">
        <f t="shared" si="10"/>
        <v>0.625</v>
      </c>
      <c r="AS28">
        <f t="shared" si="11"/>
        <v>0.625</v>
      </c>
      <c r="AT28">
        <f t="shared" si="12"/>
        <v>0</v>
      </c>
      <c r="AU28">
        <f t="shared" si="13"/>
        <v>0</v>
      </c>
      <c r="AV28">
        <f t="shared" si="14"/>
        <v>0.63249999999999995</v>
      </c>
    </row>
    <row r="29" spans="1:48">
      <c r="A29">
        <v>7</v>
      </c>
      <c r="B29" t="s">
        <v>10</v>
      </c>
      <c r="C29" t="s">
        <v>10</v>
      </c>
      <c r="D29" t="str">
        <f t="shared" si="1"/>
        <v>7</v>
      </c>
      <c r="E29" t="s">
        <v>10</v>
      </c>
      <c r="F29" t="s">
        <v>10</v>
      </c>
      <c r="G29" t="s">
        <v>10</v>
      </c>
      <c r="H29" t="s">
        <v>10</v>
      </c>
      <c r="I29" t="s">
        <v>10</v>
      </c>
      <c r="L29">
        <v>0</v>
      </c>
      <c r="M29" t="s">
        <v>11</v>
      </c>
      <c r="N29" t="s">
        <v>11</v>
      </c>
      <c r="O29" t="s">
        <v>11</v>
      </c>
      <c r="P29" t="s">
        <v>11</v>
      </c>
      <c r="Q29">
        <v>17</v>
      </c>
      <c r="R29" t="s">
        <v>35</v>
      </c>
      <c r="AI29">
        <f t="shared" si="2"/>
        <v>0</v>
      </c>
      <c r="AJ29">
        <f t="shared" si="3"/>
        <v>0</v>
      </c>
      <c r="AK29">
        <f t="shared" si="4"/>
        <v>0</v>
      </c>
      <c r="AL29">
        <f t="shared" si="5"/>
        <v>0</v>
      </c>
      <c r="AM29">
        <f t="shared" si="6"/>
        <v>0</v>
      </c>
      <c r="AN29">
        <f t="shared" si="7"/>
        <v>0</v>
      </c>
      <c r="AO29">
        <f t="shared" si="8"/>
        <v>0</v>
      </c>
      <c r="AQ29" t="str">
        <f t="shared" si="9"/>
        <v>7</v>
      </c>
      <c r="AR29" t="str">
        <f t="shared" si="10"/>
        <v/>
      </c>
      <c r="AS29">
        <f t="shared" si="11"/>
        <v>0</v>
      </c>
      <c r="AT29" t="str">
        <f t="shared" si="12"/>
        <v/>
      </c>
      <c r="AU29">
        <f t="shared" si="13"/>
        <v>0</v>
      </c>
      <c r="AV29">
        <f t="shared" si="14"/>
        <v>0</v>
      </c>
    </row>
    <row r="30" spans="1:48">
      <c r="A30">
        <v>7</v>
      </c>
      <c r="B30">
        <v>1</v>
      </c>
      <c r="C30" t="s">
        <v>10</v>
      </c>
      <c r="D30" t="str">
        <f t="shared" si="1"/>
        <v>7_1</v>
      </c>
      <c r="E30">
        <v>0</v>
      </c>
      <c r="F30">
        <v>0.625</v>
      </c>
      <c r="G30">
        <v>1.125</v>
      </c>
      <c r="H30">
        <v>1.125</v>
      </c>
      <c r="I30">
        <v>0.25</v>
      </c>
      <c r="J30">
        <v>0.74250000000000005</v>
      </c>
      <c r="K30">
        <v>0.63249999999999995</v>
      </c>
      <c r="L30">
        <v>3.125</v>
      </c>
      <c r="M30" t="s">
        <v>39</v>
      </c>
      <c r="N30" t="s">
        <v>32</v>
      </c>
      <c r="O30" t="s">
        <v>37</v>
      </c>
      <c r="P30" t="s">
        <v>33</v>
      </c>
      <c r="Q30">
        <v>17</v>
      </c>
      <c r="S30">
        <v>0.74250000000000005</v>
      </c>
      <c r="T30">
        <v>0.63249999999999995</v>
      </c>
      <c r="U30">
        <v>0</v>
      </c>
      <c r="V30">
        <v>0</v>
      </c>
      <c r="W30">
        <v>0</v>
      </c>
      <c r="X30">
        <v>0.14850000000000002</v>
      </c>
      <c r="Y30">
        <v>0.14850000000000002</v>
      </c>
      <c r="Z30">
        <v>1.125</v>
      </c>
      <c r="AA30">
        <v>0.63249999999999995</v>
      </c>
      <c r="AI30">
        <f t="shared" si="2"/>
        <v>0</v>
      </c>
      <c r="AJ30">
        <f t="shared" si="3"/>
        <v>0</v>
      </c>
      <c r="AK30">
        <f t="shared" si="4"/>
        <v>0</v>
      </c>
      <c r="AL30">
        <f t="shared" si="5"/>
        <v>0.14850000000000002</v>
      </c>
      <c r="AM30">
        <f t="shared" si="6"/>
        <v>0.14850000000000002</v>
      </c>
      <c r="AN30">
        <f t="shared" si="7"/>
        <v>1.125</v>
      </c>
      <c r="AO30">
        <f t="shared" si="8"/>
        <v>0.63249999999999995</v>
      </c>
      <c r="AQ30" t="str">
        <f t="shared" si="9"/>
        <v>7_1</v>
      </c>
      <c r="AR30">
        <f t="shared" si="10"/>
        <v>0.625</v>
      </c>
      <c r="AS30">
        <f t="shared" si="11"/>
        <v>0</v>
      </c>
      <c r="AT30">
        <f t="shared" si="12"/>
        <v>1.125</v>
      </c>
      <c r="AU30">
        <f t="shared" si="13"/>
        <v>1.125</v>
      </c>
      <c r="AV30">
        <f t="shared" si="14"/>
        <v>0.63249999999999995</v>
      </c>
    </row>
    <row r="31" spans="1:48">
      <c r="A31">
        <v>7</v>
      </c>
      <c r="B31">
        <v>2</v>
      </c>
      <c r="C31">
        <v>1</v>
      </c>
      <c r="D31" t="str">
        <f t="shared" si="1"/>
        <v>7_2_1</v>
      </c>
      <c r="E31">
        <v>0</v>
      </c>
      <c r="F31">
        <v>1</v>
      </c>
      <c r="G31">
        <v>1.75</v>
      </c>
      <c r="H31">
        <v>1.75</v>
      </c>
      <c r="I31">
        <v>0.375</v>
      </c>
      <c r="J31">
        <v>1.1475</v>
      </c>
      <c r="K31">
        <v>0.97749999999999992</v>
      </c>
      <c r="L31">
        <v>4.875</v>
      </c>
      <c r="M31" t="s">
        <v>39</v>
      </c>
      <c r="N31" t="s">
        <v>33</v>
      </c>
      <c r="O31" t="s">
        <v>37</v>
      </c>
      <c r="P31" t="s">
        <v>33</v>
      </c>
      <c r="Q31">
        <v>17</v>
      </c>
      <c r="S31">
        <v>1.1475</v>
      </c>
      <c r="T31">
        <v>0.97749999999999992</v>
      </c>
      <c r="U31">
        <v>0.2</v>
      </c>
      <c r="V31">
        <v>0</v>
      </c>
      <c r="W31">
        <v>0.2</v>
      </c>
      <c r="X31">
        <v>0.22950000000000001</v>
      </c>
      <c r="Y31">
        <v>0.22950000000000001</v>
      </c>
      <c r="Z31">
        <v>1.75</v>
      </c>
      <c r="AA31">
        <v>0.97749999999999992</v>
      </c>
      <c r="AI31">
        <f t="shared" si="2"/>
        <v>0.2</v>
      </c>
      <c r="AJ31">
        <f t="shared" si="3"/>
        <v>0</v>
      </c>
      <c r="AK31">
        <f t="shared" si="4"/>
        <v>0.2</v>
      </c>
      <c r="AL31">
        <f t="shared" si="5"/>
        <v>0.22950000000000001</v>
      </c>
      <c r="AM31">
        <f t="shared" si="6"/>
        <v>0.22950000000000001</v>
      </c>
      <c r="AN31">
        <f t="shared" si="7"/>
        <v>1.75</v>
      </c>
      <c r="AO31">
        <f t="shared" si="8"/>
        <v>0.97749999999999992</v>
      </c>
      <c r="AQ31" t="str">
        <f t="shared" si="9"/>
        <v>7_2_1</v>
      </c>
      <c r="AR31">
        <f t="shared" si="10"/>
        <v>1</v>
      </c>
      <c r="AS31">
        <f t="shared" si="11"/>
        <v>0.2</v>
      </c>
      <c r="AT31">
        <f t="shared" si="12"/>
        <v>1.75</v>
      </c>
      <c r="AU31">
        <f t="shared" si="13"/>
        <v>1.75</v>
      </c>
      <c r="AV31">
        <f t="shared" si="14"/>
        <v>0.97749999999999992</v>
      </c>
    </row>
    <row r="32" spans="1:48">
      <c r="A32">
        <v>7</v>
      </c>
      <c r="B32">
        <v>2</v>
      </c>
      <c r="C32">
        <v>2</v>
      </c>
      <c r="D32" t="str">
        <f t="shared" si="1"/>
        <v>7_2_2</v>
      </c>
      <c r="E32">
        <v>0</v>
      </c>
      <c r="F32">
        <v>0</v>
      </c>
      <c r="G32">
        <v>0</v>
      </c>
      <c r="H32">
        <v>1.75</v>
      </c>
      <c r="I32">
        <v>0.375</v>
      </c>
      <c r="J32">
        <v>1.1475</v>
      </c>
      <c r="K32">
        <v>0.97749999999999992</v>
      </c>
      <c r="L32">
        <v>2.125</v>
      </c>
      <c r="M32" t="s">
        <v>31</v>
      </c>
      <c r="N32" t="s">
        <v>40</v>
      </c>
      <c r="O32" t="s">
        <v>40</v>
      </c>
      <c r="P32" t="s">
        <v>33</v>
      </c>
      <c r="Q32">
        <v>17</v>
      </c>
      <c r="S32">
        <v>1.1475</v>
      </c>
      <c r="T32">
        <v>0.97749999999999992</v>
      </c>
      <c r="U32">
        <v>0</v>
      </c>
      <c r="V32">
        <v>0</v>
      </c>
      <c r="W32">
        <v>0</v>
      </c>
      <c r="X32">
        <v>0.22950000000000001</v>
      </c>
      <c r="Y32">
        <v>0.22950000000000001</v>
      </c>
      <c r="Z32">
        <v>0</v>
      </c>
      <c r="AA32">
        <v>0.97749999999999992</v>
      </c>
      <c r="AI32">
        <f t="shared" si="2"/>
        <v>0</v>
      </c>
      <c r="AJ32">
        <f t="shared" si="3"/>
        <v>0</v>
      </c>
      <c r="AK32">
        <f t="shared" si="4"/>
        <v>0</v>
      </c>
      <c r="AL32">
        <f t="shared" si="5"/>
        <v>0.22950000000000001</v>
      </c>
      <c r="AM32">
        <f t="shared" si="6"/>
        <v>0.22950000000000001</v>
      </c>
      <c r="AN32">
        <f t="shared" si="7"/>
        <v>0</v>
      </c>
      <c r="AO32">
        <f t="shared" si="8"/>
        <v>0.97749999999999992</v>
      </c>
      <c r="AQ32" t="str">
        <f t="shared" si="9"/>
        <v>7_2_2</v>
      </c>
      <c r="AR32">
        <f t="shared" si="10"/>
        <v>0</v>
      </c>
      <c r="AS32">
        <f t="shared" si="11"/>
        <v>0</v>
      </c>
      <c r="AT32">
        <f t="shared" si="12"/>
        <v>0</v>
      </c>
      <c r="AU32">
        <f t="shared" si="13"/>
        <v>0</v>
      </c>
      <c r="AV32">
        <f t="shared" si="14"/>
        <v>0.97749999999999992</v>
      </c>
    </row>
    <row r="33" spans="1:48">
      <c r="A33">
        <v>7</v>
      </c>
      <c r="B33">
        <v>2</v>
      </c>
      <c r="C33">
        <v>2</v>
      </c>
      <c r="D33" t="str">
        <f t="shared" si="1"/>
        <v>7_2_2</v>
      </c>
      <c r="E33">
        <v>0</v>
      </c>
      <c r="F33">
        <v>0.625</v>
      </c>
      <c r="G33">
        <v>1.125</v>
      </c>
      <c r="H33">
        <v>1.125</v>
      </c>
      <c r="I33">
        <v>0.25</v>
      </c>
      <c r="J33">
        <v>0.74250000000000005</v>
      </c>
      <c r="K33">
        <v>0.63249999999999995</v>
      </c>
      <c r="L33">
        <v>3.125</v>
      </c>
      <c r="M33" t="s">
        <v>31</v>
      </c>
      <c r="N33" t="s">
        <v>32</v>
      </c>
      <c r="O33" t="s">
        <v>37</v>
      </c>
      <c r="P33" t="s">
        <v>33</v>
      </c>
      <c r="Q33">
        <v>17</v>
      </c>
      <c r="S33">
        <v>0.74250000000000005</v>
      </c>
      <c r="T33">
        <v>0.63249999999999995</v>
      </c>
      <c r="U33">
        <v>0</v>
      </c>
      <c r="V33">
        <v>0</v>
      </c>
      <c r="W33">
        <v>0</v>
      </c>
      <c r="X33">
        <v>0.14850000000000002</v>
      </c>
      <c r="Y33">
        <v>0.14850000000000002</v>
      </c>
      <c r="Z33">
        <v>1.125</v>
      </c>
      <c r="AA33">
        <v>0.63249999999999995</v>
      </c>
      <c r="AI33">
        <f t="shared" si="2"/>
        <v>0</v>
      </c>
      <c r="AJ33">
        <f t="shared" si="3"/>
        <v>0</v>
      </c>
      <c r="AK33">
        <f t="shared" si="4"/>
        <v>0</v>
      </c>
      <c r="AL33">
        <f t="shared" si="5"/>
        <v>0.14850000000000002</v>
      </c>
      <c r="AM33">
        <f t="shared" si="6"/>
        <v>0.14850000000000002</v>
      </c>
      <c r="AN33">
        <f t="shared" si="7"/>
        <v>1.125</v>
      </c>
      <c r="AO33">
        <f t="shared" si="8"/>
        <v>0.63249999999999995</v>
      </c>
      <c r="AQ33" t="str">
        <f t="shared" si="9"/>
        <v>7_2_2</v>
      </c>
      <c r="AR33">
        <f t="shared" si="10"/>
        <v>0.625</v>
      </c>
      <c r="AS33">
        <f t="shared" si="11"/>
        <v>0</v>
      </c>
      <c r="AT33">
        <f t="shared" si="12"/>
        <v>1.125</v>
      </c>
      <c r="AU33">
        <f t="shared" si="13"/>
        <v>1.125</v>
      </c>
      <c r="AV33">
        <f t="shared" si="14"/>
        <v>0.63249999999999995</v>
      </c>
    </row>
    <row r="34" spans="1:48">
      <c r="A34">
        <v>7</v>
      </c>
      <c r="B34">
        <v>2</v>
      </c>
      <c r="C34">
        <v>3</v>
      </c>
      <c r="D34" t="str">
        <f t="shared" si="1"/>
        <v>7_2_3</v>
      </c>
      <c r="E34">
        <v>0</v>
      </c>
      <c r="F34">
        <v>0.625</v>
      </c>
      <c r="G34">
        <v>1.125</v>
      </c>
      <c r="H34">
        <v>1.125</v>
      </c>
      <c r="I34">
        <v>0.25</v>
      </c>
      <c r="J34">
        <v>0.74250000000000005</v>
      </c>
      <c r="K34">
        <v>0.63249999999999995</v>
      </c>
      <c r="L34">
        <v>3.125</v>
      </c>
      <c r="M34" t="s">
        <v>31</v>
      </c>
      <c r="N34" t="s">
        <v>32</v>
      </c>
      <c r="O34" t="s">
        <v>37</v>
      </c>
      <c r="P34" t="s">
        <v>33</v>
      </c>
      <c r="Q34">
        <v>17</v>
      </c>
      <c r="S34">
        <v>0.74250000000000005</v>
      </c>
      <c r="T34">
        <v>0.63249999999999995</v>
      </c>
      <c r="U34">
        <v>0</v>
      </c>
      <c r="V34">
        <v>0</v>
      </c>
      <c r="W34">
        <v>0</v>
      </c>
      <c r="X34">
        <v>0.14850000000000002</v>
      </c>
      <c r="Y34">
        <v>0.14850000000000002</v>
      </c>
      <c r="Z34">
        <v>1.125</v>
      </c>
      <c r="AA34">
        <v>0.63249999999999995</v>
      </c>
      <c r="AI34">
        <f t="shared" si="2"/>
        <v>0</v>
      </c>
      <c r="AJ34">
        <f t="shared" si="3"/>
        <v>0</v>
      </c>
      <c r="AK34">
        <f t="shared" si="4"/>
        <v>0</v>
      </c>
      <c r="AL34">
        <f t="shared" si="5"/>
        <v>0.14850000000000002</v>
      </c>
      <c r="AM34">
        <f t="shared" si="6"/>
        <v>0.14850000000000002</v>
      </c>
      <c r="AN34">
        <f t="shared" si="7"/>
        <v>1.125</v>
      </c>
      <c r="AO34">
        <f t="shared" si="8"/>
        <v>0.63249999999999995</v>
      </c>
      <c r="AQ34" t="str">
        <f t="shared" si="9"/>
        <v>7_2_3</v>
      </c>
      <c r="AR34">
        <f t="shared" si="10"/>
        <v>0.625</v>
      </c>
      <c r="AS34">
        <f t="shared" si="11"/>
        <v>0</v>
      </c>
      <c r="AT34">
        <f t="shared" si="12"/>
        <v>1.125</v>
      </c>
      <c r="AU34">
        <f t="shared" si="13"/>
        <v>1.125</v>
      </c>
      <c r="AV34">
        <f t="shared" si="14"/>
        <v>0.63249999999999995</v>
      </c>
    </row>
    <row r="35" spans="1:48">
      <c r="A35">
        <v>7</v>
      </c>
      <c r="B35">
        <v>3</v>
      </c>
      <c r="C35">
        <v>1</v>
      </c>
      <c r="D35" t="str">
        <f t="shared" si="1"/>
        <v>7_3_1</v>
      </c>
      <c r="E35">
        <v>0</v>
      </c>
      <c r="F35">
        <v>0</v>
      </c>
      <c r="G35">
        <v>0</v>
      </c>
      <c r="H35">
        <v>4.25</v>
      </c>
      <c r="I35">
        <v>0.75</v>
      </c>
      <c r="J35">
        <v>2.7</v>
      </c>
      <c r="K35">
        <v>2.2999999999999998</v>
      </c>
      <c r="L35">
        <v>5</v>
      </c>
      <c r="M35" t="s">
        <v>31</v>
      </c>
      <c r="N35" t="s">
        <v>36</v>
      </c>
      <c r="O35" t="s">
        <v>36</v>
      </c>
      <c r="P35" t="s">
        <v>32</v>
      </c>
      <c r="Q35">
        <v>17</v>
      </c>
      <c r="S35">
        <v>2.7</v>
      </c>
      <c r="T35">
        <v>2.2999999999999998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2.2999999999999998</v>
      </c>
      <c r="AI35">
        <f t="shared" si="2"/>
        <v>0</v>
      </c>
      <c r="AJ35">
        <f t="shared" si="3"/>
        <v>0</v>
      </c>
      <c r="AK35">
        <f t="shared" si="4"/>
        <v>0</v>
      </c>
      <c r="AL35">
        <f t="shared" si="5"/>
        <v>0</v>
      </c>
      <c r="AM35">
        <f t="shared" si="6"/>
        <v>0</v>
      </c>
      <c r="AN35">
        <f t="shared" si="7"/>
        <v>0</v>
      </c>
      <c r="AO35">
        <f t="shared" si="8"/>
        <v>2.2999999999999998</v>
      </c>
      <c r="AQ35" t="str">
        <f t="shared" si="9"/>
        <v>7_3_1</v>
      </c>
      <c r="AR35">
        <f t="shared" si="10"/>
        <v>0</v>
      </c>
      <c r="AS35">
        <f t="shared" si="11"/>
        <v>0</v>
      </c>
      <c r="AT35">
        <f t="shared" si="12"/>
        <v>0</v>
      </c>
      <c r="AU35">
        <f t="shared" si="13"/>
        <v>0</v>
      </c>
      <c r="AV35">
        <f t="shared" si="14"/>
        <v>2.2999999999999998</v>
      </c>
    </row>
    <row r="36" spans="1:48">
      <c r="A36">
        <v>7</v>
      </c>
      <c r="B36">
        <v>3</v>
      </c>
      <c r="C36">
        <v>2</v>
      </c>
      <c r="D36" t="str">
        <f t="shared" si="1"/>
        <v>7_3_2</v>
      </c>
      <c r="E36">
        <v>0</v>
      </c>
      <c r="F36">
        <v>0.625</v>
      </c>
      <c r="G36">
        <v>1.125</v>
      </c>
      <c r="H36">
        <v>1.125</v>
      </c>
      <c r="I36">
        <v>0.25</v>
      </c>
      <c r="J36">
        <v>0.74250000000000005</v>
      </c>
      <c r="K36">
        <v>0.63249999999999995</v>
      </c>
      <c r="L36">
        <v>3.125</v>
      </c>
      <c r="M36" t="s">
        <v>31</v>
      </c>
      <c r="N36" t="s">
        <v>32</v>
      </c>
      <c r="O36" t="s">
        <v>32</v>
      </c>
      <c r="P36" t="s">
        <v>32</v>
      </c>
      <c r="Q36">
        <v>17</v>
      </c>
      <c r="S36">
        <v>0.74250000000000005</v>
      </c>
      <c r="T36">
        <v>0.63249999999999995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0.63249999999999995</v>
      </c>
      <c r="AI36">
        <f t="shared" si="2"/>
        <v>0</v>
      </c>
      <c r="AJ36">
        <f t="shared" si="3"/>
        <v>0</v>
      </c>
      <c r="AK36">
        <f t="shared" si="4"/>
        <v>0</v>
      </c>
      <c r="AL36">
        <f t="shared" si="5"/>
        <v>0</v>
      </c>
      <c r="AM36">
        <f t="shared" si="6"/>
        <v>0</v>
      </c>
      <c r="AN36">
        <f t="shared" si="7"/>
        <v>0</v>
      </c>
      <c r="AO36">
        <f t="shared" si="8"/>
        <v>0.63249999999999995</v>
      </c>
      <c r="AQ36" t="str">
        <f t="shared" si="9"/>
        <v>7_3_2</v>
      </c>
      <c r="AR36">
        <f t="shared" si="10"/>
        <v>0.625</v>
      </c>
      <c r="AS36">
        <f t="shared" si="11"/>
        <v>0</v>
      </c>
      <c r="AT36">
        <f t="shared" si="12"/>
        <v>1.125</v>
      </c>
      <c r="AU36">
        <f t="shared" si="13"/>
        <v>0</v>
      </c>
      <c r="AV36">
        <f t="shared" si="14"/>
        <v>0.63249999999999995</v>
      </c>
    </row>
    <row r="37" spans="1:48">
      <c r="A37">
        <v>7</v>
      </c>
      <c r="B37">
        <v>4</v>
      </c>
      <c r="C37">
        <v>1</v>
      </c>
      <c r="D37" t="str">
        <f t="shared" si="1"/>
        <v>7_4_1</v>
      </c>
      <c r="E37">
        <v>0</v>
      </c>
      <c r="F37">
        <v>0</v>
      </c>
      <c r="G37">
        <v>0</v>
      </c>
      <c r="H37">
        <v>1.125</v>
      </c>
      <c r="I37">
        <v>0.25</v>
      </c>
      <c r="J37">
        <v>0.74250000000000005</v>
      </c>
      <c r="K37">
        <v>0.63249999999999995</v>
      </c>
      <c r="L37">
        <v>1.375</v>
      </c>
      <c r="M37" t="s">
        <v>31</v>
      </c>
      <c r="N37" t="s">
        <v>36</v>
      </c>
      <c r="O37" t="s">
        <v>36</v>
      </c>
      <c r="P37" t="s">
        <v>32</v>
      </c>
      <c r="Q37">
        <v>17</v>
      </c>
      <c r="S37">
        <v>0.74250000000000005</v>
      </c>
      <c r="T37">
        <v>0.63249999999999995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0.63249999999999995</v>
      </c>
      <c r="AI37">
        <f t="shared" si="2"/>
        <v>0</v>
      </c>
      <c r="AJ37">
        <f t="shared" si="3"/>
        <v>0</v>
      </c>
      <c r="AK37">
        <f t="shared" si="4"/>
        <v>0</v>
      </c>
      <c r="AL37">
        <f t="shared" si="5"/>
        <v>0</v>
      </c>
      <c r="AM37">
        <f t="shared" si="6"/>
        <v>0</v>
      </c>
      <c r="AN37">
        <f t="shared" si="7"/>
        <v>0</v>
      </c>
      <c r="AO37">
        <f t="shared" si="8"/>
        <v>0.63249999999999995</v>
      </c>
      <c r="AQ37" t="str">
        <f t="shared" si="9"/>
        <v>7_4_1</v>
      </c>
      <c r="AR37">
        <f t="shared" si="10"/>
        <v>0</v>
      </c>
      <c r="AS37">
        <f t="shared" si="11"/>
        <v>0</v>
      </c>
      <c r="AT37">
        <f t="shared" si="12"/>
        <v>0</v>
      </c>
      <c r="AU37">
        <f t="shared" si="13"/>
        <v>0</v>
      </c>
      <c r="AV37">
        <f t="shared" si="14"/>
        <v>0.63249999999999995</v>
      </c>
    </row>
    <row r="38" spans="1:48">
      <c r="A38">
        <v>7</v>
      </c>
      <c r="B38">
        <v>4</v>
      </c>
      <c r="C38">
        <v>2</v>
      </c>
      <c r="D38" t="str">
        <f t="shared" si="1"/>
        <v>7_4_2</v>
      </c>
      <c r="E38">
        <v>0</v>
      </c>
      <c r="F38">
        <v>0.625</v>
      </c>
      <c r="G38">
        <v>1.125</v>
      </c>
      <c r="H38">
        <v>1.125</v>
      </c>
      <c r="I38">
        <v>0.25</v>
      </c>
      <c r="J38">
        <v>0.74250000000000005</v>
      </c>
      <c r="K38">
        <v>0.63249999999999995</v>
      </c>
      <c r="L38">
        <v>3.125</v>
      </c>
      <c r="M38" t="s">
        <v>31</v>
      </c>
      <c r="N38" t="s">
        <v>32</v>
      </c>
      <c r="O38" t="s">
        <v>32</v>
      </c>
      <c r="P38" t="s">
        <v>32</v>
      </c>
      <c r="Q38">
        <v>17</v>
      </c>
      <c r="S38">
        <v>0.74250000000000005</v>
      </c>
      <c r="T38">
        <v>0.63249999999999995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0.63249999999999995</v>
      </c>
      <c r="AI38">
        <f t="shared" si="2"/>
        <v>0</v>
      </c>
      <c r="AJ38">
        <f t="shared" si="3"/>
        <v>0</v>
      </c>
      <c r="AK38">
        <f t="shared" si="4"/>
        <v>0</v>
      </c>
      <c r="AL38">
        <f t="shared" si="5"/>
        <v>0</v>
      </c>
      <c r="AM38">
        <f t="shared" si="6"/>
        <v>0</v>
      </c>
      <c r="AN38">
        <f t="shared" si="7"/>
        <v>0</v>
      </c>
      <c r="AO38">
        <f t="shared" si="8"/>
        <v>0.63249999999999995</v>
      </c>
      <c r="AQ38" t="str">
        <f t="shared" si="9"/>
        <v>7_4_2</v>
      </c>
      <c r="AR38">
        <f t="shared" si="10"/>
        <v>0.625</v>
      </c>
      <c r="AS38">
        <f t="shared" si="11"/>
        <v>0</v>
      </c>
      <c r="AT38">
        <f t="shared" si="12"/>
        <v>1.125</v>
      </c>
      <c r="AU38">
        <f t="shared" si="13"/>
        <v>0</v>
      </c>
      <c r="AV38">
        <f t="shared" si="14"/>
        <v>0.63249999999999995</v>
      </c>
    </row>
    <row r="39" spans="1:48">
      <c r="A39">
        <v>8</v>
      </c>
      <c r="B39" t="s">
        <v>10</v>
      </c>
      <c r="C39" t="s">
        <v>10</v>
      </c>
      <c r="D39" t="str">
        <f t="shared" si="1"/>
        <v>8</v>
      </c>
      <c r="E39" t="s">
        <v>10</v>
      </c>
      <c r="F39" t="s">
        <v>10</v>
      </c>
      <c r="G39" t="s">
        <v>10</v>
      </c>
      <c r="H39" t="s">
        <v>10</v>
      </c>
      <c r="I39" t="s">
        <v>10</v>
      </c>
      <c r="L39">
        <v>0</v>
      </c>
      <c r="M39" t="s">
        <v>11</v>
      </c>
      <c r="N39" t="s">
        <v>11</v>
      </c>
      <c r="O39" t="s">
        <v>11</v>
      </c>
      <c r="P39" t="s">
        <v>11</v>
      </c>
      <c r="Q39">
        <v>53</v>
      </c>
      <c r="R39" t="s">
        <v>35</v>
      </c>
      <c r="AI39">
        <f t="shared" si="2"/>
        <v>0</v>
      </c>
      <c r="AJ39">
        <f t="shared" si="3"/>
        <v>0</v>
      </c>
      <c r="AK39">
        <f t="shared" si="4"/>
        <v>0</v>
      </c>
      <c r="AL39">
        <f t="shared" si="5"/>
        <v>0</v>
      </c>
      <c r="AM39">
        <f t="shared" si="6"/>
        <v>0</v>
      </c>
      <c r="AN39">
        <f t="shared" si="7"/>
        <v>0</v>
      </c>
      <c r="AO39">
        <f t="shared" si="8"/>
        <v>0</v>
      </c>
      <c r="AQ39" t="str">
        <f t="shared" si="9"/>
        <v>8</v>
      </c>
      <c r="AR39" t="str">
        <f t="shared" si="10"/>
        <v/>
      </c>
      <c r="AS39">
        <f t="shared" si="11"/>
        <v>0</v>
      </c>
      <c r="AT39" t="str">
        <f t="shared" si="12"/>
        <v/>
      </c>
      <c r="AU39">
        <f t="shared" si="13"/>
        <v>0</v>
      </c>
      <c r="AV39">
        <f t="shared" si="14"/>
        <v>0</v>
      </c>
    </row>
    <row r="40" spans="1:48">
      <c r="A40">
        <v>8</v>
      </c>
      <c r="B40">
        <v>1</v>
      </c>
      <c r="C40" t="s">
        <v>10</v>
      </c>
      <c r="D40" t="str">
        <f t="shared" si="1"/>
        <v>8_1</v>
      </c>
      <c r="E40">
        <v>0</v>
      </c>
      <c r="F40">
        <v>0.75</v>
      </c>
      <c r="G40">
        <v>1.5</v>
      </c>
      <c r="H40">
        <v>1.5</v>
      </c>
      <c r="I40">
        <v>0.25</v>
      </c>
      <c r="J40">
        <v>0.94500000000000006</v>
      </c>
      <c r="K40">
        <v>0.80499999999999994</v>
      </c>
      <c r="L40">
        <v>4</v>
      </c>
      <c r="M40" t="s">
        <v>31</v>
      </c>
      <c r="N40" t="s">
        <v>33</v>
      </c>
      <c r="O40" t="s">
        <v>37</v>
      </c>
      <c r="P40" t="s">
        <v>33</v>
      </c>
      <c r="Q40">
        <v>53</v>
      </c>
      <c r="S40">
        <v>0.94500000000000006</v>
      </c>
      <c r="T40">
        <v>0.80499999999999994</v>
      </c>
      <c r="U40">
        <v>0.15000000000000002</v>
      </c>
      <c r="V40">
        <v>0</v>
      </c>
      <c r="W40">
        <v>0.15000000000000002</v>
      </c>
      <c r="X40">
        <v>0.18900000000000003</v>
      </c>
      <c r="Y40">
        <v>0.18900000000000003</v>
      </c>
      <c r="Z40">
        <v>1.5</v>
      </c>
      <c r="AA40">
        <v>0.80499999999999994</v>
      </c>
      <c r="AI40">
        <f t="shared" si="2"/>
        <v>0.15000000000000002</v>
      </c>
      <c r="AJ40">
        <f t="shared" si="3"/>
        <v>0</v>
      </c>
      <c r="AK40">
        <f t="shared" si="4"/>
        <v>0.15000000000000002</v>
      </c>
      <c r="AL40">
        <f t="shared" si="5"/>
        <v>0.18900000000000003</v>
      </c>
      <c r="AM40">
        <f t="shared" si="6"/>
        <v>0.18900000000000003</v>
      </c>
      <c r="AN40">
        <f t="shared" si="7"/>
        <v>1.5</v>
      </c>
      <c r="AO40">
        <f t="shared" si="8"/>
        <v>0.80499999999999994</v>
      </c>
      <c r="AQ40" t="str">
        <f t="shared" si="9"/>
        <v>8_1</v>
      </c>
      <c r="AR40">
        <f t="shared" si="10"/>
        <v>0.75</v>
      </c>
      <c r="AS40">
        <f t="shared" si="11"/>
        <v>0.15000000000000002</v>
      </c>
      <c r="AT40">
        <f t="shared" si="12"/>
        <v>1.5</v>
      </c>
      <c r="AU40">
        <f t="shared" si="13"/>
        <v>1.5</v>
      </c>
      <c r="AV40">
        <f t="shared" si="14"/>
        <v>0.80499999999999994</v>
      </c>
    </row>
    <row r="41" spans="1:48">
      <c r="A41">
        <v>8</v>
      </c>
      <c r="B41">
        <v>1</v>
      </c>
      <c r="C41">
        <v>1</v>
      </c>
      <c r="D41" t="str">
        <f t="shared" si="1"/>
        <v>8_1_1</v>
      </c>
      <c r="E41">
        <v>0</v>
      </c>
      <c r="F41">
        <v>0.75</v>
      </c>
      <c r="G41">
        <v>1.5</v>
      </c>
      <c r="H41">
        <v>1.5</v>
      </c>
      <c r="I41">
        <v>0.25</v>
      </c>
      <c r="J41">
        <v>0.94500000000000006</v>
      </c>
      <c r="K41">
        <v>0.80499999999999994</v>
      </c>
      <c r="L41">
        <v>4</v>
      </c>
      <c r="M41" t="s">
        <v>31</v>
      </c>
      <c r="N41" t="s">
        <v>33</v>
      </c>
      <c r="O41" t="s">
        <v>37</v>
      </c>
      <c r="P41" t="s">
        <v>33</v>
      </c>
      <c r="Q41">
        <v>53</v>
      </c>
      <c r="S41">
        <v>0.94500000000000006</v>
      </c>
      <c r="T41">
        <v>0.80499999999999994</v>
      </c>
      <c r="U41">
        <v>0.15000000000000002</v>
      </c>
      <c r="V41">
        <v>0</v>
      </c>
      <c r="W41">
        <v>0.15000000000000002</v>
      </c>
      <c r="X41">
        <v>0.18900000000000003</v>
      </c>
      <c r="Y41">
        <v>0.18900000000000003</v>
      </c>
      <c r="Z41">
        <v>1.5</v>
      </c>
      <c r="AA41">
        <v>0.80499999999999994</v>
      </c>
      <c r="AI41">
        <f t="shared" si="2"/>
        <v>0.15000000000000002</v>
      </c>
      <c r="AJ41">
        <f t="shared" si="3"/>
        <v>0</v>
      </c>
      <c r="AK41">
        <f t="shared" si="4"/>
        <v>0.15000000000000002</v>
      </c>
      <c r="AL41">
        <f t="shared" si="5"/>
        <v>0.18900000000000003</v>
      </c>
      <c r="AM41">
        <f t="shared" si="6"/>
        <v>0.18900000000000003</v>
      </c>
      <c r="AN41">
        <f t="shared" si="7"/>
        <v>1.5</v>
      </c>
      <c r="AO41">
        <f t="shared" si="8"/>
        <v>0.80499999999999994</v>
      </c>
      <c r="AQ41" t="str">
        <f t="shared" si="9"/>
        <v>8_1_1</v>
      </c>
      <c r="AR41">
        <f t="shared" si="10"/>
        <v>0.75</v>
      </c>
      <c r="AS41">
        <f t="shared" si="11"/>
        <v>0.15000000000000002</v>
      </c>
      <c r="AT41">
        <f t="shared" si="12"/>
        <v>1.5</v>
      </c>
      <c r="AU41">
        <f t="shared" si="13"/>
        <v>1.5</v>
      </c>
      <c r="AV41">
        <f t="shared" si="14"/>
        <v>0.80499999999999994</v>
      </c>
    </row>
    <row r="42" spans="1:48">
      <c r="A42">
        <v>8</v>
      </c>
      <c r="B42">
        <v>2</v>
      </c>
      <c r="C42">
        <v>1</v>
      </c>
      <c r="D42" t="str">
        <f t="shared" si="1"/>
        <v>8_2_1</v>
      </c>
      <c r="E42">
        <v>0</v>
      </c>
      <c r="F42">
        <v>0.625</v>
      </c>
      <c r="G42">
        <v>1.125</v>
      </c>
      <c r="H42">
        <v>1.125</v>
      </c>
      <c r="I42">
        <v>0.25</v>
      </c>
      <c r="J42">
        <v>0.74250000000000005</v>
      </c>
      <c r="K42">
        <v>0.63249999999999995</v>
      </c>
      <c r="L42">
        <v>3.125</v>
      </c>
      <c r="M42" t="s">
        <v>31</v>
      </c>
      <c r="N42" t="s">
        <v>33</v>
      </c>
      <c r="O42" t="s">
        <v>37</v>
      </c>
      <c r="P42" t="s">
        <v>33</v>
      </c>
      <c r="Q42">
        <v>53</v>
      </c>
      <c r="S42">
        <v>0.74250000000000005</v>
      </c>
      <c r="T42">
        <v>0.63249999999999995</v>
      </c>
      <c r="U42">
        <v>0.125</v>
      </c>
      <c r="V42">
        <v>0</v>
      </c>
      <c r="W42">
        <v>0.125</v>
      </c>
      <c r="X42">
        <v>0.14850000000000002</v>
      </c>
      <c r="Y42">
        <v>0.14850000000000002</v>
      </c>
      <c r="Z42">
        <v>1.125</v>
      </c>
      <c r="AA42">
        <v>0.63249999999999995</v>
      </c>
      <c r="AI42">
        <f t="shared" si="2"/>
        <v>0.125</v>
      </c>
      <c r="AJ42">
        <f t="shared" si="3"/>
        <v>0</v>
      </c>
      <c r="AK42">
        <f t="shared" si="4"/>
        <v>0.125</v>
      </c>
      <c r="AL42">
        <f t="shared" si="5"/>
        <v>0.14850000000000002</v>
      </c>
      <c r="AM42">
        <f t="shared" si="6"/>
        <v>0.14850000000000002</v>
      </c>
      <c r="AN42">
        <f t="shared" si="7"/>
        <v>1.125</v>
      </c>
      <c r="AO42">
        <f t="shared" si="8"/>
        <v>0.63249999999999995</v>
      </c>
      <c r="AQ42" t="str">
        <f t="shared" si="9"/>
        <v>8_2_1</v>
      </c>
      <c r="AR42">
        <f t="shared" si="10"/>
        <v>0.625</v>
      </c>
      <c r="AS42">
        <f t="shared" si="11"/>
        <v>0.125</v>
      </c>
      <c r="AT42">
        <f t="shared" si="12"/>
        <v>1.125</v>
      </c>
      <c r="AU42">
        <f t="shared" si="13"/>
        <v>1.125</v>
      </c>
      <c r="AV42">
        <f t="shared" si="14"/>
        <v>0.63249999999999995</v>
      </c>
    </row>
    <row r="43" spans="1:48">
      <c r="A43">
        <v>8</v>
      </c>
      <c r="B43">
        <v>2</v>
      </c>
      <c r="C43">
        <v>2</v>
      </c>
      <c r="D43" t="str">
        <f t="shared" si="1"/>
        <v>8_2_2</v>
      </c>
      <c r="E43">
        <v>0</v>
      </c>
      <c r="F43">
        <v>0.625</v>
      </c>
      <c r="G43">
        <v>1.125</v>
      </c>
      <c r="H43">
        <v>1.125</v>
      </c>
      <c r="I43">
        <v>0.25</v>
      </c>
      <c r="J43">
        <v>0.74250000000000005</v>
      </c>
      <c r="K43">
        <v>0.63249999999999995</v>
      </c>
      <c r="L43">
        <v>3.125</v>
      </c>
      <c r="M43" t="s">
        <v>31</v>
      </c>
      <c r="N43" t="s">
        <v>33</v>
      </c>
      <c r="O43" t="s">
        <v>37</v>
      </c>
      <c r="P43" t="s">
        <v>33</v>
      </c>
      <c r="Q43">
        <v>53</v>
      </c>
      <c r="S43">
        <v>0.74250000000000005</v>
      </c>
      <c r="T43">
        <v>0.63249999999999995</v>
      </c>
      <c r="U43">
        <v>0.125</v>
      </c>
      <c r="V43">
        <v>0</v>
      </c>
      <c r="W43">
        <v>0.125</v>
      </c>
      <c r="X43">
        <v>0.14850000000000002</v>
      </c>
      <c r="Y43">
        <v>0.14850000000000002</v>
      </c>
      <c r="Z43">
        <v>1.125</v>
      </c>
      <c r="AA43">
        <v>0.63249999999999995</v>
      </c>
      <c r="AI43">
        <f t="shared" si="2"/>
        <v>0.125</v>
      </c>
      <c r="AJ43">
        <f t="shared" si="3"/>
        <v>0</v>
      </c>
      <c r="AK43">
        <f t="shared" si="4"/>
        <v>0.125</v>
      </c>
      <c r="AL43">
        <f t="shared" si="5"/>
        <v>0.14850000000000002</v>
      </c>
      <c r="AM43">
        <f t="shared" si="6"/>
        <v>0.14850000000000002</v>
      </c>
      <c r="AN43">
        <f t="shared" si="7"/>
        <v>1.125</v>
      </c>
      <c r="AO43">
        <f t="shared" si="8"/>
        <v>0.63249999999999995</v>
      </c>
      <c r="AQ43" t="str">
        <f t="shared" si="9"/>
        <v>8_2_2</v>
      </c>
      <c r="AR43">
        <f t="shared" si="10"/>
        <v>0.625</v>
      </c>
      <c r="AS43">
        <f t="shared" si="11"/>
        <v>0.125</v>
      </c>
      <c r="AT43">
        <f t="shared" si="12"/>
        <v>1.125</v>
      </c>
      <c r="AU43">
        <f t="shared" si="13"/>
        <v>1.125</v>
      </c>
      <c r="AV43">
        <f t="shared" si="14"/>
        <v>0.63249999999999995</v>
      </c>
    </row>
    <row r="44" spans="1:48">
      <c r="A44">
        <v>8</v>
      </c>
      <c r="B44">
        <v>2</v>
      </c>
      <c r="C44">
        <v>3</v>
      </c>
      <c r="D44" t="str">
        <f t="shared" si="1"/>
        <v>8_2_3</v>
      </c>
      <c r="E44">
        <v>0</v>
      </c>
      <c r="F44">
        <v>0.625</v>
      </c>
      <c r="G44">
        <v>1.125</v>
      </c>
      <c r="H44">
        <v>1.125</v>
      </c>
      <c r="I44">
        <v>0.25</v>
      </c>
      <c r="J44">
        <v>0.74250000000000005</v>
      </c>
      <c r="K44">
        <v>0.63249999999999995</v>
      </c>
      <c r="L44">
        <v>3.125</v>
      </c>
      <c r="M44" t="s">
        <v>31</v>
      </c>
      <c r="N44" t="s">
        <v>33</v>
      </c>
      <c r="O44" t="s">
        <v>37</v>
      </c>
      <c r="P44" t="s">
        <v>33</v>
      </c>
      <c r="Q44">
        <v>53</v>
      </c>
      <c r="S44">
        <v>0.74250000000000005</v>
      </c>
      <c r="T44">
        <v>0.63249999999999995</v>
      </c>
      <c r="U44">
        <v>0.125</v>
      </c>
      <c r="V44">
        <v>0</v>
      </c>
      <c r="W44">
        <v>0.125</v>
      </c>
      <c r="X44">
        <v>0.14850000000000002</v>
      </c>
      <c r="Y44">
        <v>0.14850000000000002</v>
      </c>
      <c r="Z44">
        <v>1.125</v>
      </c>
      <c r="AA44">
        <v>0.63249999999999995</v>
      </c>
      <c r="AI44">
        <f t="shared" si="2"/>
        <v>0.125</v>
      </c>
      <c r="AJ44">
        <f t="shared" si="3"/>
        <v>0</v>
      </c>
      <c r="AK44">
        <f t="shared" si="4"/>
        <v>0.125</v>
      </c>
      <c r="AL44">
        <f t="shared" si="5"/>
        <v>0.14850000000000002</v>
      </c>
      <c r="AM44">
        <f t="shared" si="6"/>
        <v>0.14850000000000002</v>
      </c>
      <c r="AN44">
        <f t="shared" si="7"/>
        <v>1.125</v>
      </c>
      <c r="AO44">
        <f t="shared" si="8"/>
        <v>0.63249999999999995</v>
      </c>
      <c r="AQ44" t="str">
        <f t="shared" si="9"/>
        <v>8_2_3</v>
      </c>
      <c r="AR44">
        <f t="shared" si="10"/>
        <v>0.625</v>
      </c>
      <c r="AS44">
        <f t="shared" si="11"/>
        <v>0.125</v>
      </c>
      <c r="AT44">
        <f t="shared" si="12"/>
        <v>1.125</v>
      </c>
      <c r="AU44">
        <f t="shared" si="13"/>
        <v>1.125</v>
      </c>
      <c r="AV44">
        <f t="shared" si="14"/>
        <v>0.63249999999999995</v>
      </c>
    </row>
    <row r="45" spans="1:48">
      <c r="A45">
        <v>8</v>
      </c>
      <c r="B45">
        <v>2</v>
      </c>
      <c r="C45">
        <v>4</v>
      </c>
      <c r="D45" t="str">
        <f t="shared" si="1"/>
        <v>8_2_4</v>
      </c>
      <c r="E45">
        <v>0</v>
      </c>
      <c r="F45">
        <v>0.625</v>
      </c>
      <c r="G45">
        <v>0</v>
      </c>
      <c r="H45">
        <v>1.125</v>
      </c>
      <c r="I45">
        <v>0.25</v>
      </c>
      <c r="J45">
        <v>0.74250000000000005</v>
      </c>
      <c r="K45">
        <v>0.63249999999999995</v>
      </c>
      <c r="L45">
        <v>2</v>
      </c>
      <c r="M45" t="s">
        <v>31</v>
      </c>
      <c r="N45" t="s">
        <v>36</v>
      </c>
      <c r="O45" t="s">
        <v>36</v>
      </c>
      <c r="P45" t="s">
        <v>37</v>
      </c>
      <c r="Q45">
        <v>53</v>
      </c>
      <c r="S45">
        <v>0.74250000000000005</v>
      </c>
      <c r="T45">
        <v>0.63249999999999995</v>
      </c>
      <c r="U45">
        <v>0</v>
      </c>
      <c r="V45">
        <v>0</v>
      </c>
      <c r="W45">
        <v>0</v>
      </c>
      <c r="X45">
        <v>0.74250000000000005</v>
      </c>
      <c r="Y45">
        <v>0.14850000000000002</v>
      </c>
      <c r="Z45">
        <v>0</v>
      </c>
      <c r="AA45">
        <v>0.63249999999999995</v>
      </c>
      <c r="AI45">
        <f t="shared" si="2"/>
        <v>0</v>
      </c>
      <c r="AJ45">
        <f t="shared" si="3"/>
        <v>0</v>
      </c>
      <c r="AK45">
        <f t="shared" si="4"/>
        <v>0</v>
      </c>
      <c r="AL45">
        <f t="shared" si="5"/>
        <v>0.74250000000000005</v>
      </c>
      <c r="AM45">
        <f t="shared" si="6"/>
        <v>0.14850000000000002</v>
      </c>
      <c r="AN45">
        <f t="shared" si="7"/>
        <v>0</v>
      </c>
      <c r="AO45">
        <f t="shared" si="8"/>
        <v>0.63249999999999995</v>
      </c>
      <c r="AQ45" t="str">
        <f t="shared" si="9"/>
        <v>8_2_4</v>
      </c>
      <c r="AR45">
        <f t="shared" si="10"/>
        <v>0.625</v>
      </c>
      <c r="AS45">
        <f t="shared" si="11"/>
        <v>0</v>
      </c>
      <c r="AT45">
        <f t="shared" si="12"/>
        <v>0</v>
      </c>
      <c r="AU45">
        <f t="shared" si="13"/>
        <v>0</v>
      </c>
      <c r="AV45">
        <f t="shared" si="14"/>
        <v>0.63249999999999995</v>
      </c>
    </row>
    <row r="46" spans="1:48">
      <c r="A46">
        <v>9</v>
      </c>
      <c r="B46" t="s">
        <v>10</v>
      </c>
      <c r="C46" t="s">
        <v>10</v>
      </c>
      <c r="D46" t="str">
        <f t="shared" si="1"/>
        <v>9</v>
      </c>
      <c r="E46" t="s">
        <v>10</v>
      </c>
      <c r="F46" t="s">
        <v>10</v>
      </c>
      <c r="G46" t="s">
        <v>10</v>
      </c>
      <c r="H46" t="s">
        <v>10</v>
      </c>
      <c r="I46" t="s">
        <v>10</v>
      </c>
      <c r="L46">
        <v>0</v>
      </c>
      <c r="M46" t="s">
        <v>11</v>
      </c>
      <c r="N46" t="s">
        <v>11</v>
      </c>
      <c r="O46" t="s">
        <v>11</v>
      </c>
      <c r="P46" t="s">
        <v>11</v>
      </c>
      <c r="Q46">
        <v>7</v>
      </c>
      <c r="R46" t="s">
        <v>35</v>
      </c>
      <c r="AI46">
        <f t="shared" si="2"/>
        <v>0</v>
      </c>
      <c r="AJ46">
        <f t="shared" si="3"/>
        <v>0</v>
      </c>
      <c r="AK46">
        <f t="shared" si="4"/>
        <v>0</v>
      </c>
      <c r="AL46">
        <f t="shared" si="5"/>
        <v>0</v>
      </c>
      <c r="AM46">
        <f t="shared" si="6"/>
        <v>0</v>
      </c>
      <c r="AN46">
        <f t="shared" si="7"/>
        <v>0</v>
      </c>
      <c r="AO46">
        <f t="shared" si="8"/>
        <v>0</v>
      </c>
      <c r="AQ46" t="str">
        <f t="shared" si="9"/>
        <v>9</v>
      </c>
      <c r="AR46" t="str">
        <f t="shared" si="10"/>
        <v/>
      </c>
      <c r="AS46">
        <f t="shared" si="11"/>
        <v>0</v>
      </c>
      <c r="AT46" t="str">
        <f t="shared" si="12"/>
        <v/>
      </c>
      <c r="AU46">
        <f t="shared" si="13"/>
        <v>0</v>
      </c>
      <c r="AV46">
        <f t="shared" si="14"/>
        <v>0</v>
      </c>
    </row>
    <row r="47" spans="1:48">
      <c r="A47">
        <v>9</v>
      </c>
      <c r="B47">
        <v>1</v>
      </c>
      <c r="C47" t="s">
        <v>10</v>
      </c>
      <c r="D47" t="str">
        <f t="shared" si="1"/>
        <v>9_1</v>
      </c>
      <c r="E47">
        <v>0</v>
      </c>
      <c r="F47">
        <v>1.875</v>
      </c>
      <c r="G47">
        <v>3.375</v>
      </c>
      <c r="H47">
        <v>3.375</v>
      </c>
      <c r="I47">
        <v>0.625</v>
      </c>
      <c r="J47">
        <v>2.16</v>
      </c>
      <c r="K47">
        <v>1.8399999999999999</v>
      </c>
      <c r="L47">
        <v>9.25</v>
      </c>
      <c r="M47" t="s">
        <v>31</v>
      </c>
      <c r="N47" t="s">
        <v>41</v>
      </c>
      <c r="O47" t="s">
        <v>41</v>
      </c>
      <c r="P47" t="s">
        <v>41</v>
      </c>
      <c r="Q47">
        <v>7</v>
      </c>
      <c r="S47">
        <v>2.16</v>
      </c>
      <c r="T47">
        <v>1.8399999999999999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1.8399999999999999</v>
      </c>
      <c r="AI47">
        <f t="shared" si="2"/>
        <v>0</v>
      </c>
      <c r="AJ47">
        <f t="shared" si="3"/>
        <v>0</v>
      </c>
      <c r="AK47">
        <f t="shared" si="4"/>
        <v>0</v>
      </c>
      <c r="AL47">
        <f t="shared" si="5"/>
        <v>0</v>
      </c>
      <c r="AM47">
        <f t="shared" si="6"/>
        <v>0</v>
      </c>
      <c r="AN47">
        <f t="shared" si="7"/>
        <v>0</v>
      </c>
      <c r="AO47">
        <f t="shared" si="8"/>
        <v>1.8399999999999999</v>
      </c>
      <c r="AQ47" t="str">
        <f t="shared" si="9"/>
        <v>9_1</v>
      </c>
      <c r="AR47">
        <f t="shared" si="10"/>
        <v>1.875</v>
      </c>
      <c r="AS47">
        <f t="shared" si="11"/>
        <v>0</v>
      </c>
      <c r="AT47">
        <f t="shared" si="12"/>
        <v>3.375</v>
      </c>
      <c r="AU47">
        <f t="shared" si="13"/>
        <v>0</v>
      </c>
      <c r="AV47">
        <f t="shared" si="14"/>
        <v>1.8399999999999999</v>
      </c>
    </row>
    <row r="48" spans="1:48">
      <c r="A48">
        <v>9</v>
      </c>
      <c r="B48">
        <v>2</v>
      </c>
      <c r="C48" t="s">
        <v>10</v>
      </c>
      <c r="D48" t="str">
        <f t="shared" si="1"/>
        <v>9_2</v>
      </c>
      <c r="E48">
        <v>0</v>
      </c>
      <c r="F48">
        <v>1</v>
      </c>
      <c r="G48">
        <v>1.75</v>
      </c>
      <c r="H48">
        <v>1.75</v>
      </c>
      <c r="I48">
        <v>0.375</v>
      </c>
      <c r="J48">
        <v>1.1475</v>
      </c>
      <c r="K48">
        <v>0.97749999999999992</v>
      </c>
      <c r="L48">
        <v>4.875</v>
      </c>
      <c r="M48" t="s">
        <v>31</v>
      </c>
      <c r="N48" t="s">
        <v>41</v>
      </c>
      <c r="O48" t="s">
        <v>41</v>
      </c>
      <c r="P48" t="s">
        <v>41</v>
      </c>
      <c r="Q48">
        <v>7</v>
      </c>
      <c r="S48">
        <v>1.1475</v>
      </c>
      <c r="T48">
        <v>0.97749999999999992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0.97749999999999992</v>
      </c>
      <c r="AI48">
        <f t="shared" si="2"/>
        <v>0</v>
      </c>
      <c r="AJ48">
        <f t="shared" si="3"/>
        <v>0</v>
      </c>
      <c r="AK48">
        <f t="shared" si="4"/>
        <v>0</v>
      </c>
      <c r="AL48">
        <f t="shared" si="5"/>
        <v>0</v>
      </c>
      <c r="AM48">
        <f t="shared" si="6"/>
        <v>0</v>
      </c>
      <c r="AN48">
        <f t="shared" si="7"/>
        <v>0</v>
      </c>
      <c r="AO48">
        <f t="shared" si="8"/>
        <v>0.97749999999999992</v>
      </c>
      <c r="AQ48" t="str">
        <f t="shared" si="9"/>
        <v>9_2</v>
      </c>
      <c r="AR48">
        <f t="shared" si="10"/>
        <v>1</v>
      </c>
      <c r="AS48">
        <f t="shared" si="11"/>
        <v>0</v>
      </c>
      <c r="AT48">
        <f t="shared" si="12"/>
        <v>1.75</v>
      </c>
      <c r="AU48">
        <f t="shared" si="13"/>
        <v>0</v>
      </c>
      <c r="AV48">
        <f t="shared" si="14"/>
        <v>0.97749999999999992</v>
      </c>
    </row>
    <row r="49" spans="1:48">
      <c r="A49">
        <v>9</v>
      </c>
      <c r="B49">
        <v>3</v>
      </c>
      <c r="C49" t="s">
        <v>10</v>
      </c>
      <c r="D49" t="str">
        <f t="shared" si="1"/>
        <v>9_3</v>
      </c>
      <c r="E49">
        <v>0</v>
      </c>
      <c r="F49">
        <v>0</v>
      </c>
      <c r="G49">
        <v>0</v>
      </c>
      <c r="H49">
        <v>0</v>
      </c>
      <c r="I49">
        <v>0</v>
      </c>
      <c r="L49">
        <v>0</v>
      </c>
      <c r="M49" t="s">
        <v>11</v>
      </c>
      <c r="N49" t="s">
        <v>36</v>
      </c>
      <c r="O49" t="s">
        <v>36</v>
      </c>
      <c r="P49" t="s">
        <v>36</v>
      </c>
      <c r="Q49">
        <v>7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I49">
        <f t="shared" si="2"/>
        <v>0</v>
      </c>
      <c r="AJ49">
        <f t="shared" si="3"/>
        <v>0</v>
      </c>
      <c r="AK49">
        <f t="shared" si="4"/>
        <v>0</v>
      </c>
      <c r="AL49">
        <f t="shared" si="5"/>
        <v>0</v>
      </c>
      <c r="AM49">
        <f t="shared" si="6"/>
        <v>0</v>
      </c>
      <c r="AN49">
        <f t="shared" si="7"/>
        <v>0</v>
      </c>
      <c r="AO49">
        <f t="shared" si="8"/>
        <v>0</v>
      </c>
      <c r="AQ49" t="str">
        <f t="shared" si="9"/>
        <v>9_3</v>
      </c>
      <c r="AR49">
        <f t="shared" si="10"/>
        <v>0</v>
      </c>
      <c r="AS49">
        <f t="shared" si="11"/>
        <v>0</v>
      </c>
      <c r="AT49">
        <f t="shared" si="12"/>
        <v>0</v>
      </c>
      <c r="AU49">
        <f t="shared" si="13"/>
        <v>0</v>
      </c>
      <c r="AV49">
        <f t="shared" si="14"/>
        <v>0</v>
      </c>
    </row>
    <row r="50" spans="1:48">
      <c r="A50">
        <v>9</v>
      </c>
      <c r="B50">
        <v>4</v>
      </c>
      <c r="C50" t="s">
        <v>10</v>
      </c>
      <c r="D50" t="str">
        <f t="shared" si="1"/>
        <v>9_4</v>
      </c>
      <c r="E50">
        <v>0</v>
      </c>
      <c r="F50">
        <v>1.875</v>
      </c>
      <c r="G50">
        <v>3.375</v>
      </c>
      <c r="H50">
        <v>3.375</v>
      </c>
      <c r="I50">
        <v>0.625</v>
      </c>
      <c r="J50">
        <v>2.16</v>
      </c>
      <c r="K50">
        <v>1.8399999999999999</v>
      </c>
      <c r="L50">
        <v>9.25</v>
      </c>
      <c r="M50" t="s">
        <v>31</v>
      </c>
      <c r="N50" t="s">
        <v>41</v>
      </c>
      <c r="O50" t="s">
        <v>41</v>
      </c>
      <c r="P50" t="s">
        <v>41</v>
      </c>
      <c r="Q50">
        <v>7</v>
      </c>
      <c r="S50">
        <v>2.16</v>
      </c>
      <c r="T50">
        <v>1.8399999999999999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1.8399999999999999</v>
      </c>
      <c r="AI50">
        <f t="shared" si="2"/>
        <v>0</v>
      </c>
      <c r="AJ50">
        <f t="shared" si="3"/>
        <v>0</v>
      </c>
      <c r="AK50">
        <f t="shared" si="4"/>
        <v>0</v>
      </c>
      <c r="AL50">
        <f t="shared" si="5"/>
        <v>0</v>
      </c>
      <c r="AM50">
        <f t="shared" si="6"/>
        <v>0</v>
      </c>
      <c r="AN50">
        <f t="shared" si="7"/>
        <v>0</v>
      </c>
      <c r="AO50">
        <f t="shared" si="8"/>
        <v>1.8399999999999999</v>
      </c>
      <c r="AQ50" t="str">
        <f t="shared" si="9"/>
        <v>9_4</v>
      </c>
      <c r="AR50">
        <f t="shared" si="10"/>
        <v>1.875</v>
      </c>
      <c r="AS50">
        <f t="shared" si="11"/>
        <v>0</v>
      </c>
      <c r="AT50">
        <f t="shared" si="12"/>
        <v>3.375</v>
      </c>
      <c r="AU50">
        <f t="shared" si="13"/>
        <v>0</v>
      </c>
      <c r="AV50">
        <f t="shared" si="14"/>
        <v>1.8399999999999999</v>
      </c>
    </row>
    <row r="51" spans="1:48">
      <c r="A51">
        <v>9</v>
      </c>
      <c r="B51">
        <v>5</v>
      </c>
      <c r="C51" t="s">
        <v>10</v>
      </c>
      <c r="D51" t="str">
        <f t="shared" si="1"/>
        <v>9_5</v>
      </c>
      <c r="E51">
        <v>0</v>
      </c>
      <c r="F51">
        <v>1</v>
      </c>
      <c r="G51">
        <v>1.75</v>
      </c>
      <c r="H51">
        <v>1.75</v>
      </c>
      <c r="I51">
        <v>0.375</v>
      </c>
      <c r="J51">
        <v>1.1475</v>
      </c>
      <c r="K51">
        <v>0.97749999999999992</v>
      </c>
      <c r="L51">
        <v>4.875</v>
      </c>
      <c r="M51" t="s">
        <v>31</v>
      </c>
      <c r="N51" t="s">
        <v>41</v>
      </c>
      <c r="O51" t="s">
        <v>41</v>
      </c>
      <c r="P51" t="s">
        <v>41</v>
      </c>
      <c r="Q51">
        <v>7</v>
      </c>
      <c r="S51">
        <v>1.1475</v>
      </c>
      <c r="T51">
        <v>0.97749999999999992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0.97749999999999992</v>
      </c>
      <c r="AI51">
        <f t="shared" si="2"/>
        <v>0</v>
      </c>
      <c r="AJ51">
        <f t="shared" si="3"/>
        <v>0</v>
      </c>
      <c r="AK51">
        <f t="shared" si="4"/>
        <v>0</v>
      </c>
      <c r="AL51">
        <f t="shared" si="5"/>
        <v>0</v>
      </c>
      <c r="AM51">
        <f t="shared" si="6"/>
        <v>0</v>
      </c>
      <c r="AN51">
        <f t="shared" si="7"/>
        <v>0</v>
      </c>
      <c r="AO51">
        <f t="shared" si="8"/>
        <v>0.97749999999999992</v>
      </c>
      <c r="AQ51" t="str">
        <f t="shared" si="9"/>
        <v>9_5</v>
      </c>
      <c r="AR51">
        <f t="shared" si="10"/>
        <v>1</v>
      </c>
      <c r="AS51">
        <f t="shared" si="11"/>
        <v>0</v>
      </c>
      <c r="AT51">
        <f t="shared" si="12"/>
        <v>1.75</v>
      </c>
      <c r="AU51">
        <f t="shared" si="13"/>
        <v>0</v>
      </c>
      <c r="AV51">
        <f t="shared" si="14"/>
        <v>0.97749999999999992</v>
      </c>
    </row>
    <row r="52" spans="1:48">
      <c r="A52">
        <v>9</v>
      </c>
      <c r="B52">
        <v>6</v>
      </c>
      <c r="C52" t="s">
        <v>10</v>
      </c>
      <c r="D52" t="str">
        <f t="shared" si="1"/>
        <v>9_6</v>
      </c>
      <c r="E52">
        <v>0</v>
      </c>
      <c r="F52">
        <v>0</v>
      </c>
      <c r="G52">
        <v>0</v>
      </c>
      <c r="H52">
        <v>0</v>
      </c>
      <c r="I52">
        <v>0</v>
      </c>
      <c r="L52">
        <v>0</v>
      </c>
      <c r="M52" t="s">
        <v>11</v>
      </c>
      <c r="N52" t="s">
        <v>36</v>
      </c>
      <c r="O52" t="s">
        <v>36</v>
      </c>
      <c r="P52" t="s">
        <v>36</v>
      </c>
      <c r="Q52">
        <v>7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I52">
        <f t="shared" si="2"/>
        <v>0</v>
      </c>
      <c r="AJ52">
        <f t="shared" si="3"/>
        <v>0</v>
      </c>
      <c r="AK52">
        <f t="shared" si="4"/>
        <v>0</v>
      </c>
      <c r="AL52">
        <f t="shared" si="5"/>
        <v>0</v>
      </c>
      <c r="AM52">
        <f t="shared" si="6"/>
        <v>0</v>
      </c>
      <c r="AN52">
        <f t="shared" si="7"/>
        <v>0</v>
      </c>
      <c r="AO52">
        <f t="shared" si="8"/>
        <v>0</v>
      </c>
      <c r="AQ52" t="str">
        <f t="shared" si="9"/>
        <v>9_6</v>
      </c>
      <c r="AR52">
        <f t="shared" si="10"/>
        <v>0</v>
      </c>
      <c r="AS52">
        <f t="shared" si="11"/>
        <v>0</v>
      </c>
      <c r="AT52">
        <f t="shared" si="12"/>
        <v>0</v>
      </c>
      <c r="AU52">
        <f t="shared" si="13"/>
        <v>0</v>
      </c>
      <c r="AV52">
        <f t="shared" si="14"/>
        <v>0</v>
      </c>
    </row>
    <row r="53" spans="1:48">
      <c r="A53">
        <v>10</v>
      </c>
      <c r="B53" t="s">
        <v>10</v>
      </c>
      <c r="C53" t="s">
        <v>10</v>
      </c>
      <c r="D53" t="str">
        <f t="shared" si="1"/>
        <v>10</v>
      </c>
      <c r="E53" t="s">
        <v>10</v>
      </c>
      <c r="F53" t="s">
        <v>10</v>
      </c>
      <c r="G53" t="s">
        <v>10</v>
      </c>
      <c r="H53" t="s">
        <v>10</v>
      </c>
      <c r="I53" t="s">
        <v>10</v>
      </c>
      <c r="L53">
        <v>0</v>
      </c>
      <c r="M53" t="s">
        <v>11</v>
      </c>
      <c r="N53" t="s">
        <v>11</v>
      </c>
      <c r="O53" t="s">
        <v>11</v>
      </c>
      <c r="P53" t="s">
        <v>11</v>
      </c>
      <c r="Q53">
        <v>13</v>
      </c>
      <c r="R53" t="s">
        <v>35</v>
      </c>
      <c r="Y53">
        <v>0</v>
      </c>
      <c r="AI53">
        <f t="shared" si="2"/>
        <v>0</v>
      </c>
      <c r="AJ53">
        <f t="shared" si="3"/>
        <v>0</v>
      </c>
      <c r="AK53">
        <f t="shared" si="4"/>
        <v>0</v>
      </c>
      <c r="AL53">
        <f t="shared" si="5"/>
        <v>0</v>
      </c>
      <c r="AM53">
        <f t="shared" si="6"/>
        <v>0</v>
      </c>
      <c r="AN53">
        <f t="shared" si="7"/>
        <v>0</v>
      </c>
      <c r="AO53">
        <f t="shared" si="8"/>
        <v>0</v>
      </c>
      <c r="AQ53" t="str">
        <f t="shared" si="9"/>
        <v>10</v>
      </c>
      <c r="AR53" t="str">
        <f t="shared" si="10"/>
        <v/>
      </c>
      <c r="AS53">
        <f t="shared" si="11"/>
        <v>0</v>
      </c>
      <c r="AT53" t="str">
        <f t="shared" si="12"/>
        <v/>
      </c>
      <c r="AU53">
        <f t="shared" si="13"/>
        <v>0</v>
      </c>
      <c r="AV53">
        <f t="shared" si="14"/>
        <v>0</v>
      </c>
    </row>
    <row r="54" spans="1:48">
      <c r="A54">
        <v>10</v>
      </c>
      <c r="B54">
        <v>1</v>
      </c>
      <c r="C54" t="s">
        <v>10</v>
      </c>
      <c r="D54" t="str">
        <f t="shared" si="1"/>
        <v>10_1</v>
      </c>
      <c r="E54">
        <v>0</v>
      </c>
      <c r="F54">
        <v>1</v>
      </c>
      <c r="G54">
        <v>1.75</v>
      </c>
      <c r="H54">
        <v>1.75</v>
      </c>
      <c r="I54">
        <v>0.375</v>
      </c>
      <c r="J54">
        <v>1.1475</v>
      </c>
      <c r="K54">
        <v>0.97749999999999992</v>
      </c>
      <c r="L54">
        <v>4.875</v>
      </c>
      <c r="M54" t="s">
        <v>31</v>
      </c>
      <c r="N54" t="s">
        <v>32</v>
      </c>
      <c r="O54" t="s">
        <v>37</v>
      </c>
      <c r="P54" t="s">
        <v>33</v>
      </c>
      <c r="Q54">
        <v>13</v>
      </c>
      <c r="S54">
        <v>1.1475</v>
      </c>
      <c r="T54">
        <v>0.97749999999999992</v>
      </c>
      <c r="U54">
        <v>0</v>
      </c>
      <c r="V54">
        <v>0</v>
      </c>
      <c r="W54">
        <v>0</v>
      </c>
      <c r="X54">
        <v>0.22950000000000001</v>
      </c>
      <c r="Y54">
        <v>0.22950000000000001</v>
      </c>
      <c r="Z54">
        <v>1.75</v>
      </c>
      <c r="AA54">
        <v>0.97749999999999992</v>
      </c>
      <c r="AI54">
        <f t="shared" si="2"/>
        <v>0</v>
      </c>
      <c r="AJ54">
        <f t="shared" si="3"/>
        <v>0</v>
      </c>
      <c r="AK54">
        <f t="shared" si="4"/>
        <v>0</v>
      </c>
      <c r="AL54">
        <f t="shared" si="5"/>
        <v>0.22950000000000001</v>
      </c>
      <c r="AM54">
        <f t="shared" si="6"/>
        <v>0.22950000000000001</v>
      </c>
      <c r="AN54">
        <f t="shared" si="7"/>
        <v>1.75</v>
      </c>
      <c r="AO54">
        <f t="shared" si="8"/>
        <v>0.97749999999999992</v>
      </c>
      <c r="AQ54" t="str">
        <f t="shared" si="9"/>
        <v>10_1</v>
      </c>
      <c r="AR54">
        <f t="shared" si="10"/>
        <v>1</v>
      </c>
      <c r="AS54">
        <f t="shared" si="11"/>
        <v>0</v>
      </c>
      <c r="AT54">
        <f t="shared" si="12"/>
        <v>1.75</v>
      </c>
      <c r="AU54">
        <f t="shared" si="13"/>
        <v>1.75</v>
      </c>
      <c r="AV54">
        <f t="shared" si="14"/>
        <v>0.97749999999999992</v>
      </c>
    </row>
    <row r="55" spans="1:48">
      <c r="A55">
        <v>10</v>
      </c>
      <c r="B55">
        <v>2</v>
      </c>
      <c r="C55" t="s">
        <v>10</v>
      </c>
      <c r="D55" t="str">
        <f t="shared" si="1"/>
        <v>10_2</v>
      </c>
      <c r="E55">
        <v>0</v>
      </c>
      <c r="F55">
        <v>0.375</v>
      </c>
      <c r="G55">
        <v>0.625</v>
      </c>
      <c r="H55">
        <v>0.625</v>
      </c>
      <c r="I55">
        <v>0.125</v>
      </c>
      <c r="J55">
        <v>0.40500000000000003</v>
      </c>
      <c r="K55">
        <v>0.34499999999999997</v>
      </c>
      <c r="L55">
        <v>1.75</v>
      </c>
      <c r="M55" t="s">
        <v>31</v>
      </c>
      <c r="N55" t="s">
        <v>33</v>
      </c>
      <c r="O55" t="s">
        <v>37</v>
      </c>
      <c r="P55" t="s">
        <v>33</v>
      </c>
      <c r="Q55">
        <v>13</v>
      </c>
      <c r="S55">
        <v>0.40500000000000003</v>
      </c>
      <c r="T55">
        <v>0.34499999999999997</v>
      </c>
      <c r="U55">
        <v>7.5000000000000011E-2</v>
      </c>
      <c r="V55">
        <v>0</v>
      </c>
      <c r="W55">
        <v>7.5000000000000011E-2</v>
      </c>
      <c r="X55">
        <v>8.1000000000000016E-2</v>
      </c>
      <c r="Y55">
        <v>8.1000000000000016E-2</v>
      </c>
      <c r="Z55">
        <v>0.625</v>
      </c>
      <c r="AA55">
        <v>0.34499999999999997</v>
      </c>
      <c r="AI55">
        <f t="shared" si="2"/>
        <v>7.5000000000000011E-2</v>
      </c>
      <c r="AJ55">
        <f t="shared" si="3"/>
        <v>0</v>
      </c>
      <c r="AK55">
        <f t="shared" si="4"/>
        <v>7.5000000000000011E-2</v>
      </c>
      <c r="AL55">
        <f t="shared" si="5"/>
        <v>8.1000000000000016E-2</v>
      </c>
      <c r="AM55">
        <f t="shared" si="6"/>
        <v>8.1000000000000016E-2</v>
      </c>
      <c r="AN55">
        <f t="shared" si="7"/>
        <v>0.625</v>
      </c>
      <c r="AO55">
        <f t="shared" si="8"/>
        <v>0.34499999999999997</v>
      </c>
      <c r="AQ55" t="str">
        <f t="shared" si="9"/>
        <v>10_2</v>
      </c>
      <c r="AR55">
        <f t="shared" si="10"/>
        <v>0.375</v>
      </c>
      <c r="AS55">
        <f t="shared" si="11"/>
        <v>7.5000000000000011E-2</v>
      </c>
      <c r="AT55">
        <f t="shared" si="12"/>
        <v>0.625</v>
      </c>
      <c r="AU55">
        <f t="shared" si="13"/>
        <v>0.625</v>
      </c>
      <c r="AV55">
        <f t="shared" si="14"/>
        <v>0.34499999999999997</v>
      </c>
    </row>
    <row r="56" spans="1:48">
      <c r="A56">
        <v>10</v>
      </c>
      <c r="B56">
        <v>3</v>
      </c>
      <c r="D56" t="str">
        <f t="shared" si="1"/>
        <v>10_3</v>
      </c>
      <c r="E56">
        <v>0</v>
      </c>
      <c r="F56">
        <v>0.375</v>
      </c>
      <c r="G56">
        <v>0.625</v>
      </c>
      <c r="H56">
        <v>0.625</v>
      </c>
      <c r="I56">
        <v>0.125</v>
      </c>
      <c r="J56">
        <v>0.40500000000000003</v>
      </c>
      <c r="K56">
        <v>0.34499999999999997</v>
      </c>
      <c r="L56">
        <v>1.75</v>
      </c>
      <c r="M56" t="s">
        <v>31</v>
      </c>
      <c r="N56" t="s">
        <v>32</v>
      </c>
      <c r="O56" t="s">
        <v>32</v>
      </c>
      <c r="P56" t="s">
        <v>33</v>
      </c>
      <c r="Q56">
        <v>13</v>
      </c>
      <c r="S56">
        <v>0.40500000000000003</v>
      </c>
      <c r="T56">
        <v>0.34499999999999997</v>
      </c>
      <c r="U56">
        <v>0</v>
      </c>
      <c r="V56">
        <v>0</v>
      </c>
      <c r="W56">
        <v>0</v>
      </c>
      <c r="X56">
        <v>8.1000000000000016E-2</v>
      </c>
      <c r="Y56">
        <v>8.1000000000000016E-2</v>
      </c>
      <c r="Z56">
        <v>0</v>
      </c>
      <c r="AA56">
        <v>0.34499999999999997</v>
      </c>
      <c r="AI56">
        <f t="shared" si="2"/>
        <v>0</v>
      </c>
      <c r="AJ56">
        <f t="shared" si="3"/>
        <v>0</v>
      </c>
      <c r="AK56">
        <f t="shared" si="4"/>
        <v>0</v>
      </c>
      <c r="AL56">
        <f t="shared" si="5"/>
        <v>8.1000000000000016E-2</v>
      </c>
      <c r="AM56">
        <f t="shared" si="6"/>
        <v>8.1000000000000016E-2</v>
      </c>
      <c r="AN56">
        <f t="shared" si="7"/>
        <v>0</v>
      </c>
      <c r="AO56">
        <f t="shared" si="8"/>
        <v>0.34499999999999997</v>
      </c>
      <c r="AQ56" t="str">
        <f t="shared" si="9"/>
        <v>10_3</v>
      </c>
      <c r="AR56">
        <f t="shared" si="10"/>
        <v>0.375</v>
      </c>
      <c r="AS56">
        <f t="shared" si="11"/>
        <v>0</v>
      </c>
      <c r="AT56">
        <f t="shared" si="12"/>
        <v>0.625</v>
      </c>
      <c r="AU56">
        <f t="shared" si="13"/>
        <v>0</v>
      </c>
      <c r="AV56">
        <f t="shared" si="14"/>
        <v>0.34499999999999997</v>
      </c>
    </row>
    <row r="57" spans="1:48">
      <c r="A57">
        <v>11</v>
      </c>
      <c r="B57" t="s">
        <v>10</v>
      </c>
      <c r="C57" t="s">
        <v>10</v>
      </c>
      <c r="D57" t="str">
        <f t="shared" si="1"/>
        <v>11</v>
      </c>
      <c r="E57" t="s">
        <v>10</v>
      </c>
      <c r="F57" t="s">
        <v>10</v>
      </c>
      <c r="G57" t="s">
        <v>10</v>
      </c>
      <c r="H57" t="s">
        <v>10</v>
      </c>
      <c r="I57" t="s">
        <v>10</v>
      </c>
      <c r="L57">
        <v>0</v>
      </c>
      <c r="M57" t="s">
        <v>11</v>
      </c>
      <c r="N57" t="s">
        <v>11</v>
      </c>
      <c r="O57" t="s">
        <v>11</v>
      </c>
      <c r="P57" t="s">
        <v>11</v>
      </c>
      <c r="Q57">
        <v>8</v>
      </c>
      <c r="R57" t="s">
        <v>35</v>
      </c>
      <c r="Y57">
        <v>0</v>
      </c>
      <c r="AI57">
        <f t="shared" si="2"/>
        <v>0</v>
      </c>
      <c r="AJ57">
        <f t="shared" si="3"/>
        <v>0</v>
      </c>
      <c r="AK57">
        <f t="shared" si="4"/>
        <v>0</v>
      </c>
      <c r="AL57">
        <f t="shared" si="5"/>
        <v>0</v>
      </c>
      <c r="AM57">
        <f t="shared" si="6"/>
        <v>0</v>
      </c>
      <c r="AN57">
        <f t="shared" si="7"/>
        <v>0</v>
      </c>
      <c r="AO57">
        <f t="shared" si="8"/>
        <v>0</v>
      </c>
      <c r="AQ57" t="str">
        <f t="shared" si="9"/>
        <v>11</v>
      </c>
      <c r="AR57" t="str">
        <f t="shared" si="10"/>
        <v/>
      </c>
      <c r="AS57">
        <f t="shared" si="11"/>
        <v>0</v>
      </c>
      <c r="AT57" t="str">
        <f t="shared" si="12"/>
        <v/>
      </c>
      <c r="AU57">
        <f t="shared" si="13"/>
        <v>0</v>
      </c>
      <c r="AV57">
        <f t="shared" si="14"/>
        <v>0</v>
      </c>
    </row>
    <row r="58" spans="1:48">
      <c r="A58">
        <v>11</v>
      </c>
      <c r="B58">
        <v>1</v>
      </c>
      <c r="C58" t="s">
        <v>10</v>
      </c>
      <c r="D58" t="str">
        <f t="shared" si="1"/>
        <v>11_1</v>
      </c>
      <c r="E58">
        <v>0</v>
      </c>
      <c r="F58">
        <v>0.625</v>
      </c>
      <c r="G58">
        <v>0</v>
      </c>
      <c r="H58">
        <v>1.125</v>
      </c>
      <c r="I58">
        <v>0.25</v>
      </c>
      <c r="J58">
        <v>0.74250000000000005</v>
      </c>
      <c r="K58">
        <v>0.63249999999999995</v>
      </c>
      <c r="L58">
        <v>2</v>
      </c>
      <c r="M58" t="s">
        <v>31</v>
      </c>
      <c r="N58" t="s">
        <v>42</v>
      </c>
      <c r="O58" t="s">
        <v>36</v>
      </c>
      <c r="P58" t="s">
        <v>37</v>
      </c>
      <c r="Q58">
        <v>8</v>
      </c>
      <c r="S58">
        <v>0.74250000000000005</v>
      </c>
      <c r="T58">
        <v>0.63249999999999995</v>
      </c>
      <c r="U58">
        <v>0.125</v>
      </c>
      <c r="V58">
        <v>0</v>
      </c>
      <c r="W58">
        <v>0.125</v>
      </c>
      <c r="X58">
        <v>0.74250000000000005</v>
      </c>
      <c r="Y58">
        <v>0.14850000000000002</v>
      </c>
      <c r="Z58">
        <v>0</v>
      </c>
      <c r="AA58">
        <v>0.63249999999999995</v>
      </c>
      <c r="AI58">
        <f t="shared" si="2"/>
        <v>0.125</v>
      </c>
      <c r="AJ58">
        <f t="shared" si="3"/>
        <v>0</v>
      </c>
      <c r="AK58">
        <f t="shared" si="4"/>
        <v>0.125</v>
      </c>
      <c r="AL58">
        <f t="shared" si="5"/>
        <v>0.74250000000000005</v>
      </c>
      <c r="AM58">
        <f t="shared" si="6"/>
        <v>0.14850000000000002</v>
      </c>
      <c r="AN58">
        <f t="shared" si="7"/>
        <v>0</v>
      </c>
      <c r="AO58">
        <f t="shared" si="8"/>
        <v>0.63249999999999995</v>
      </c>
      <c r="AQ58" t="str">
        <f t="shared" si="9"/>
        <v>11_1</v>
      </c>
      <c r="AR58">
        <f t="shared" si="10"/>
        <v>0.625</v>
      </c>
      <c r="AS58">
        <f t="shared" si="11"/>
        <v>0.125</v>
      </c>
      <c r="AT58">
        <f t="shared" si="12"/>
        <v>0</v>
      </c>
      <c r="AU58">
        <f t="shared" si="13"/>
        <v>0</v>
      </c>
      <c r="AV58">
        <f t="shared" si="14"/>
        <v>0.63249999999999995</v>
      </c>
    </row>
    <row r="59" spans="1:48">
      <c r="A59">
        <v>11</v>
      </c>
      <c r="B59">
        <v>2</v>
      </c>
      <c r="D59" t="str">
        <f t="shared" si="1"/>
        <v>11_2</v>
      </c>
      <c r="E59">
        <v>0</v>
      </c>
      <c r="F59">
        <v>0.625</v>
      </c>
      <c r="G59">
        <v>0</v>
      </c>
      <c r="H59">
        <v>1.125</v>
      </c>
      <c r="I59">
        <v>0.25</v>
      </c>
      <c r="J59">
        <v>0.74250000000000005</v>
      </c>
      <c r="K59">
        <v>0.63249999999999995</v>
      </c>
      <c r="L59">
        <v>2</v>
      </c>
      <c r="M59" t="s">
        <v>31</v>
      </c>
      <c r="N59" t="s">
        <v>32</v>
      </c>
      <c r="O59" t="s">
        <v>36</v>
      </c>
      <c r="P59" t="s">
        <v>37</v>
      </c>
      <c r="Q59">
        <v>8</v>
      </c>
      <c r="S59">
        <v>0.74250000000000005</v>
      </c>
      <c r="T59">
        <v>0.63249999999999995</v>
      </c>
      <c r="U59">
        <v>0</v>
      </c>
      <c r="V59">
        <v>0</v>
      </c>
      <c r="W59">
        <v>0</v>
      </c>
      <c r="X59">
        <v>0.74250000000000005</v>
      </c>
      <c r="Y59">
        <v>0.14850000000000002</v>
      </c>
      <c r="Z59">
        <v>0</v>
      </c>
      <c r="AA59">
        <v>0.63249999999999995</v>
      </c>
      <c r="AI59">
        <f t="shared" si="2"/>
        <v>0</v>
      </c>
      <c r="AJ59">
        <f t="shared" si="3"/>
        <v>0</v>
      </c>
      <c r="AK59">
        <f t="shared" si="4"/>
        <v>0</v>
      </c>
      <c r="AL59">
        <f t="shared" si="5"/>
        <v>0.74250000000000005</v>
      </c>
      <c r="AM59">
        <f t="shared" si="6"/>
        <v>0.14850000000000002</v>
      </c>
      <c r="AN59">
        <f t="shared" si="7"/>
        <v>0</v>
      </c>
      <c r="AO59">
        <f t="shared" si="8"/>
        <v>0.63249999999999995</v>
      </c>
      <c r="AQ59" t="str">
        <f t="shared" si="9"/>
        <v>11_2</v>
      </c>
      <c r="AR59">
        <f t="shared" si="10"/>
        <v>0.625</v>
      </c>
      <c r="AS59">
        <f t="shared" si="11"/>
        <v>0</v>
      </c>
      <c r="AT59">
        <f t="shared" si="12"/>
        <v>0</v>
      </c>
      <c r="AU59">
        <f t="shared" si="13"/>
        <v>0</v>
      </c>
      <c r="AV59">
        <f t="shared" si="14"/>
        <v>0.63249999999999995</v>
      </c>
    </row>
    <row r="60" spans="1:48">
      <c r="A60">
        <v>11</v>
      </c>
      <c r="B60">
        <v>3</v>
      </c>
      <c r="D60" t="str">
        <f t="shared" si="1"/>
        <v>11_3</v>
      </c>
      <c r="E60">
        <v>0</v>
      </c>
      <c r="F60">
        <v>0.75</v>
      </c>
      <c r="G60">
        <v>0</v>
      </c>
      <c r="H60">
        <v>1.5</v>
      </c>
      <c r="I60">
        <v>0.25</v>
      </c>
      <c r="J60">
        <v>0.94500000000000006</v>
      </c>
      <c r="K60">
        <v>0.80499999999999994</v>
      </c>
      <c r="L60">
        <v>2.5</v>
      </c>
      <c r="M60" t="s">
        <v>31</v>
      </c>
      <c r="N60" t="s">
        <v>32</v>
      </c>
      <c r="O60" t="s">
        <v>36</v>
      </c>
      <c r="P60" t="s">
        <v>42</v>
      </c>
      <c r="Q60">
        <v>8</v>
      </c>
      <c r="S60">
        <v>0.94500000000000006</v>
      </c>
      <c r="T60">
        <v>0.80499999999999994</v>
      </c>
      <c r="U60">
        <v>0</v>
      </c>
      <c r="V60">
        <v>0</v>
      </c>
      <c r="W60">
        <v>0</v>
      </c>
      <c r="X60">
        <v>0.18900000000000003</v>
      </c>
      <c r="Y60">
        <v>0.18900000000000003</v>
      </c>
      <c r="Z60">
        <v>0</v>
      </c>
      <c r="AA60">
        <v>0.80499999999999994</v>
      </c>
      <c r="AI60">
        <f t="shared" si="2"/>
        <v>0</v>
      </c>
      <c r="AJ60">
        <f t="shared" si="3"/>
        <v>0</v>
      </c>
      <c r="AK60">
        <f t="shared" si="4"/>
        <v>0</v>
      </c>
      <c r="AL60">
        <f t="shared" si="5"/>
        <v>0.18900000000000003</v>
      </c>
      <c r="AM60">
        <f t="shared" si="6"/>
        <v>0.18900000000000003</v>
      </c>
      <c r="AN60">
        <f t="shared" si="7"/>
        <v>0</v>
      </c>
      <c r="AO60">
        <f t="shared" si="8"/>
        <v>0.80499999999999994</v>
      </c>
      <c r="AQ60" t="str">
        <f t="shared" si="9"/>
        <v>11_3</v>
      </c>
      <c r="AR60">
        <f t="shared" si="10"/>
        <v>0.75</v>
      </c>
      <c r="AS60">
        <f t="shared" si="11"/>
        <v>0</v>
      </c>
      <c r="AT60">
        <f t="shared" si="12"/>
        <v>0</v>
      </c>
      <c r="AU60">
        <f t="shared" si="13"/>
        <v>0</v>
      </c>
      <c r="AV60">
        <f t="shared" si="14"/>
        <v>0.80499999999999994</v>
      </c>
    </row>
    <row r="61" spans="1:48">
      <c r="A61">
        <v>12</v>
      </c>
      <c r="B61" t="s">
        <v>10</v>
      </c>
      <c r="C61" t="s">
        <v>10</v>
      </c>
      <c r="D61" t="str">
        <f t="shared" si="1"/>
        <v>12</v>
      </c>
      <c r="E61" t="s">
        <v>10</v>
      </c>
      <c r="F61" t="s">
        <v>10</v>
      </c>
      <c r="G61" t="s">
        <v>10</v>
      </c>
      <c r="H61" t="s">
        <v>10</v>
      </c>
      <c r="I61" t="s">
        <v>10</v>
      </c>
      <c r="L61">
        <v>0</v>
      </c>
      <c r="M61" t="s">
        <v>11</v>
      </c>
      <c r="N61" t="s">
        <v>11</v>
      </c>
      <c r="O61" t="s">
        <v>11</v>
      </c>
      <c r="P61" t="s">
        <v>11</v>
      </c>
      <c r="Q61" t="s">
        <v>34</v>
      </c>
      <c r="R61" t="s">
        <v>38</v>
      </c>
      <c r="AI61">
        <f t="shared" si="2"/>
        <v>0</v>
      </c>
      <c r="AJ61">
        <f t="shared" si="3"/>
        <v>0</v>
      </c>
      <c r="AK61">
        <f t="shared" si="4"/>
        <v>0</v>
      </c>
      <c r="AL61">
        <f t="shared" si="5"/>
        <v>0</v>
      </c>
      <c r="AM61">
        <f t="shared" si="6"/>
        <v>0</v>
      </c>
      <c r="AN61">
        <f t="shared" si="7"/>
        <v>0</v>
      </c>
      <c r="AO61">
        <f t="shared" si="8"/>
        <v>0</v>
      </c>
      <c r="AQ61" t="str">
        <f t="shared" si="9"/>
        <v>12</v>
      </c>
      <c r="AR61" t="str">
        <f t="shared" si="10"/>
        <v/>
      </c>
      <c r="AS61">
        <f t="shared" si="11"/>
        <v>0</v>
      </c>
      <c r="AT61" t="str">
        <f t="shared" si="12"/>
        <v/>
      </c>
      <c r="AU61">
        <f t="shared" si="13"/>
        <v>0</v>
      </c>
      <c r="AV61">
        <f t="shared" si="14"/>
        <v>0</v>
      </c>
    </row>
    <row r="62" spans="1:48">
      <c r="A62">
        <v>12</v>
      </c>
      <c r="B62">
        <v>1</v>
      </c>
      <c r="C62" t="s">
        <v>10</v>
      </c>
      <c r="D62" t="str">
        <f t="shared" si="1"/>
        <v>12_1</v>
      </c>
      <c r="E62">
        <v>0</v>
      </c>
      <c r="F62">
        <v>2.25</v>
      </c>
      <c r="G62">
        <v>4.125</v>
      </c>
      <c r="H62">
        <v>4.125</v>
      </c>
      <c r="I62">
        <v>0.75</v>
      </c>
      <c r="J62">
        <v>2.6325000000000003</v>
      </c>
      <c r="K62">
        <v>2.2424999999999997</v>
      </c>
      <c r="L62">
        <v>11.25</v>
      </c>
      <c r="M62" t="s">
        <v>31</v>
      </c>
      <c r="N62" t="s">
        <v>11</v>
      </c>
      <c r="O62" t="s">
        <v>11</v>
      </c>
      <c r="P62" t="s">
        <v>11</v>
      </c>
      <c r="Q62" t="s">
        <v>34</v>
      </c>
      <c r="S62">
        <v>2.6325000000000003</v>
      </c>
      <c r="T62">
        <v>2.2424999999999997</v>
      </c>
      <c r="AB62">
        <v>2.25</v>
      </c>
      <c r="AD62">
        <v>0.45</v>
      </c>
      <c r="AE62">
        <v>2.6325000000000003</v>
      </c>
      <c r="AF62">
        <v>0.52650000000000008</v>
      </c>
      <c r="AG62">
        <v>4.125</v>
      </c>
      <c r="AH62">
        <v>2.2424999999999997</v>
      </c>
      <c r="AI62">
        <f t="shared" si="2"/>
        <v>2.25</v>
      </c>
      <c r="AJ62">
        <f t="shared" si="3"/>
        <v>0</v>
      </c>
      <c r="AK62">
        <f t="shared" si="4"/>
        <v>0.45</v>
      </c>
      <c r="AL62">
        <f t="shared" si="5"/>
        <v>2.6325000000000003</v>
      </c>
      <c r="AM62">
        <f t="shared" si="6"/>
        <v>0.52650000000000008</v>
      </c>
      <c r="AN62">
        <f t="shared" si="7"/>
        <v>4.125</v>
      </c>
      <c r="AO62">
        <f t="shared" si="8"/>
        <v>2.2424999999999997</v>
      </c>
      <c r="AQ62" t="str">
        <f t="shared" si="9"/>
        <v>12_1</v>
      </c>
      <c r="AR62">
        <f t="shared" si="10"/>
        <v>2.25</v>
      </c>
      <c r="AS62">
        <f t="shared" si="11"/>
        <v>2.25</v>
      </c>
      <c r="AT62">
        <f t="shared" si="12"/>
        <v>4.125</v>
      </c>
      <c r="AU62">
        <f t="shared" si="13"/>
        <v>4.125</v>
      </c>
      <c r="AV62">
        <f t="shared" si="14"/>
        <v>2.2424999999999997</v>
      </c>
    </row>
    <row r="63" spans="1:48">
      <c r="A63">
        <v>12</v>
      </c>
      <c r="B63">
        <v>2</v>
      </c>
      <c r="C63" t="s">
        <v>10</v>
      </c>
      <c r="D63" t="str">
        <f t="shared" si="1"/>
        <v>12_2</v>
      </c>
      <c r="E63">
        <v>0</v>
      </c>
      <c r="F63">
        <v>2.25</v>
      </c>
      <c r="G63">
        <v>4.125</v>
      </c>
      <c r="H63">
        <v>4.125</v>
      </c>
      <c r="I63">
        <v>0.75</v>
      </c>
      <c r="J63">
        <v>2.6325000000000003</v>
      </c>
      <c r="K63">
        <v>2.2424999999999997</v>
      </c>
      <c r="L63">
        <v>11.25</v>
      </c>
      <c r="M63" t="s">
        <v>31</v>
      </c>
      <c r="N63" t="s">
        <v>11</v>
      </c>
      <c r="O63" t="s">
        <v>11</v>
      </c>
      <c r="P63" t="s">
        <v>11</v>
      </c>
      <c r="Q63" t="s">
        <v>34</v>
      </c>
      <c r="S63">
        <v>2.6325000000000003</v>
      </c>
      <c r="T63">
        <v>2.2424999999999997</v>
      </c>
      <c r="AB63">
        <v>2.25</v>
      </c>
      <c r="AD63">
        <v>0.45</v>
      </c>
      <c r="AE63">
        <v>2.6325000000000003</v>
      </c>
      <c r="AF63">
        <v>0.52650000000000008</v>
      </c>
      <c r="AG63">
        <v>4.125</v>
      </c>
      <c r="AH63">
        <v>2.2424999999999997</v>
      </c>
      <c r="AI63">
        <f t="shared" si="2"/>
        <v>2.25</v>
      </c>
      <c r="AJ63">
        <f t="shared" si="3"/>
        <v>0</v>
      </c>
      <c r="AK63">
        <f t="shared" si="4"/>
        <v>0.45</v>
      </c>
      <c r="AL63">
        <f t="shared" si="5"/>
        <v>2.6325000000000003</v>
      </c>
      <c r="AM63">
        <f t="shared" si="6"/>
        <v>0.52650000000000008</v>
      </c>
      <c r="AN63">
        <f t="shared" si="7"/>
        <v>4.125</v>
      </c>
      <c r="AO63">
        <f t="shared" si="8"/>
        <v>2.2424999999999997</v>
      </c>
      <c r="AQ63" t="str">
        <f t="shared" si="9"/>
        <v>12_2</v>
      </c>
      <c r="AR63">
        <f t="shared" si="10"/>
        <v>2.25</v>
      </c>
      <c r="AS63">
        <f t="shared" si="11"/>
        <v>2.25</v>
      </c>
      <c r="AT63">
        <f t="shared" si="12"/>
        <v>4.125</v>
      </c>
      <c r="AU63">
        <f t="shared" si="13"/>
        <v>4.125</v>
      </c>
      <c r="AV63">
        <f t="shared" si="14"/>
        <v>2.2424999999999997</v>
      </c>
    </row>
    <row r="64" spans="1:48">
      <c r="A64">
        <v>12</v>
      </c>
      <c r="B64">
        <v>3</v>
      </c>
      <c r="C64" t="s">
        <v>10</v>
      </c>
      <c r="D64" t="str">
        <f t="shared" si="1"/>
        <v>12_3</v>
      </c>
      <c r="E64">
        <v>0</v>
      </c>
      <c r="F64">
        <v>1.125</v>
      </c>
      <c r="G64">
        <v>0</v>
      </c>
      <c r="H64">
        <v>2.125</v>
      </c>
      <c r="I64">
        <v>0.375</v>
      </c>
      <c r="J64">
        <v>1.35</v>
      </c>
      <c r="K64">
        <v>1.1499999999999999</v>
      </c>
      <c r="L64">
        <v>3.625</v>
      </c>
      <c r="M64" t="s">
        <v>31</v>
      </c>
      <c r="N64" t="s">
        <v>11</v>
      </c>
      <c r="O64" t="s">
        <v>11</v>
      </c>
      <c r="P64" t="s">
        <v>11</v>
      </c>
      <c r="Q64" t="s">
        <v>34</v>
      </c>
      <c r="S64">
        <v>1.35</v>
      </c>
      <c r="T64">
        <v>1.1499999999999999</v>
      </c>
      <c r="AB64">
        <v>1.125</v>
      </c>
      <c r="AD64">
        <v>0.22500000000000001</v>
      </c>
      <c r="AE64">
        <v>1.35</v>
      </c>
      <c r="AF64">
        <v>0.27</v>
      </c>
      <c r="AG64">
        <v>0</v>
      </c>
      <c r="AH64">
        <v>1.1499999999999999</v>
      </c>
      <c r="AI64">
        <f t="shared" si="2"/>
        <v>1.125</v>
      </c>
      <c r="AJ64">
        <f t="shared" si="3"/>
        <v>0</v>
      </c>
      <c r="AK64">
        <f t="shared" si="4"/>
        <v>0.22500000000000001</v>
      </c>
      <c r="AL64">
        <f t="shared" si="5"/>
        <v>1.35</v>
      </c>
      <c r="AM64">
        <f t="shared" si="6"/>
        <v>0.27</v>
      </c>
      <c r="AN64">
        <f t="shared" si="7"/>
        <v>0</v>
      </c>
      <c r="AO64">
        <f t="shared" si="8"/>
        <v>1.1499999999999999</v>
      </c>
      <c r="AQ64" t="str">
        <f t="shared" si="9"/>
        <v>12_3</v>
      </c>
      <c r="AR64">
        <f t="shared" si="10"/>
        <v>1.125</v>
      </c>
      <c r="AS64">
        <f t="shared" si="11"/>
        <v>1.125</v>
      </c>
      <c r="AT64">
        <f t="shared" si="12"/>
        <v>0</v>
      </c>
      <c r="AU64">
        <f t="shared" si="13"/>
        <v>0</v>
      </c>
      <c r="AV64">
        <f t="shared" si="14"/>
        <v>1.1499999999999999</v>
      </c>
    </row>
    <row r="65" spans="1:48">
      <c r="A65">
        <v>13</v>
      </c>
      <c r="B65" t="s">
        <v>10</v>
      </c>
      <c r="C65" t="s">
        <v>10</v>
      </c>
      <c r="D65" t="str">
        <f t="shared" si="1"/>
        <v>13</v>
      </c>
      <c r="E65" t="s">
        <v>10</v>
      </c>
      <c r="F65" t="s">
        <v>10</v>
      </c>
      <c r="G65" t="s">
        <v>10</v>
      </c>
      <c r="H65" t="s">
        <v>10</v>
      </c>
      <c r="I65" t="s">
        <v>10</v>
      </c>
      <c r="L65">
        <v>0</v>
      </c>
      <c r="M65" t="s">
        <v>11</v>
      </c>
      <c r="N65" t="s">
        <v>11</v>
      </c>
      <c r="O65" t="s">
        <v>11</v>
      </c>
      <c r="P65" t="s">
        <v>11</v>
      </c>
      <c r="Q65">
        <v>16</v>
      </c>
      <c r="R65" t="s">
        <v>35</v>
      </c>
      <c r="AI65">
        <f t="shared" si="2"/>
        <v>0</v>
      </c>
      <c r="AJ65">
        <f t="shared" si="3"/>
        <v>0</v>
      </c>
      <c r="AK65">
        <f t="shared" si="4"/>
        <v>0</v>
      </c>
      <c r="AL65">
        <f t="shared" si="5"/>
        <v>0</v>
      </c>
      <c r="AM65">
        <f t="shared" si="6"/>
        <v>0</v>
      </c>
      <c r="AN65">
        <f t="shared" si="7"/>
        <v>0</v>
      </c>
      <c r="AO65">
        <f t="shared" si="8"/>
        <v>0</v>
      </c>
      <c r="AQ65" t="str">
        <f t="shared" si="9"/>
        <v>13</v>
      </c>
      <c r="AR65" t="str">
        <f t="shared" si="10"/>
        <v/>
      </c>
      <c r="AS65">
        <f t="shared" si="11"/>
        <v>0</v>
      </c>
      <c r="AT65" t="str">
        <f t="shared" si="12"/>
        <v/>
      </c>
      <c r="AU65">
        <f t="shared" si="13"/>
        <v>0</v>
      </c>
      <c r="AV65">
        <f t="shared" si="14"/>
        <v>0</v>
      </c>
    </row>
    <row r="66" spans="1:48">
      <c r="A66">
        <v>13</v>
      </c>
      <c r="B66">
        <v>1</v>
      </c>
      <c r="C66">
        <v>1</v>
      </c>
      <c r="D66" t="str">
        <f t="shared" si="1"/>
        <v>13_1_1</v>
      </c>
      <c r="E66">
        <v>0</v>
      </c>
      <c r="F66">
        <v>0.75</v>
      </c>
      <c r="G66">
        <v>1.5</v>
      </c>
      <c r="H66">
        <v>1.5</v>
      </c>
      <c r="I66">
        <v>0.25</v>
      </c>
      <c r="J66">
        <v>0.94500000000000006</v>
      </c>
      <c r="K66">
        <v>0.80499999999999994</v>
      </c>
      <c r="L66">
        <v>4</v>
      </c>
      <c r="M66" t="s">
        <v>31</v>
      </c>
      <c r="N66" t="s">
        <v>32</v>
      </c>
      <c r="O66" t="s">
        <v>43</v>
      </c>
      <c r="P66" t="s">
        <v>42</v>
      </c>
      <c r="Q66">
        <v>16</v>
      </c>
      <c r="S66">
        <v>0.94500000000000006</v>
      </c>
      <c r="T66">
        <v>0.80499999999999994</v>
      </c>
      <c r="U66">
        <v>0</v>
      </c>
      <c r="V66">
        <v>0</v>
      </c>
      <c r="W66">
        <v>0</v>
      </c>
      <c r="X66">
        <v>0.18900000000000003</v>
      </c>
      <c r="Y66">
        <v>0.18900000000000003</v>
      </c>
      <c r="Z66">
        <v>1.5</v>
      </c>
      <c r="AA66">
        <v>0.80499999999999994</v>
      </c>
      <c r="AI66">
        <f t="shared" si="2"/>
        <v>0</v>
      </c>
      <c r="AJ66">
        <f t="shared" si="3"/>
        <v>0</v>
      </c>
      <c r="AK66">
        <f t="shared" si="4"/>
        <v>0</v>
      </c>
      <c r="AL66">
        <f t="shared" si="5"/>
        <v>0.18900000000000003</v>
      </c>
      <c r="AM66">
        <f t="shared" si="6"/>
        <v>0.18900000000000003</v>
      </c>
      <c r="AN66">
        <f t="shared" si="7"/>
        <v>1.5</v>
      </c>
      <c r="AO66">
        <f t="shared" si="8"/>
        <v>0.80499999999999994</v>
      </c>
      <c r="AQ66" t="str">
        <f t="shared" si="9"/>
        <v>13_1_1</v>
      </c>
      <c r="AR66">
        <f t="shared" si="10"/>
        <v>0.75</v>
      </c>
      <c r="AS66">
        <f t="shared" si="11"/>
        <v>0</v>
      </c>
      <c r="AT66">
        <f t="shared" si="12"/>
        <v>1.5</v>
      </c>
      <c r="AU66">
        <f t="shared" si="13"/>
        <v>1.5</v>
      </c>
      <c r="AV66">
        <f t="shared" si="14"/>
        <v>0.80499999999999994</v>
      </c>
    </row>
    <row r="67" spans="1:48">
      <c r="A67">
        <v>13</v>
      </c>
      <c r="B67">
        <v>1</v>
      </c>
      <c r="C67">
        <v>2</v>
      </c>
      <c r="D67" t="str">
        <f t="shared" si="1"/>
        <v>13_1_2</v>
      </c>
      <c r="E67">
        <v>0</v>
      </c>
      <c r="F67">
        <v>0.625</v>
      </c>
      <c r="G67">
        <v>1.125</v>
      </c>
      <c r="H67">
        <v>1.125</v>
      </c>
      <c r="I67">
        <v>0.25</v>
      </c>
      <c r="J67">
        <v>0.74250000000000005</v>
      </c>
      <c r="K67">
        <v>0.63249999999999995</v>
      </c>
      <c r="L67">
        <v>3.125</v>
      </c>
      <c r="M67" t="s">
        <v>31</v>
      </c>
      <c r="N67" t="s">
        <v>32</v>
      </c>
      <c r="O67" t="s">
        <v>43</v>
      </c>
      <c r="P67" t="s">
        <v>43</v>
      </c>
      <c r="Q67">
        <v>16</v>
      </c>
      <c r="S67">
        <v>0.74250000000000005</v>
      </c>
      <c r="T67">
        <v>0.63249999999999995</v>
      </c>
      <c r="U67">
        <v>0</v>
      </c>
      <c r="V67">
        <v>0</v>
      </c>
      <c r="W67">
        <v>0</v>
      </c>
      <c r="X67">
        <v>0.74250000000000005</v>
      </c>
      <c r="Y67">
        <v>0.14850000000000002</v>
      </c>
      <c r="Z67">
        <v>1.125</v>
      </c>
      <c r="AA67">
        <v>0.63249999999999995</v>
      </c>
      <c r="AI67">
        <f t="shared" si="2"/>
        <v>0</v>
      </c>
      <c r="AJ67">
        <f t="shared" si="3"/>
        <v>0</v>
      </c>
      <c r="AK67">
        <f t="shared" si="4"/>
        <v>0</v>
      </c>
      <c r="AL67">
        <f t="shared" si="5"/>
        <v>0.74250000000000005</v>
      </c>
      <c r="AM67">
        <f t="shared" si="6"/>
        <v>0.14850000000000002</v>
      </c>
      <c r="AN67">
        <f t="shared" si="7"/>
        <v>1.125</v>
      </c>
      <c r="AO67">
        <f t="shared" si="8"/>
        <v>0.63249999999999995</v>
      </c>
      <c r="AQ67" t="str">
        <f t="shared" si="9"/>
        <v>13_1_2</v>
      </c>
      <c r="AR67">
        <f t="shared" si="10"/>
        <v>0.625</v>
      </c>
      <c r="AS67">
        <f t="shared" si="11"/>
        <v>0</v>
      </c>
      <c r="AT67">
        <f t="shared" si="12"/>
        <v>1.125</v>
      </c>
      <c r="AU67">
        <f t="shared" si="13"/>
        <v>1.125</v>
      </c>
      <c r="AV67">
        <f t="shared" si="14"/>
        <v>0.63249999999999995</v>
      </c>
    </row>
    <row r="68" spans="1:48">
      <c r="A68">
        <v>13</v>
      </c>
      <c r="B68">
        <v>2</v>
      </c>
      <c r="C68">
        <v>1</v>
      </c>
      <c r="D68" t="str">
        <f t="shared" si="1"/>
        <v>13_2_1</v>
      </c>
      <c r="E68">
        <v>0</v>
      </c>
      <c r="F68">
        <v>0.375</v>
      </c>
      <c r="G68">
        <v>0.625</v>
      </c>
      <c r="H68">
        <v>0.625</v>
      </c>
      <c r="I68">
        <v>0.125</v>
      </c>
      <c r="J68">
        <v>0.40500000000000003</v>
      </c>
      <c r="K68">
        <v>0.34499999999999997</v>
      </c>
      <c r="L68">
        <v>1.75</v>
      </c>
      <c r="M68" t="s">
        <v>31</v>
      </c>
      <c r="N68" t="s">
        <v>42</v>
      </c>
      <c r="O68" t="s">
        <v>43</v>
      </c>
      <c r="P68" t="s">
        <v>42</v>
      </c>
      <c r="Q68">
        <v>16</v>
      </c>
      <c r="S68">
        <v>0.40500000000000003</v>
      </c>
      <c r="T68">
        <v>0.34499999999999997</v>
      </c>
      <c r="U68">
        <v>7.5000000000000011E-2</v>
      </c>
      <c r="V68">
        <v>0</v>
      </c>
      <c r="W68">
        <v>7.5000000000000011E-2</v>
      </c>
      <c r="X68">
        <v>8.1000000000000016E-2</v>
      </c>
      <c r="Y68">
        <v>8.1000000000000016E-2</v>
      </c>
      <c r="Z68">
        <v>0.625</v>
      </c>
      <c r="AA68">
        <v>0.34499999999999997</v>
      </c>
      <c r="AI68">
        <f t="shared" si="2"/>
        <v>7.5000000000000011E-2</v>
      </c>
      <c r="AJ68">
        <f t="shared" si="3"/>
        <v>0</v>
      </c>
      <c r="AK68">
        <f t="shared" si="4"/>
        <v>7.5000000000000011E-2</v>
      </c>
      <c r="AL68">
        <f t="shared" si="5"/>
        <v>8.1000000000000016E-2</v>
      </c>
      <c r="AM68">
        <f t="shared" si="6"/>
        <v>8.1000000000000016E-2</v>
      </c>
      <c r="AN68">
        <f t="shared" si="7"/>
        <v>0.625</v>
      </c>
      <c r="AO68">
        <f t="shared" si="8"/>
        <v>0.34499999999999997</v>
      </c>
      <c r="AQ68" t="str">
        <f t="shared" si="9"/>
        <v>13_2_1</v>
      </c>
      <c r="AR68">
        <f t="shared" si="10"/>
        <v>0.375</v>
      </c>
      <c r="AS68">
        <f t="shared" si="11"/>
        <v>7.5000000000000011E-2</v>
      </c>
      <c r="AT68">
        <f t="shared" si="12"/>
        <v>0.625</v>
      </c>
      <c r="AU68">
        <f t="shared" si="13"/>
        <v>0.625</v>
      </c>
      <c r="AV68">
        <f t="shared" si="14"/>
        <v>0.34499999999999997</v>
      </c>
    </row>
    <row r="69" spans="1:48">
      <c r="A69">
        <v>13</v>
      </c>
      <c r="B69">
        <v>2</v>
      </c>
      <c r="C69">
        <v>2</v>
      </c>
      <c r="D69" t="str">
        <f t="shared" ref="D69:D132" si="15">A69&amp;IF(B69="","","_")&amp;B69&amp;IF(C69="","","_")&amp;C69</f>
        <v>13_2_2</v>
      </c>
      <c r="E69">
        <v>0</v>
      </c>
      <c r="F69">
        <v>0.625</v>
      </c>
      <c r="G69">
        <v>1.125</v>
      </c>
      <c r="H69">
        <v>1.125</v>
      </c>
      <c r="I69">
        <v>0.25</v>
      </c>
      <c r="J69">
        <v>0.74250000000000005</v>
      </c>
      <c r="K69">
        <v>0.63249999999999995</v>
      </c>
      <c r="L69">
        <v>3.125</v>
      </c>
      <c r="M69" t="s">
        <v>31</v>
      </c>
      <c r="N69" t="s">
        <v>33</v>
      </c>
      <c r="O69" t="s">
        <v>43</v>
      </c>
      <c r="P69" t="s">
        <v>42</v>
      </c>
      <c r="Q69">
        <v>16</v>
      </c>
      <c r="S69">
        <v>0.74250000000000005</v>
      </c>
      <c r="T69">
        <v>0.63249999999999995</v>
      </c>
      <c r="U69">
        <v>0.125</v>
      </c>
      <c r="V69">
        <v>0</v>
      </c>
      <c r="W69">
        <v>0.125</v>
      </c>
      <c r="X69">
        <v>0.14850000000000002</v>
      </c>
      <c r="Y69">
        <v>0.14850000000000002</v>
      </c>
      <c r="Z69">
        <v>1.125</v>
      </c>
      <c r="AA69">
        <v>0.63249999999999995</v>
      </c>
      <c r="AI69">
        <f t="shared" ref="AI69:AI132" si="16">U69+AB69</f>
        <v>0.125</v>
      </c>
      <c r="AJ69">
        <f t="shared" ref="AJ69:AJ132" si="17">V69+AC69</f>
        <v>0</v>
      </c>
      <c r="AK69">
        <f t="shared" ref="AK69:AK132" si="18">W69+AD69</f>
        <v>0.125</v>
      </c>
      <c r="AL69">
        <f t="shared" ref="AL69:AL132" si="19">X69+AE69</f>
        <v>0.14850000000000002</v>
      </c>
      <c r="AM69">
        <f t="shared" ref="AM69:AM132" si="20">Y69+AF69</f>
        <v>0.14850000000000002</v>
      </c>
      <c r="AN69">
        <f t="shared" ref="AN69:AN132" si="21">Z69+AG69</f>
        <v>1.125</v>
      </c>
      <c r="AO69">
        <f t="shared" ref="AO69:AO132" si="22">AA69+AH69</f>
        <v>0.63249999999999995</v>
      </c>
      <c r="AQ69" t="str">
        <f t="shared" ref="AQ69:AQ132" si="23">D69</f>
        <v>13_2_2</v>
      </c>
      <c r="AR69">
        <f t="shared" ref="AR69:AR132" si="24">F69</f>
        <v>0.625</v>
      </c>
      <c r="AS69">
        <f t="shared" ref="AS69:AS132" si="25">AI69</f>
        <v>0.125</v>
      </c>
      <c r="AT69">
        <f t="shared" ref="AT69:AT132" si="26">G69</f>
        <v>1.125</v>
      </c>
      <c r="AU69">
        <f t="shared" ref="AU69:AU132" si="27">AN69</f>
        <v>1.125</v>
      </c>
      <c r="AV69">
        <f t="shared" ref="AV69:AV132" si="28">AO69</f>
        <v>0.63249999999999995</v>
      </c>
    </row>
    <row r="70" spans="1:48">
      <c r="A70">
        <v>13</v>
      </c>
      <c r="B70">
        <v>2</v>
      </c>
      <c r="C70">
        <v>2</v>
      </c>
      <c r="D70" t="str">
        <f t="shared" si="15"/>
        <v>13_2_2</v>
      </c>
      <c r="E70">
        <v>0</v>
      </c>
      <c r="F70">
        <v>0.625</v>
      </c>
      <c r="G70">
        <v>1.125</v>
      </c>
      <c r="H70">
        <v>1.125</v>
      </c>
      <c r="I70">
        <v>0.25</v>
      </c>
      <c r="J70">
        <v>0.74250000000000005</v>
      </c>
      <c r="K70">
        <v>0.63249999999999995</v>
      </c>
      <c r="L70">
        <v>3.125</v>
      </c>
      <c r="M70" t="s">
        <v>31</v>
      </c>
      <c r="N70" t="s">
        <v>42</v>
      </c>
      <c r="O70" t="s">
        <v>43</v>
      </c>
      <c r="P70" t="s">
        <v>43</v>
      </c>
      <c r="Q70">
        <v>16</v>
      </c>
      <c r="S70">
        <v>0.74250000000000005</v>
      </c>
      <c r="T70">
        <v>0.63249999999999995</v>
      </c>
      <c r="U70">
        <v>0.125</v>
      </c>
      <c r="V70">
        <v>0</v>
      </c>
      <c r="W70">
        <v>0.125</v>
      </c>
      <c r="X70">
        <v>0.74250000000000005</v>
      </c>
      <c r="Y70">
        <v>0.14850000000000002</v>
      </c>
      <c r="Z70">
        <v>1.125</v>
      </c>
      <c r="AA70">
        <v>0.63249999999999995</v>
      </c>
      <c r="AI70">
        <f t="shared" si="16"/>
        <v>0.125</v>
      </c>
      <c r="AJ70">
        <f t="shared" si="17"/>
        <v>0</v>
      </c>
      <c r="AK70">
        <f t="shared" si="18"/>
        <v>0.125</v>
      </c>
      <c r="AL70">
        <f t="shared" si="19"/>
        <v>0.74250000000000005</v>
      </c>
      <c r="AM70">
        <f t="shared" si="20"/>
        <v>0.14850000000000002</v>
      </c>
      <c r="AN70">
        <f t="shared" si="21"/>
        <v>1.125</v>
      </c>
      <c r="AO70">
        <f t="shared" si="22"/>
        <v>0.63249999999999995</v>
      </c>
      <c r="AQ70" t="str">
        <f t="shared" si="23"/>
        <v>13_2_2</v>
      </c>
      <c r="AR70">
        <f t="shared" si="24"/>
        <v>0.625</v>
      </c>
      <c r="AS70">
        <f t="shared" si="25"/>
        <v>0.125</v>
      </c>
      <c r="AT70">
        <f t="shared" si="26"/>
        <v>1.125</v>
      </c>
      <c r="AU70">
        <f t="shared" si="27"/>
        <v>1.125</v>
      </c>
      <c r="AV70">
        <f t="shared" si="28"/>
        <v>0.63249999999999995</v>
      </c>
    </row>
    <row r="71" spans="1:48">
      <c r="A71">
        <v>14</v>
      </c>
      <c r="B71" t="s">
        <v>10</v>
      </c>
      <c r="C71" t="s">
        <v>10</v>
      </c>
      <c r="D71" t="str">
        <f t="shared" si="15"/>
        <v>14</v>
      </c>
      <c r="E71" t="s">
        <v>10</v>
      </c>
      <c r="F71" t="s">
        <v>10</v>
      </c>
      <c r="G71" t="s">
        <v>10</v>
      </c>
      <c r="H71" t="s">
        <v>10</v>
      </c>
      <c r="I71" t="s">
        <v>10</v>
      </c>
      <c r="L71">
        <v>0</v>
      </c>
      <c r="M71" t="s">
        <v>11</v>
      </c>
      <c r="N71" t="s">
        <v>11</v>
      </c>
      <c r="O71" t="s">
        <v>11</v>
      </c>
      <c r="P71" t="s">
        <v>11</v>
      </c>
      <c r="Q71">
        <v>18</v>
      </c>
      <c r="R71" t="s">
        <v>35</v>
      </c>
      <c r="AI71">
        <f t="shared" si="16"/>
        <v>0</v>
      </c>
      <c r="AJ71">
        <f t="shared" si="17"/>
        <v>0</v>
      </c>
      <c r="AK71">
        <f t="shared" si="18"/>
        <v>0</v>
      </c>
      <c r="AL71">
        <f t="shared" si="19"/>
        <v>0</v>
      </c>
      <c r="AM71">
        <f t="shared" si="20"/>
        <v>0</v>
      </c>
      <c r="AN71">
        <f t="shared" si="21"/>
        <v>0</v>
      </c>
      <c r="AO71">
        <f t="shared" si="22"/>
        <v>0</v>
      </c>
      <c r="AQ71" t="str">
        <f t="shared" si="23"/>
        <v>14</v>
      </c>
      <c r="AR71" t="str">
        <f t="shared" si="24"/>
        <v/>
      </c>
      <c r="AS71">
        <f t="shared" si="25"/>
        <v>0</v>
      </c>
      <c r="AT71" t="str">
        <f t="shared" si="26"/>
        <v/>
      </c>
      <c r="AU71">
        <f t="shared" si="27"/>
        <v>0</v>
      </c>
      <c r="AV71">
        <f t="shared" si="28"/>
        <v>0</v>
      </c>
    </row>
    <row r="72" spans="1:48">
      <c r="A72">
        <v>14</v>
      </c>
      <c r="B72">
        <v>1</v>
      </c>
      <c r="C72" t="s">
        <v>10</v>
      </c>
      <c r="D72" t="str">
        <f t="shared" si="15"/>
        <v>14_1</v>
      </c>
      <c r="E72">
        <v>0</v>
      </c>
      <c r="F72">
        <v>1.25</v>
      </c>
      <c r="G72">
        <v>2.25</v>
      </c>
      <c r="H72">
        <v>2.25</v>
      </c>
      <c r="I72">
        <v>0.375</v>
      </c>
      <c r="J72">
        <v>1.4175</v>
      </c>
      <c r="K72">
        <v>1.2075</v>
      </c>
      <c r="L72">
        <v>6.125</v>
      </c>
      <c r="M72" t="s">
        <v>31</v>
      </c>
      <c r="N72" t="s">
        <v>33</v>
      </c>
      <c r="O72" t="s">
        <v>43</v>
      </c>
      <c r="P72" t="s">
        <v>42</v>
      </c>
      <c r="Q72">
        <v>18</v>
      </c>
      <c r="S72">
        <v>1.4175</v>
      </c>
      <c r="T72">
        <v>1.2075</v>
      </c>
      <c r="U72">
        <v>0.25</v>
      </c>
      <c r="V72">
        <v>0</v>
      </c>
      <c r="W72">
        <v>0.25</v>
      </c>
      <c r="X72">
        <v>0.28350000000000003</v>
      </c>
      <c r="Y72">
        <v>0.28350000000000003</v>
      </c>
      <c r="Z72">
        <v>2.25</v>
      </c>
      <c r="AA72">
        <v>1.2075</v>
      </c>
      <c r="AI72">
        <f t="shared" si="16"/>
        <v>0.25</v>
      </c>
      <c r="AJ72">
        <f t="shared" si="17"/>
        <v>0</v>
      </c>
      <c r="AK72">
        <f t="shared" si="18"/>
        <v>0.25</v>
      </c>
      <c r="AL72">
        <f t="shared" si="19"/>
        <v>0.28350000000000003</v>
      </c>
      <c r="AM72">
        <f t="shared" si="20"/>
        <v>0.28350000000000003</v>
      </c>
      <c r="AN72">
        <f t="shared" si="21"/>
        <v>2.25</v>
      </c>
      <c r="AO72">
        <f t="shared" si="22"/>
        <v>1.2075</v>
      </c>
      <c r="AQ72" t="str">
        <f t="shared" si="23"/>
        <v>14_1</v>
      </c>
      <c r="AR72">
        <f t="shared" si="24"/>
        <v>1.25</v>
      </c>
      <c r="AS72">
        <f t="shared" si="25"/>
        <v>0.25</v>
      </c>
      <c r="AT72">
        <f t="shared" si="26"/>
        <v>2.25</v>
      </c>
      <c r="AU72">
        <f t="shared" si="27"/>
        <v>2.25</v>
      </c>
      <c r="AV72">
        <f t="shared" si="28"/>
        <v>1.2075</v>
      </c>
    </row>
    <row r="73" spans="1:48">
      <c r="A73">
        <v>14</v>
      </c>
      <c r="B73">
        <v>2</v>
      </c>
      <c r="D73" t="str">
        <f t="shared" si="15"/>
        <v>14_2</v>
      </c>
      <c r="E73">
        <v>0</v>
      </c>
      <c r="F73">
        <v>0</v>
      </c>
      <c r="G73">
        <v>0</v>
      </c>
      <c r="H73">
        <v>0.625</v>
      </c>
      <c r="I73">
        <v>0.125</v>
      </c>
      <c r="J73">
        <v>0.40500000000000003</v>
      </c>
      <c r="K73">
        <v>0.34499999999999997</v>
      </c>
      <c r="L73">
        <v>0.75</v>
      </c>
      <c r="M73" t="s">
        <v>31</v>
      </c>
      <c r="N73" t="s">
        <v>36</v>
      </c>
      <c r="O73" t="s">
        <v>36</v>
      </c>
      <c r="P73" t="s">
        <v>42</v>
      </c>
      <c r="Q73">
        <v>18</v>
      </c>
      <c r="S73">
        <v>0.40500000000000003</v>
      </c>
      <c r="T73">
        <v>0.34499999999999997</v>
      </c>
      <c r="U73">
        <v>0</v>
      </c>
      <c r="V73">
        <v>0</v>
      </c>
      <c r="W73">
        <v>0</v>
      </c>
      <c r="X73">
        <v>8.1000000000000016E-2</v>
      </c>
      <c r="Y73">
        <v>8.1000000000000016E-2</v>
      </c>
      <c r="Z73">
        <v>0</v>
      </c>
      <c r="AA73">
        <v>0.34499999999999997</v>
      </c>
      <c r="AI73">
        <f t="shared" si="16"/>
        <v>0</v>
      </c>
      <c r="AJ73">
        <f t="shared" si="17"/>
        <v>0</v>
      </c>
      <c r="AK73">
        <f t="shared" si="18"/>
        <v>0</v>
      </c>
      <c r="AL73">
        <f t="shared" si="19"/>
        <v>8.1000000000000016E-2</v>
      </c>
      <c r="AM73">
        <f t="shared" si="20"/>
        <v>8.1000000000000016E-2</v>
      </c>
      <c r="AN73">
        <f t="shared" si="21"/>
        <v>0</v>
      </c>
      <c r="AO73">
        <f t="shared" si="22"/>
        <v>0.34499999999999997</v>
      </c>
      <c r="AQ73" t="str">
        <f t="shared" si="23"/>
        <v>14_2</v>
      </c>
      <c r="AR73">
        <f t="shared" si="24"/>
        <v>0</v>
      </c>
      <c r="AS73">
        <f t="shared" si="25"/>
        <v>0</v>
      </c>
      <c r="AT73">
        <f t="shared" si="26"/>
        <v>0</v>
      </c>
      <c r="AU73">
        <f t="shared" si="27"/>
        <v>0</v>
      </c>
      <c r="AV73">
        <f t="shared" si="28"/>
        <v>0.34499999999999997</v>
      </c>
    </row>
    <row r="74" spans="1:48">
      <c r="A74">
        <v>15</v>
      </c>
      <c r="B74" t="s">
        <v>10</v>
      </c>
      <c r="C74" t="s">
        <v>10</v>
      </c>
      <c r="D74" t="str">
        <f t="shared" si="15"/>
        <v>15</v>
      </c>
      <c r="E74" t="s">
        <v>10</v>
      </c>
      <c r="F74" t="s">
        <v>10</v>
      </c>
      <c r="G74" t="s">
        <v>10</v>
      </c>
      <c r="H74" t="s">
        <v>10</v>
      </c>
      <c r="I74" t="s">
        <v>10</v>
      </c>
      <c r="L74">
        <v>0</v>
      </c>
      <c r="M74" t="s">
        <v>11</v>
      </c>
      <c r="N74" t="s">
        <v>11</v>
      </c>
      <c r="O74" t="s">
        <v>11</v>
      </c>
      <c r="P74" t="s">
        <v>11</v>
      </c>
      <c r="Q74">
        <v>14</v>
      </c>
      <c r="R74" t="s">
        <v>30</v>
      </c>
      <c r="AI74">
        <f t="shared" si="16"/>
        <v>0</v>
      </c>
      <c r="AJ74">
        <f t="shared" si="17"/>
        <v>0</v>
      </c>
      <c r="AK74">
        <f t="shared" si="18"/>
        <v>0</v>
      </c>
      <c r="AL74">
        <f t="shared" si="19"/>
        <v>0</v>
      </c>
      <c r="AM74">
        <f t="shared" si="20"/>
        <v>0</v>
      </c>
      <c r="AN74">
        <f t="shared" si="21"/>
        <v>0</v>
      </c>
      <c r="AO74">
        <f t="shared" si="22"/>
        <v>0</v>
      </c>
      <c r="AQ74" t="str">
        <f t="shared" si="23"/>
        <v>15</v>
      </c>
      <c r="AR74" t="str">
        <f t="shared" si="24"/>
        <v/>
      </c>
      <c r="AS74">
        <f t="shared" si="25"/>
        <v>0</v>
      </c>
      <c r="AT74" t="str">
        <f t="shared" si="26"/>
        <v/>
      </c>
      <c r="AU74">
        <f t="shared" si="27"/>
        <v>0</v>
      </c>
      <c r="AV74">
        <f t="shared" si="28"/>
        <v>0</v>
      </c>
    </row>
    <row r="75" spans="1:48">
      <c r="A75">
        <v>15</v>
      </c>
      <c r="B75">
        <v>1</v>
      </c>
      <c r="C75">
        <v>1</v>
      </c>
      <c r="D75" t="str">
        <f t="shared" si="15"/>
        <v>15_1_1</v>
      </c>
      <c r="E75">
        <v>0</v>
      </c>
      <c r="F75">
        <v>0</v>
      </c>
      <c r="G75">
        <v>0</v>
      </c>
      <c r="H75">
        <v>0</v>
      </c>
      <c r="I75">
        <v>0</v>
      </c>
      <c r="L75">
        <v>0</v>
      </c>
      <c r="M75" t="s">
        <v>11</v>
      </c>
      <c r="N75" t="s">
        <v>36</v>
      </c>
      <c r="O75" t="s">
        <v>36</v>
      </c>
      <c r="P75" t="s">
        <v>36</v>
      </c>
      <c r="Q75">
        <v>14</v>
      </c>
      <c r="S75">
        <v>0</v>
      </c>
      <c r="T75">
        <v>0</v>
      </c>
      <c r="W75">
        <v>0</v>
      </c>
      <c r="X75">
        <v>0</v>
      </c>
      <c r="Z75">
        <v>0</v>
      </c>
      <c r="AI75">
        <f t="shared" si="16"/>
        <v>0</v>
      </c>
      <c r="AJ75">
        <f t="shared" si="17"/>
        <v>0</v>
      </c>
      <c r="AK75">
        <f t="shared" si="18"/>
        <v>0</v>
      </c>
      <c r="AL75">
        <f t="shared" si="19"/>
        <v>0</v>
      </c>
      <c r="AM75">
        <f t="shared" si="20"/>
        <v>0</v>
      </c>
      <c r="AN75">
        <f t="shared" si="21"/>
        <v>0</v>
      </c>
      <c r="AO75">
        <f t="shared" si="22"/>
        <v>0</v>
      </c>
      <c r="AQ75" t="str">
        <f t="shared" si="23"/>
        <v>15_1_1</v>
      </c>
      <c r="AR75">
        <f t="shared" si="24"/>
        <v>0</v>
      </c>
      <c r="AS75">
        <f t="shared" si="25"/>
        <v>0</v>
      </c>
      <c r="AT75">
        <f t="shared" si="26"/>
        <v>0</v>
      </c>
      <c r="AU75">
        <f t="shared" si="27"/>
        <v>0</v>
      </c>
      <c r="AV75">
        <f t="shared" si="28"/>
        <v>0</v>
      </c>
    </row>
    <row r="76" spans="1:48">
      <c r="A76">
        <v>15</v>
      </c>
      <c r="B76">
        <v>1</v>
      </c>
      <c r="C76">
        <v>2</v>
      </c>
      <c r="D76" t="str">
        <f t="shared" si="15"/>
        <v>15_1_2</v>
      </c>
      <c r="E76">
        <v>0</v>
      </c>
      <c r="F76">
        <v>0.25</v>
      </c>
      <c r="G76">
        <v>0.375</v>
      </c>
      <c r="H76">
        <v>0.375</v>
      </c>
      <c r="I76">
        <v>0.125</v>
      </c>
      <c r="J76">
        <v>0.27</v>
      </c>
      <c r="K76">
        <v>0.22999999999999998</v>
      </c>
      <c r="L76">
        <v>1.125</v>
      </c>
      <c r="M76" t="s">
        <v>31</v>
      </c>
      <c r="N76" t="s">
        <v>11</v>
      </c>
      <c r="O76" t="s">
        <v>11</v>
      </c>
      <c r="P76" t="s">
        <v>11</v>
      </c>
      <c r="Q76" t="s">
        <v>34</v>
      </c>
      <c r="S76">
        <v>0.27</v>
      </c>
      <c r="T76">
        <v>0.22999999999999998</v>
      </c>
      <c r="Y76">
        <v>0</v>
      </c>
      <c r="AB76">
        <v>0.25</v>
      </c>
      <c r="AD76">
        <v>0.05</v>
      </c>
      <c r="AE76">
        <v>0.27</v>
      </c>
      <c r="AF76">
        <v>5.4000000000000006E-2</v>
      </c>
      <c r="AG76">
        <v>0.375</v>
      </c>
      <c r="AH76">
        <v>0.22999999999999998</v>
      </c>
      <c r="AI76">
        <f t="shared" si="16"/>
        <v>0.25</v>
      </c>
      <c r="AJ76">
        <f t="shared" si="17"/>
        <v>0</v>
      </c>
      <c r="AK76">
        <f t="shared" si="18"/>
        <v>0.05</v>
      </c>
      <c r="AL76">
        <f t="shared" si="19"/>
        <v>0.27</v>
      </c>
      <c r="AM76">
        <f t="shared" si="20"/>
        <v>5.4000000000000006E-2</v>
      </c>
      <c r="AN76">
        <f t="shared" si="21"/>
        <v>0.375</v>
      </c>
      <c r="AO76">
        <f t="shared" si="22"/>
        <v>0.22999999999999998</v>
      </c>
      <c r="AQ76" t="str">
        <f t="shared" si="23"/>
        <v>15_1_2</v>
      </c>
      <c r="AR76">
        <f t="shared" si="24"/>
        <v>0.25</v>
      </c>
      <c r="AS76">
        <f t="shared" si="25"/>
        <v>0.25</v>
      </c>
      <c r="AT76">
        <f t="shared" si="26"/>
        <v>0.375</v>
      </c>
      <c r="AU76">
        <f t="shared" si="27"/>
        <v>0.375</v>
      </c>
      <c r="AV76">
        <f t="shared" si="28"/>
        <v>0.22999999999999998</v>
      </c>
    </row>
    <row r="77" spans="1:48">
      <c r="A77">
        <v>15</v>
      </c>
      <c r="B77">
        <v>1</v>
      </c>
      <c r="C77">
        <v>3</v>
      </c>
      <c r="D77" t="str">
        <f t="shared" si="15"/>
        <v>15_1_3</v>
      </c>
      <c r="E77">
        <v>0</v>
      </c>
      <c r="F77">
        <v>0.625</v>
      </c>
      <c r="G77">
        <v>1.125</v>
      </c>
      <c r="H77">
        <v>1.125</v>
      </c>
      <c r="I77">
        <v>0.25</v>
      </c>
      <c r="J77">
        <v>0.74250000000000005</v>
      </c>
      <c r="K77">
        <v>0.63249999999999995</v>
      </c>
      <c r="L77">
        <v>3.125</v>
      </c>
      <c r="M77" t="s">
        <v>31</v>
      </c>
      <c r="N77" t="s">
        <v>33</v>
      </c>
      <c r="O77" t="s">
        <v>43</v>
      </c>
      <c r="P77" t="s">
        <v>33</v>
      </c>
      <c r="Q77">
        <v>14</v>
      </c>
      <c r="S77">
        <v>0.74250000000000005</v>
      </c>
      <c r="T77">
        <v>0.63249999999999995</v>
      </c>
      <c r="U77">
        <v>0.125</v>
      </c>
      <c r="V77">
        <v>0</v>
      </c>
      <c r="W77">
        <v>0.125</v>
      </c>
      <c r="X77">
        <v>0.14850000000000002</v>
      </c>
      <c r="Y77">
        <v>0.14850000000000002</v>
      </c>
      <c r="Z77">
        <v>1.125</v>
      </c>
      <c r="AA77">
        <v>0.63249999999999995</v>
      </c>
      <c r="AI77">
        <f t="shared" si="16"/>
        <v>0.125</v>
      </c>
      <c r="AJ77">
        <f t="shared" si="17"/>
        <v>0</v>
      </c>
      <c r="AK77">
        <f t="shared" si="18"/>
        <v>0.125</v>
      </c>
      <c r="AL77">
        <f t="shared" si="19"/>
        <v>0.14850000000000002</v>
      </c>
      <c r="AM77">
        <f t="shared" si="20"/>
        <v>0.14850000000000002</v>
      </c>
      <c r="AN77">
        <f t="shared" si="21"/>
        <v>1.125</v>
      </c>
      <c r="AO77">
        <f t="shared" si="22"/>
        <v>0.63249999999999995</v>
      </c>
      <c r="AQ77" t="str">
        <f t="shared" si="23"/>
        <v>15_1_3</v>
      </c>
      <c r="AR77">
        <f t="shared" si="24"/>
        <v>0.625</v>
      </c>
      <c r="AS77">
        <f t="shared" si="25"/>
        <v>0.125</v>
      </c>
      <c r="AT77">
        <f t="shared" si="26"/>
        <v>1.125</v>
      </c>
      <c r="AU77">
        <f t="shared" si="27"/>
        <v>1.125</v>
      </c>
      <c r="AV77">
        <f t="shared" si="28"/>
        <v>0.63249999999999995</v>
      </c>
    </row>
    <row r="78" spans="1:48">
      <c r="A78">
        <v>15</v>
      </c>
      <c r="B78">
        <v>2</v>
      </c>
      <c r="D78" t="str">
        <f t="shared" si="15"/>
        <v>15_2</v>
      </c>
      <c r="E78">
        <v>0</v>
      </c>
      <c r="F78">
        <v>1</v>
      </c>
      <c r="G78">
        <v>1.75</v>
      </c>
      <c r="H78">
        <v>1.75</v>
      </c>
      <c r="I78">
        <v>0.375</v>
      </c>
      <c r="J78">
        <v>1.1475</v>
      </c>
      <c r="K78">
        <v>0.97749999999999992</v>
      </c>
      <c r="L78">
        <v>4.875</v>
      </c>
      <c r="M78" t="s">
        <v>31</v>
      </c>
      <c r="N78" t="s">
        <v>33</v>
      </c>
      <c r="O78" t="s">
        <v>43</v>
      </c>
      <c r="P78" t="s">
        <v>33</v>
      </c>
      <c r="Q78">
        <v>14</v>
      </c>
      <c r="S78">
        <v>1.1475</v>
      </c>
      <c r="T78">
        <v>0.97749999999999992</v>
      </c>
      <c r="U78">
        <v>0.2</v>
      </c>
      <c r="V78">
        <v>0</v>
      </c>
      <c r="W78">
        <v>0.2</v>
      </c>
      <c r="X78">
        <v>0.22950000000000001</v>
      </c>
      <c r="Y78">
        <v>0.22950000000000001</v>
      </c>
      <c r="Z78">
        <v>1.75</v>
      </c>
      <c r="AA78">
        <v>0.97749999999999992</v>
      </c>
      <c r="AI78">
        <f t="shared" si="16"/>
        <v>0.2</v>
      </c>
      <c r="AJ78">
        <f t="shared" si="17"/>
        <v>0</v>
      </c>
      <c r="AK78">
        <f t="shared" si="18"/>
        <v>0.2</v>
      </c>
      <c r="AL78">
        <f t="shared" si="19"/>
        <v>0.22950000000000001</v>
      </c>
      <c r="AM78">
        <f t="shared" si="20"/>
        <v>0.22950000000000001</v>
      </c>
      <c r="AN78">
        <f t="shared" si="21"/>
        <v>1.75</v>
      </c>
      <c r="AO78">
        <f t="shared" si="22"/>
        <v>0.97749999999999992</v>
      </c>
      <c r="AQ78" t="str">
        <f t="shared" si="23"/>
        <v>15_2</v>
      </c>
      <c r="AR78">
        <f t="shared" si="24"/>
        <v>1</v>
      </c>
      <c r="AS78">
        <f t="shared" si="25"/>
        <v>0.2</v>
      </c>
      <c r="AT78">
        <f t="shared" si="26"/>
        <v>1.75</v>
      </c>
      <c r="AU78">
        <f t="shared" si="27"/>
        <v>1.75</v>
      </c>
      <c r="AV78">
        <f t="shared" si="28"/>
        <v>0.97749999999999992</v>
      </c>
    </row>
    <row r="79" spans="1:48">
      <c r="A79">
        <v>16</v>
      </c>
      <c r="B79" t="s">
        <v>10</v>
      </c>
      <c r="C79" t="s">
        <v>10</v>
      </c>
      <c r="D79" t="str">
        <f t="shared" si="15"/>
        <v>16</v>
      </c>
      <c r="E79" t="s">
        <v>10</v>
      </c>
      <c r="F79" t="s">
        <v>10</v>
      </c>
      <c r="G79" t="s">
        <v>10</v>
      </c>
      <c r="H79" t="s">
        <v>10</v>
      </c>
      <c r="I79" t="s">
        <v>10</v>
      </c>
      <c r="L79">
        <v>0</v>
      </c>
      <c r="M79" t="s">
        <v>11</v>
      </c>
      <c r="N79" t="s">
        <v>11</v>
      </c>
      <c r="O79" t="s">
        <v>11</v>
      </c>
      <c r="P79" t="s">
        <v>11</v>
      </c>
      <c r="Q79">
        <v>57</v>
      </c>
      <c r="R79" t="s">
        <v>30</v>
      </c>
      <c r="AI79">
        <f t="shared" si="16"/>
        <v>0</v>
      </c>
      <c r="AJ79">
        <f t="shared" si="17"/>
        <v>0</v>
      </c>
      <c r="AK79">
        <f t="shared" si="18"/>
        <v>0</v>
      </c>
      <c r="AL79">
        <f t="shared" si="19"/>
        <v>0</v>
      </c>
      <c r="AM79">
        <f t="shared" si="20"/>
        <v>0</v>
      </c>
      <c r="AN79">
        <f t="shared" si="21"/>
        <v>0</v>
      </c>
      <c r="AO79">
        <f t="shared" si="22"/>
        <v>0</v>
      </c>
      <c r="AQ79" t="str">
        <f t="shared" si="23"/>
        <v>16</v>
      </c>
      <c r="AR79" t="str">
        <f t="shared" si="24"/>
        <v/>
      </c>
      <c r="AS79">
        <f t="shared" si="25"/>
        <v>0</v>
      </c>
      <c r="AT79" t="str">
        <f t="shared" si="26"/>
        <v/>
      </c>
      <c r="AU79">
        <f t="shared" si="27"/>
        <v>0</v>
      </c>
      <c r="AV79">
        <f t="shared" si="28"/>
        <v>0</v>
      </c>
    </row>
    <row r="80" spans="1:48">
      <c r="A80">
        <v>16</v>
      </c>
      <c r="B80">
        <v>1</v>
      </c>
      <c r="C80">
        <v>1</v>
      </c>
      <c r="D80" t="str">
        <f t="shared" si="15"/>
        <v>16_1_1</v>
      </c>
      <c r="E80">
        <v>0</v>
      </c>
      <c r="F80">
        <v>3.875</v>
      </c>
      <c r="G80">
        <v>7.25</v>
      </c>
      <c r="H80">
        <v>7.25</v>
      </c>
      <c r="I80">
        <v>1.25</v>
      </c>
      <c r="J80">
        <v>4.59</v>
      </c>
      <c r="K80">
        <v>3.9099999999999997</v>
      </c>
      <c r="L80">
        <v>19.625</v>
      </c>
      <c r="M80" t="s">
        <v>31</v>
      </c>
      <c r="N80" t="s">
        <v>42</v>
      </c>
      <c r="O80" t="s">
        <v>43</v>
      </c>
      <c r="P80" t="s">
        <v>43</v>
      </c>
      <c r="Q80">
        <v>57</v>
      </c>
      <c r="S80">
        <v>4.59</v>
      </c>
      <c r="T80">
        <v>3.9099999999999997</v>
      </c>
      <c r="U80">
        <v>0.77500000000000002</v>
      </c>
      <c r="V80">
        <v>0</v>
      </c>
      <c r="W80">
        <v>0.77500000000000002</v>
      </c>
      <c r="X80">
        <v>4.59</v>
      </c>
      <c r="Y80">
        <v>0.91800000000000004</v>
      </c>
      <c r="Z80">
        <v>7.25</v>
      </c>
      <c r="AA80">
        <v>3.9099999999999997</v>
      </c>
      <c r="AI80">
        <f t="shared" si="16"/>
        <v>0.77500000000000002</v>
      </c>
      <c r="AJ80">
        <f t="shared" si="17"/>
        <v>0</v>
      </c>
      <c r="AK80">
        <f t="shared" si="18"/>
        <v>0.77500000000000002</v>
      </c>
      <c r="AL80">
        <f t="shared" si="19"/>
        <v>4.59</v>
      </c>
      <c r="AM80">
        <f t="shared" si="20"/>
        <v>0.91800000000000004</v>
      </c>
      <c r="AN80">
        <f t="shared" si="21"/>
        <v>7.25</v>
      </c>
      <c r="AO80">
        <f t="shared" si="22"/>
        <v>3.9099999999999997</v>
      </c>
      <c r="AQ80" t="str">
        <f t="shared" si="23"/>
        <v>16_1_1</v>
      </c>
      <c r="AR80">
        <f t="shared" si="24"/>
        <v>3.875</v>
      </c>
      <c r="AS80">
        <f t="shared" si="25"/>
        <v>0.77500000000000002</v>
      </c>
      <c r="AT80">
        <f t="shared" si="26"/>
        <v>7.25</v>
      </c>
      <c r="AU80">
        <f t="shared" si="27"/>
        <v>7.25</v>
      </c>
      <c r="AV80">
        <f t="shared" si="28"/>
        <v>3.9099999999999997</v>
      </c>
    </row>
    <row r="81" spans="1:48">
      <c r="A81">
        <v>16</v>
      </c>
      <c r="B81">
        <v>1</v>
      </c>
      <c r="C81">
        <v>2</v>
      </c>
      <c r="D81" t="str">
        <f t="shared" si="15"/>
        <v>16_1_2</v>
      </c>
      <c r="E81">
        <v>0</v>
      </c>
      <c r="F81">
        <v>1.75</v>
      </c>
      <c r="G81">
        <v>3.25</v>
      </c>
      <c r="H81">
        <v>3.25</v>
      </c>
      <c r="I81">
        <v>0.625</v>
      </c>
      <c r="J81">
        <v>2.0925000000000002</v>
      </c>
      <c r="K81">
        <v>1.7824999999999998</v>
      </c>
      <c r="L81">
        <v>8.875</v>
      </c>
      <c r="M81" t="s">
        <v>31</v>
      </c>
      <c r="N81" t="s">
        <v>11</v>
      </c>
      <c r="O81" t="s">
        <v>11</v>
      </c>
      <c r="P81" t="s">
        <v>11</v>
      </c>
      <c r="Q81" t="s">
        <v>34</v>
      </c>
      <c r="S81">
        <v>2.0925000000000002</v>
      </c>
      <c r="T81">
        <v>1.7824999999999998</v>
      </c>
      <c r="AB81">
        <v>1.75</v>
      </c>
      <c r="AD81">
        <v>0.35000000000000003</v>
      </c>
      <c r="AE81">
        <v>2.0925000000000002</v>
      </c>
      <c r="AF81">
        <v>0.41850000000000009</v>
      </c>
      <c r="AG81">
        <v>3.25</v>
      </c>
      <c r="AH81">
        <v>1.7824999999999998</v>
      </c>
      <c r="AI81">
        <f t="shared" si="16"/>
        <v>1.75</v>
      </c>
      <c r="AJ81">
        <f t="shared" si="17"/>
        <v>0</v>
      </c>
      <c r="AK81">
        <f t="shared" si="18"/>
        <v>0.35000000000000003</v>
      </c>
      <c r="AL81">
        <f t="shared" si="19"/>
        <v>2.0925000000000002</v>
      </c>
      <c r="AM81">
        <f t="shared" si="20"/>
        <v>0.41850000000000009</v>
      </c>
      <c r="AN81">
        <f t="shared" si="21"/>
        <v>3.25</v>
      </c>
      <c r="AO81">
        <f t="shared" si="22"/>
        <v>1.7824999999999998</v>
      </c>
      <c r="AQ81" t="str">
        <f t="shared" si="23"/>
        <v>16_1_2</v>
      </c>
      <c r="AR81">
        <f t="shared" si="24"/>
        <v>1.75</v>
      </c>
      <c r="AS81">
        <f t="shared" si="25"/>
        <v>1.75</v>
      </c>
      <c r="AT81">
        <f t="shared" si="26"/>
        <v>3.25</v>
      </c>
      <c r="AU81">
        <f t="shared" si="27"/>
        <v>3.25</v>
      </c>
      <c r="AV81">
        <f t="shared" si="28"/>
        <v>1.7824999999999998</v>
      </c>
    </row>
    <row r="82" spans="1:48">
      <c r="A82">
        <v>16</v>
      </c>
      <c r="B82">
        <v>2</v>
      </c>
      <c r="C82">
        <v>1</v>
      </c>
      <c r="D82" t="str">
        <f t="shared" si="15"/>
        <v>16_2_1</v>
      </c>
      <c r="F82">
        <v>9.625</v>
      </c>
      <c r="G82">
        <v>17.875</v>
      </c>
      <c r="H82">
        <v>17.875</v>
      </c>
      <c r="I82">
        <v>2.875</v>
      </c>
      <c r="J82">
        <v>11.205</v>
      </c>
      <c r="K82">
        <v>9.5449999999999999</v>
      </c>
      <c r="L82">
        <v>48.25</v>
      </c>
      <c r="M82" t="s">
        <v>31</v>
      </c>
      <c r="N82" t="s">
        <v>42</v>
      </c>
      <c r="O82" t="s">
        <v>43</v>
      </c>
      <c r="P82" t="s">
        <v>43</v>
      </c>
      <c r="Q82">
        <v>57</v>
      </c>
      <c r="S82">
        <v>11.205</v>
      </c>
      <c r="T82">
        <v>9.5449999999999999</v>
      </c>
      <c r="U82">
        <v>1.925</v>
      </c>
      <c r="V82">
        <v>0</v>
      </c>
      <c r="W82">
        <v>1.925</v>
      </c>
      <c r="X82">
        <v>11.205</v>
      </c>
      <c r="Y82">
        <v>2.2410000000000001</v>
      </c>
      <c r="Z82">
        <v>17.875</v>
      </c>
      <c r="AA82">
        <v>9.5449999999999999</v>
      </c>
      <c r="AI82">
        <f t="shared" si="16"/>
        <v>1.925</v>
      </c>
      <c r="AJ82">
        <f t="shared" si="17"/>
        <v>0</v>
      </c>
      <c r="AK82">
        <f t="shared" si="18"/>
        <v>1.925</v>
      </c>
      <c r="AL82">
        <f t="shared" si="19"/>
        <v>11.205</v>
      </c>
      <c r="AM82">
        <f t="shared" si="20"/>
        <v>2.2410000000000001</v>
      </c>
      <c r="AN82">
        <f t="shared" si="21"/>
        <v>17.875</v>
      </c>
      <c r="AO82">
        <f t="shared" si="22"/>
        <v>9.5449999999999999</v>
      </c>
      <c r="AQ82" t="str">
        <f t="shared" si="23"/>
        <v>16_2_1</v>
      </c>
      <c r="AR82">
        <f t="shared" si="24"/>
        <v>9.625</v>
      </c>
      <c r="AS82">
        <f t="shared" si="25"/>
        <v>1.925</v>
      </c>
      <c r="AT82">
        <f t="shared" si="26"/>
        <v>17.875</v>
      </c>
      <c r="AU82">
        <f t="shared" si="27"/>
        <v>17.875</v>
      </c>
      <c r="AV82">
        <f t="shared" si="28"/>
        <v>9.5449999999999999</v>
      </c>
    </row>
    <row r="83" spans="1:48">
      <c r="A83">
        <v>16</v>
      </c>
      <c r="B83">
        <v>2</v>
      </c>
      <c r="C83">
        <v>2</v>
      </c>
      <c r="D83" t="str">
        <f t="shared" si="15"/>
        <v>16_2_2</v>
      </c>
      <c r="F83">
        <v>2</v>
      </c>
      <c r="G83">
        <v>3.75</v>
      </c>
      <c r="H83">
        <v>3.75</v>
      </c>
      <c r="I83">
        <v>0.625</v>
      </c>
      <c r="J83">
        <v>2.3625000000000003</v>
      </c>
      <c r="K83">
        <v>2.0124999999999997</v>
      </c>
      <c r="L83">
        <v>10.125</v>
      </c>
      <c r="M83" t="s">
        <v>31</v>
      </c>
      <c r="N83" t="s">
        <v>11</v>
      </c>
      <c r="O83" t="s">
        <v>11</v>
      </c>
      <c r="P83" t="s">
        <v>11</v>
      </c>
      <c r="Q83" t="s">
        <v>34</v>
      </c>
      <c r="S83">
        <v>2.3625000000000003</v>
      </c>
      <c r="T83">
        <v>2.0124999999999997</v>
      </c>
      <c r="AB83">
        <v>2</v>
      </c>
      <c r="AD83">
        <v>0.4</v>
      </c>
      <c r="AE83">
        <v>2.3625000000000003</v>
      </c>
      <c r="AF83">
        <v>0.47250000000000009</v>
      </c>
      <c r="AG83">
        <v>3.75</v>
      </c>
      <c r="AH83">
        <v>2.0124999999999997</v>
      </c>
      <c r="AI83">
        <f t="shared" si="16"/>
        <v>2</v>
      </c>
      <c r="AJ83">
        <f t="shared" si="17"/>
        <v>0</v>
      </c>
      <c r="AK83">
        <f t="shared" si="18"/>
        <v>0.4</v>
      </c>
      <c r="AL83">
        <f t="shared" si="19"/>
        <v>2.3625000000000003</v>
      </c>
      <c r="AM83">
        <f t="shared" si="20"/>
        <v>0.47250000000000009</v>
      </c>
      <c r="AN83">
        <f t="shared" si="21"/>
        <v>3.75</v>
      </c>
      <c r="AO83">
        <f t="shared" si="22"/>
        <v>2.0124999999999997</v>
      </c>
      <c r="AQ83" t="str">
        <f t="shared" si="23"/>
        <v>16_2_2</v>
      </c>
      <c r="AR83">
        <f t="shared" si="24"/>
        <v>2</v>
      </c>
      <c r="AS83">
        <f t="shared" si="25"/>
        <v>2</v>
      </c>
      <c r="AT83">
        <f t="shared" si="26"/>
        <v>3.75</v>
      </c>
      <c r="AU83">
        <f t="shared" si="27"/>
        <v>3.75</v>
      </c>
      <c r="AV83">
        <f t="shared" si="28"/>
        <v>2.0124999999999997</v>
      </c>
    </row>
    <row r="84" spans="1:48">
      <c r="A84">
        <v>16</v>
      </c>
      <c r="B84">
        <v>3</v>
      </c>
      <c r="C84">
        <v>1</v>
      </c>
      <c r="D84" t="str">
        <f t="shared" si="15"/>
        <v>16_3_1</v>
      </c>
      <c r="E84">
        <v>0</v>
      </c>
      <c r="F84">
        <v>0</v>
      </c>
      <c r="G84">
        <v>0</v>
      </c>
      <c r="H84">
        <v>17.875</v>
      </c>
      <c r="I84">
        <v>2.875</v>
      </c>
      <c r="J84">
        <v>11.205</v>
      </c>
      <c r="K84">
        <v>9.5449999999999999</v>
      </c>
      <c r="L84">
        <v>20.75</v>
      </c>
      <c r="M84" t="s">
        <v>31</v>
      </c>
      <c r="N84" t="s">
        <v>36</v>
      </c>
      <c r="O84" t="s">
        <v>36</v>
      </c>
      <c r="P84" t="s">
        <v>42</v>
      </c>
      <c r="Q84">
        <v>57</v>
      </c>
      <c r="S84">
        <v>11.205</v>
      </c>
      <c r="T84">
        <v>9.5449999999999999</v>
      </c>
      <c r="U84">
        <v>0</v>
      </c>
      <c r="V84">
        <v>0</v>
      </c>
      <c r="W84">
        <v>0</v>
      </c>
      <c r="X84">
        <v>2.2410000000000001</v>
      </c>
      <c r="Y84">
        <v>2.2410000000000001</v>
      </c>
      <c r="Z84">
        <v>0</v>
      </c>
      <c r="AA84">
        <v>9.5449999999999999</v>
      </c>
      <c r="AI84">
        <f t="shared" si="16"/>
        <v>0</v>
      </c>
      <c r="AJ84">
        <f t="shared" si="17"/>
        <v>0</v>
      </c>
      <c r="AK84">
        <f t="shared" si="18"/>
        <v>0</v>
      </c>
      <c r="AL84">
        <f t="shared" si="19"/>
        <v>2.2410000000000001</v>
      </c>
      <c r="AM84">
        <f t="shared" si="20"/>
        <v>2.2410000000000001</v>
      </c>
      <c r="AN84">
        <f t="shared" si="21"/>
        <v>0</v>
      </c>
      <c r="AO84">
        <f t="shared" si="22"/>
        <v>9.5449999999999999</v>
      </c>
      <c r="AQ84" t="str">
        <f t="shared" si="23"/>
        <v>16_3_1</v>
      </c>
      <c r="AR84">
        <f t="shared" si="24"/>
        <v>0</v>
      </c>
      <c r="AS84">
        <f t="shared" si="25"/>
        <v>0</v>
      </c>
      <c r="AT84">
        <f t="shared" si="26"/>
        <v>0</v>
      </c>
      <c r="AU84">
        <f t="shared" si="27"/>
        <v>0</v>
      </c>
      <c r="AV84">
        <f t="shared" si="28"/>
        <v>9.5449999999999999</v>
      </c>
    </row>
    <row r="85" spans="1:48">
      <c r="A85">
        <v>16</v>
      </c>
      <c r="B85">
        <v>3</v>
      </c>
      <c r="C85">
        <v>2</v>
      </c>
      <c r="D85" t="str">
        <f t="shared" si="15"/>
        <v>16_3_2</v>
      </c>
      <c r="E85">
        <v>0</v>
      </c>
      <c r="F85">
        <v>0</v>
      </c>
      <c r="G85">
        <v>0</v>
      </c>
      <c r="H85">
        <v>3.75</v>
      </c>
      <c r="I85">
        <v>0.625</v>
      </c>
      <c r="J85">
        <v>2.3625000000000003</v>
      </c>
      <c r="K85">
        <v>2.0124999999999997</v>
      </c>
      <c r="L85">
        <v>4.375</v>
      </c>
      <c r="M85" t="s">
        <v>31</v>
      </c>
      <c r="N85" t="s">
        <v>11</v>
      </c>
      <c r="O85" t="s">
        <v>11</v>
      </c>
      <c r="P85" t="s">
        <v>11</v>
      </c>
      <c r="Q85" t="s">
        <v>34</v>
      </c>
      <c r="S85">
        <v>2.3625000000000003</v>
      </c>
      <c r="T85">
        <v>2.0124999999999997</v>
      </c>
      <c r="AB85">
        <v>0</v>
      </c>
      <c r="AD85">
        <v>0</v>
      </c>
      <c r="AE85">
        <v>2.3625000000000003</v>
      </c>
      <c r="AF85">
        <v>0.47250000000000009</v>
      </c>
      <c r="AG85">
        <v>0</v>
      </c>
      <c r="AH85">
        <v>2.0124999999999997</v>
      </c>
      <c r="AI85">
        <f t="shared" si="16"/>
        <v>0</v>
      </c>
      <c r="AJ85">
        <f t="shared" si="17"/>
        <v>0</v>
      </c>
      <c r="AK85">
        <f t="shared" si="18"/>
        <v>0</v>
      </c>
      <c r="AL85">
        <f t="shared" si="19"/>
        <v>2.3625000000000003</v>
      </c>
      <c r="AM85">
        <f t="shared" si="20"/>
        <v>0.47250000000000009</v>
      </c>
      <c r="AN85">
        <f t="shared" si="21"/>
        <v>0</v>
      </c>
      <c r="AO85">
        <f t="shared" si="22"/>
        <v>2.0124999999999997</v>
      </c>
      <c r="AQ85" t="str">
        <f t="shared" si="23"/>
        <v>16_3_2</v>
      </c>
      <c r="AR85">
        <f t="shared" si="24"/>
        <v>0</v>
      </c>
      <c r="AS85">
        <f t="shared" si="25"/>
        <v>0</v>
      </c>
      <c r="AT85">
        <f t="shared" si="26"/>
        <v>0</v>
      </c>
      <c r="AU85">
        <f t="shared" si="27"/>
        <v>0</v>
      </c>
      <c r="AV85">
        <f t="shared" si="28"/>
        <v>2.0124999999999997</v>
      </c>
    </row>
    <row r="86" spans="1:48">
      <c r="A86">
        <v>16</v>
      </c>
      <c r="B86">
        <v>4</v>
      </c>
      <c r="C86">
        <v>1</v>
      </c>
      <c r="D86" t="str">
        <f t="shared" si="15"/>
        <v>16_4_1</v>
      </c>
      <c r="E86">
        <v>0</v>
      </c>
      <c r="F86">
        <v>0</v>
      </c>
      <c r="G86">
        <v>0</v>
      </c>
      <c r="H86">
        <v>9</v>
      </c>
      <c r="I86">
        <v>1.5</v>
      </c>
      <c r="J86">
        <v>5.67</v>
      </c>
      <c r="K86">
        <v>4.83</v>
      </c>
      <c r="L86">
        <v>10.5</v>
      </c>
      <c r="M86" t="s">
        <v>31</v>
      </c>
      <c r="N86" t="s">
        <v>36</v>
      </c>
      <c r="O86" t="s">
        <v>36</v>
      </c>
      <c r="P86" t="s">
        <v>43</v>
      </c>
      <c r="Q86">
        <v>57</v>
      </c>
      <c r="S86">
        <v>5.67</v>
      </c>
      <c r="T86">
        <v>4.83</v>
      </c>
      <c r="U86">
        <v>0</v>
      </c>
      <c r="V86">
        <v>0</v>
      </c>
      <c r="W86">
        <v>0</v>
      </c>
      <c r="X86">
        <v>5.67</v>
      </c>
      <c r="Y86">
        <v>1.1340000000000001</v>
      </c>
      <c r="Z86">
        <v>0</v>
      </c>
      <c r="AA86">
        <v>4.83</v>
      </c>
      <c r="AI86">
        <f t="shared" si="16"/>
        <v>0</v>
      </c>
      <c r="AJ86">
        <f t="shared" si="17"/>
        <v>0</v>
      </c>
      <c r="AK86">
        <f t="shared" si="18"/>
        <v>0</v>
      </c>
      <c r="AL86">
        <f t="shared" si="19"/>
        <v>5.67</v>
      </c>
      <c r="AM86">
        <f t="shared" si="20"/>
        <v>1.1340000000000001</v>
      </c>
      <c r="AN86">
        <f t="shared" si="21"/>
        <v>0</v>
      </c>
      <c r="AO86">
        <f t="shared" si="22"/>
        <v>4.83</v>
      </c>
      <c r="AQ86" t="str">
        <f t="shared" si="23"/>
        <v>16_4_1</v>
      </c>
      <c r="AR86">
        <f t="shared" si="24"/>
        <v>0</v>
      </c>
      <c r="AS86">
        <f t="shared" si="25"/>
        <v>0</v>
      </c>
      <c r="AT86">
        <f t="shared" si="26"/>
        <v>0</v>
      </c>
      <c r="AU86">
        <f t="shared" si="27"/>
        <v>0</v>
      </c>
      <c r="AV86">
        <f t="shared" si="28"/>
        <v>4.83</v>
      </c>
    </row>
    <row r="87" spans="1:48">
      <c r="A87">
        <v>16</v>
      </c>
      <c r="B87">
        <v>4</v>
      </c>
      <c r="C87">
        <v>2</v>
      </c>
      <c r="D87" t="str">
        <f t="shared" si="15"/>
        <v>16_4_2</v>
      </c>
      <c r="E87">
        <v>0</v>
      </c>
      <c r="F87">
        <v>0</v>
      </c>
      <c r="G87">
        <v>0</v>
      </c>
      <c r="H87">
        <v>1.875</v>
      </c>
      <c r="I87">
        <v>0.375</v>
      </c>
      <c r="J87">
        <v>1.2150000000000001</v>
      </c>
      <c r="K87">
        <v>1.0349999999999999</v>
      </c>
      <c r="L87">
        <v>2.25</v>
      </c>
      <c r="M87" t="s">
        <v>31</v>
      </c>
      <c r="N87" t="s">
        <v>11</v>
      </c>
      <c r="O87" t="s">
        <v>11</v>
      </c>
      <c r="P87" t="s">
        <v>11</v>
      </c>
      <c r="Q87" t="s">
        <v>34</v>
      </c>
      <c r="S87">
        <v>1.2150000000000001</v>
      </c>
      <c r="T87">
        <v>1.0349999999999999</v>
      </c>
      <c r="AB87">
        <v>0</v>
      </c>
      <c r="AD87">
        <v>0</v>
      </c>
      <c r="AE87">
        <v>1.2150000000000001</v>
      </c>
      <c r="AF87">
        <v>0.24300000000000002</v>
      </c>
      <c r="AG87">
        <v>0</v>
      </c>
      <c r="AH87">
        <v>1.0349999999999999</v>
      </c>
      <c r="AI87">
        <f t="shared" si="16"/>
        <v>0</v>
      </c>
      <c r="AJ87">
        <f t="shared" si="17"/>
        <v>0</v>
      </c>
      <c r="AK87">
        <f t="shared" si="18"/>
        <v>0</v>
      </c>
      <c r="AL87">
        <f t="shared" si="19"/>
        <v>1.2150000000000001</v>
      </c>
      <c r="AM87">
        <f t="shared" si="20"/>
        <v>0.24300000000000002</v>
      </c>
      <c r="AN87">
        <f t="shared" si="21"/>
        <v>0</v>
      </c>
      <c r="AO87">
        <f t="shared" si="22"/>
        <v>1.0349999999999999</v>
      </c>
      <c r="AQ87" t="str">
        <f t="shared" si="23"/>
        <v>16_4_2</v>
      </c>
      <c r="AR87">
        <f t="shared" si="24"/>
        <v>0</v>
      </c>
      <c r="AS87">
        <f t="shared" si="25"/>
        <v>0</v>
      </c>
      <c r="AT87">
        <f t="shared" si="26"/>
        <v>0</v>
      </c>
      <c r="AU87">
        <f t="shared" si="27"/>
        <v>0</v>
      </c>
      <c r="AV87">
        <f t="shared" si="28"/>
        <v>1.0349999999999999</v>
      </c>
    </row>
    <row r="88" spans="1:48">
      <c r="A88">
        <v>16</v>
      </c>
      <c r="B88">
        <v>5</v>
      </c>
      <c r="C88">
        <v>1</v>
      </c>
      <c r="D88" t="str">
        <f t="shared" si="15"/>
        <v>16_5_1</v>
      </c>
      <c r="E88">
        <v>0</v>
      </c>
      <c r="F88">
        <v>3</v>
      </c>
      <c r="G88">
        <v>0</v>
      </c>
      <c r="H88">
        <v>5.5</v>
      </c>
      <c r="I88">
        <v>0.875</v>
      </c>
      <c r="J88">
        <v>3.4425000000000003</v>
      </c>
      <c r="K88">
        <v>2.9324999999999997</v>
      </c>
      <c r="L88">
        <v>9.375</v>
      </c>
      <c r="M88" t="s">
        <v>31</v>
      </c>
      <c r="N88" t="s">
        <v>36</v>
      </c>
      <c r="O88" t="s">
        <v>36</v>
      </c>
      <c r="P88" t="s">
        <v>42</v>
      </c>
      <c r="Q88">
        <v>57</v>
      </c>
      <c r="S88">
        <v>3.4425000000000003</v>
      </c>
      <c r="T88">
        <v>2.9324999999999997</v>
      </c>
      <c r="U88">
        <v>0</v>
      </c>
      <c r="V88">
        <v>0</v>
      </c>
      <c r="W88">
        <v>0</v>
      </c>
      <c r="X88">
        <v>0.68850000000000011</v>
      </c>
      <c r="Y88">
        <v>0.68850000000000011</v>
      </c>
      <c r="Z88">
        <v>0</v>
      </c>
      <c r="AA88">
        <v>2.9324999999999997</v>
      </c>
      <c r="AI88">
        <f t="shared" si="16"/>
        <v>0</v>
      </c>
      <c r="AJ88">
        <f t="shared" si="17"/>
        <v>0</v>
      </c>
      <c r="AK88">
        <f t="shared" si="18"/>
        <v>0</v>
      </c>
      <c r="AL88">
        <f t="shared" si="19"/>
        <v>0.68850000000000011</v>
      </c>
      <c r="AM88">
        <f t="shared" si="20"/>
        <v>0.68850000000000011</v>
      </c>
      <c r="AN88">
        <f t="shared" si="21"/>
        <v>0</v>
      </c>
      <c r="AO88">
        <f t="shared" si="22"/>
        <v>2.9324999999999997</v>
      </c>
      <c r="AQ88" t="str">
        <f t="shared" si="23"/>
        <v>16_5_1</v>
      </c>
      <c r="AR88">
        <f t="shared" si="24"/>
        <v>3</v>
      </c>
      <c r="AS88">
        <f t="shared" si="25"/>
        <v>0</v>
      </c>
      <c r="AT88">
        <f t="shared" si="26"/>
        <v>0</v>
      </c>
      <c r="AU88">
        <f t="shared" si="27"/>
        <v>0</v>
      </c>
      <c r="AV88">
        <f t="shared" si="28"/>
        <v>2.9324999999999997</v>
      </c>
    </row>
    <row r="89" spans="1:48">
      <c r="A89">
        <v>16</v>
      </c>
      <c r="B89">
        <v>5</v>
      </c>
      <c r="C89">
        <v>2</v>
      </c>
      <c r="D89" t="str">
        <f t="shared" si="15"/>
        <v>16_5_2</v>
      </c>
      <c r="E89">
        <v>0</v>
      </c>
      <c r="F89">
        <v>1.75</v>
      </c>
      <c r="G89">
        <v>0</v>
      </c>
      <c r="H89">
        <v>3.25</v>
      </c>
      <c r="I89">
        <v>0.625</v>
      </c>
      <c r="J89">
        <v>2.0925000000000002</v>
      </c>
      <c r="K89">
        <v>1.7824999999999998</v>
      </c>
      <c r="L89">
        <v>5.625</v>
      </c>
      <c r="M89" t="s">
        <v>31</v>
      </c>
      <c r="N89" t="s">
        <v>11</v>
      </c>
      <c r="O89" t="s">
        <v>11</v>
      </c>
      <c r="P89" t="s">
        <v>11</v>
      </c>
      <c r="Q89" t="s">
        <v>34</v>
      </c>
      <c r="S89">
        <v>2.0925000000000002</v>
      </c>
      <c r="T89">
        <v>1.7824999999999998</v>
      </c>
      <c r="AB89">
        <v>1.75</v>
      </c>
      <c r="AD89">
        <v>0.35000000000000003</v>
      </c>
      <c r="AE89">
        <v>2.0925000000000002</v>
      </c>
      <c r="AF89">
        <v>0.41850000000000009</v>
      </c>
      <c r="AG89">
        <v>0</v>
      </c>
      <c r="AH89">
        <v>1.7824999999999998</v>
      </c>
      <c r="AI89">
        <f t="shared" si="16"/>
        <v>1.75</v>
      </c>
      <c r="AJ89">
        <f t="shared" si="17"/>
        <v>0</v>
      </c>
      <c r="AK89">
        <f t="shared" si="18"/>
        <v>0.35000000000000003</v>
      </c>
      <c r="AL89">
        <f t="shared" si="19"/>
        <v>2.0925000000000002</v>
      </c>
      <c r="AM89">
        <f t="shared" si="20"/>
        <v>0.41850000000000009</v>
      </c>
      <c r="AN89">
        <f t="shared" si="21"/>
        <v>0</v>
      </c>
      <c r="AO89">
        <f t="shared" si="22"/>
        <v>1.7824999999999998</v>
      </c>
      <c r="AQ89" t="str">
        <f t="shared" si="23"/>
        <v>16_5_2</v>
      </c>
      <c r="AR89">
        <f t="shared" si="24"/>
        <v>1.75</v>
      </c>
      <c r="AS89">
        <f t="shared" si="25"/>
        <v>1.75</v>
      </c>
      <c r="AT89">
        <f t="shared" si="26"/>
        <v>0</v>
      </c>
      <c r="AU89">
        <f t="shared" si="27"/>
        <v>0</v>
      </c>
      <c r="AV89">
        <f t="shared" si="28"/>
        <v>1.7824999999999998</v>
      </c>
    </row>
    <row r="90" spans="1:48">
      <c r="A90">
        <v>17</v>
      </c>
      <c r="B90" t="s">
        <v>10</v>
      </c>
      <c r="C90" t="s">
        <v>10</v>
      </c>
      <c r="D90" t="str">
        <f t="shared" si="15"/>
        <v>17</v>
      </c>
      <c r="E90" t="s">
        <v>10</v>
      </c>
      <c r="F90" t="s">
        <v>10</v>
      </c>
      <c r="G90" t="s">
        <v>10</v>
      </c>
      <c r="H90" t="s">
        <v>10</v>
      </c>
      <c r="I90" t="s">
        <v>10</v>
      </c>
      <c r="L90">
        <v>0</v>
      </c>
      <c r="M90" t="s">
        <v>11</v>
      </c>
      <c r="N90" t="s">
        <v>11</v>
      </c>
      <c r="O90" t="s">
        <v>11</v>
      </c>
      <c r="P90" t="s">
        <v>11</v>
      </c>
      <c r="Q90">
        <v>64</v>
      </c>
      <c r="R90" t="s">
        <v>30</v>
      </c>
      <c r="AI90">
        <f t="shared" si="16"/>
        <v>0</v>
      </c>
      <c r="AJ90">
        <f t="shared" si="17"/>
        <v>0</v>
      </c>
      <c r="AK90">
        <f t="shared" si="18"/>
        <v>0</v>
      </c>
      <c r="AL90">
        <f t="shared" si="19"/>
        <v>0</v>
      </c>
      <c r="AM90">
        <f t="shared" si="20"/>
        <v>0</v>
      </c>
      <c r="AN90">
        <f t="shared" si="21"/>
        <v>0</v>
      </c>
      <c r="AO90">
        <f t="shared" si="22"/>
        <v>0</v>
      </c>
      <c r="AQ90" t="str">
        <f t="shared" si="23"/>
        <v>17</v>
      </c>
      <c r="AR90" t="str">
        <f t="shared" si="24"/>
        <v/>
      </c>
      <c r="AS90">
        <f t="shared" si="25"/>
        <v>0</v>
      </c>
      <c r="AT90" t="str">
        <f t="shared" si="26"/>
        <v/>
      </c>
      <c r="AU90">
        <f t="shared" si="27"/>
        <v>0</v>
      </c>
      <c r="AV90">
        <f t="shared" si="28"/>
        <v>0</v>
      </c>
    </row>
    <row r="91" spans="1:48">
      <c r="A91">
        <v>17</v>
      </c>
      <c r="B91">
        <v>1</v>
      </c>
      <c r="D91" t="str">
        <f t="shared" si="15"/>
        <v>17_1</v>
      </c>
      <c r="E91">
        <v>0</v>
      </c>
      <c r="F91">
        <v>2.75</v>
      </c>
      <c r="G91">
        <v>5</v>
      </c>
      <c r="H91">
        <v>5</v>
      </c>
      <c r="I91">
        <v>0.875</v>
      </c>
      <c r="J91">
        <v>3.1725000000000003</v>
      </c>
      <c r="K91">
        <v>2.7024999999999997</v>
      </c>
      <c r="L91">
        <v>13.625</v>
      </c>
      <c r="M91" t="s">
        <v>31</v>
      </c>
      <c r="N91" t="s">
        <v>33</v>
      </c>
      <c r="O91" t="s">
        <v>43</v>
      </c>
      <c r="P91" t="s">
        <v>43</v>
      </c>
      <c r="Q91">
        <v>64</v>
      </c>
      <c r="S91">
        <v>3.1725000000000003</v>
      </c>
      <c r="T91">
        <v>2.7024999999999997</v>
      </c>
      <c r="U91">
        <v>0.55000000000000004</v>
      </c>
      <c r="V91">
        <v>0</v>
      </c>
      <c r="W91">
        <v>0.55000000000000004</v>
      </c>
      <c r="X91">
        <v>3.1725000000000003</v>
      </c>
      <c r="Y91">
        <v>0.63450000000000006</v>
      </c>
      <c r="Z91">
        <v>5</v>
      </c>
      <c r="AA91">
        <v>2.7024999999999997</v>
      </c>
      <c r="AI91">
        <f t="shared" si="16"/>
        <v>0.55000000000000004</v>
      </c>
      <c r="AJ91">
        <f t="shared" si="17"/>
        <v>0</v>
      </c>
      <c r="AK91">
        <f t="shared" si="18"/>
        <v>0.55000000000000004</v>
      </c>
      <c r="AL91">
        <f t="shared" si="19"/>
        <v>3.1725000000000003</v>
      </c>
      <c r="AM91">
        <f t="shared" si="20"/>
        <v>0.63450000000000006</v>
      </c>
      <c r="AN91">
        <f t="shared" si="21"/>
        <v>5</v>
      </c>
      <c r="AO91">
        <f t="shared" si="22"/>
        <v>2.7024999999999997</v>
      </c>
      <c r="AQ91" t="str">
        <f t="shared" si="23"/>
        <v>17_1</v>
      </c>
      <c r="AR91">
        <f t="shared" si="24"/>
        <v>2.75</v>
      </c>
      <c r="AS91">
        <f t="shared" si="25"/>
        <v>0.55000000000000004</v>
      </c>
      <c r="AT91">
        <f t="shared" si="26"/>
        <v>5</v>
      </c>
      <c r="AU91">
        <f t="shared" si="27"/>
        <v>5</v>
      </c>
      <c r="AV91">
        <f t="shared" si="28"/>
        <v>2.7024999999999997</v>
      </c>
    </row>
    <row r="92" spans="1:48">
      <c r="A92">
        <v>17</v>
      </c>
      <c r="B92">
        <v>2</v>
      </c>
      <c r="C92">
        <v>1</v>
      </c>
      <c r="D92" t="str">
        <f t="shared" si="15"/>
        <v>17_2_1</v>
      </c>
      <c r="E92">
        <v>0</v>
      </c>
      <c r="F92">
        <v>8.5</v>
      </c>
      <c r="G92">
        <v>15.875</v>
      </c>
      <c r="H92">
        <v>15.875</v>
      </c>
      <c r="I92">
        <v>2.625</v>
      </c>
      <c r="J92">
        <v>9.99</v>
      </c>
      <c r="K92">
        <v>8.51</v>
      </c>
      <c r="L92">
        <v>42.875</v>
      </c>
      <c r="M92" t="s">
        <v>31</v>
      </c>
      <c r="N92" t="s">
        <v>33</v>
      </c>
      <c r="O92" t="s">
        <v>43</v>
      </c>
      <c r="P92" t="s">
        <v>43</v>
      </c>
      <c r="Q92">
        <v>64</v>
      </c>
      <c r="S92">
        <v>9.99</v>
      </c>
      <c r="T92">
        <v>8.51</v>
      </c>
      <c r="U92">
        <v>1.7000000000000002</v>
      </c>
      <c r="V92">
        <v>0</v>
      </c>
      <c r="W92">
        <v>1.7000000000000002</v>
      </c>
      <c r="X92">
        <v>9.99</v>
      </c>
      <c r="Y92">
        <v>1.9980000000000002</v>
      </c>
      <c r="Z92">
        <v>15.875</v>
      </c>
      <c r="AA92">
        <v>8.51</v>
      </c>
      <c r="AI92">
        <f t="shared" si="16"/>
        <v>1.7000000000000002</v>
      </c>
      <c r="AJ92">
        <f t="shared" si="17"/>
        <v>0</v>
      </c>
      <c r="AK92">
        <f t="shared" si="18"/>
        <v>1.7000000000000002</v>
      </c>
      <c r="AL92">
        <f t="shared" si="19"/>
        <v>9.99</v>
      </c>
      <c r="AM92">
        <f t="shared" si="20"/>
        <v>1.9980000000000002</v>
      </c>
      <c r="AN92">
        <f t="shared" si="21"/>
        <v>15.875</v>
      </c>
      <c r="AO92">
        <f t="shared" si="22"/>
        <v>8.51</v>
      </c>
      <c r="AQ92" t="str">
        <f t="shared" si="23"/>
        <v>17_2_1</v>
      </c>
      <c r="AR92">
        <f t="shared" si="24"/>
        <v>8.5</v>
      </c>
      <c r="AS92">
        <f t="shared" si="25"/>
        <v>1.7000000000000002</v>
      </c>
      <c r="AT92">
        <f t="shared" si="26"/>
        <v>15.875</v>
      </c>
      <c r="AU92">
        <f t="shared" si="27"/>
        <v>15.875</v>
      </c>
      <c r="AV92">
        <f t="shared" si="28"/>
        <v>8.51</v>
      </c>
    </row>
    <row r="93" spans="1:48">
      <c r="A93">
        <v>17</v>
      </c>
      <c r="B93">
        <v>2</v>
      </c>
      <c r="C93">
        <v>2</v>
      </c>
      <c r="D93" t="str">
        <f t="shared" si="15"/>
        <v>17_2_2</v>
      </c>
      <c r="E93">
        <v>0</v>
      </c>
      <c r="F93">
        <v>1.375</v>
      </c>
      <c r="G93">
        <v>2.375</v>
      </c>
      <c r="H93">
        <v>2.375</v>
      </c>
      <c r="I93">
        <v>0.5</v>
      </c>
      <c r="J93">
        <v>1.5525000000000002</v>
      </c>
      <c r="K93">
        <v>1.3224999999999998</v>
      </c>
      <c r="L93">
        <v>6.625</v>
      </c>
      <c r="M93" t="s">
        <v>31</v>
      </c>
      <c r="N93" t="s">
        <v>11</v>
      </c>
      <c r="O93" t="s">
        <v>11</v>
      </c>
      <c r="P93" t="s">
        <v>11</v>
      </c>
      <c r="Q93" t="s">
        <v>34</v>
      </c>
      <c r="S93">
        <v>1.5525000000000002</v>
      </c>
      <c r="T93">
        <v>1.3224999999999998</v>
      </c>
      <c r="AB93">
        <v>1.375</v>
      </c>
      <c r="AD93">
        <v>0.27500000000000002</v>
      </c>
      <c r="AE93">
        <v>1.5525000000000002</v>
      </c>
      <c r="AF93">
        <v>0.31050000000000005</v>
      </c>
      <c r="AG93">
        <v>2.375</v>
      </c>
      <c r="AH93">
        <v>1.3224999999999998</v>
      </c>
      <c r="AI93">
        <f t="shared" si="16"/>
        <v>1.375</v>
      </c>
      <c r="AJ93">
        <f t="shared" si="17"/>
        <v>0</v>
      </c>
      <c r="AK93">
        <f t="shared" si="18"/>
        <v>0.27500000000000002</v>
      </c>
      <c r="AL93">
        <f t="shared" si="19"/>
        <v>1.5525000000000002</v>
      </c>
      <c r="AM93">
        <f t="shared" si="20"/>
        <v>0.31050000000000005</v>
      </c>
      <c r="AN93">
        <f t="shared" si="21"/>
        <v>2.375</v>
      </c>
      <c r="AO93">
        <f t="shared" si="22"/>
        <v>1.3224999999999998</v>
      </c>
      <c r="AQ93" t="str">
        <f t="shared" si="23"/>
        <v>17_2_2</v>
      </c>
      <c r="AR93">
        <f t="shared" si="24"/>
        <v>1.375</v>
      </c>
      <c r="AS93">
        <f t="shared" si="25"/>
        <v>1.375</v>
      </c>
      <c r="AT93">
        <f t="shared" si="26"/>
        <v>2.375</v>
      </c>
      <c r="AU93">
        <f t="shared" si="27"/>
        <v>2.375</v>
      </c>
      <c r="AV93">
        <f t="shared" si="28"/>
        <v>1.3224999999999998</v>
      </c>
    </row>
    <row r="94" spans="1:48">
      <c r="A94">
        <v>17</v>
      </c>
      <c r="B94">
        <v>3</v>
      </c>
      <c r="C94">
        <v>1</v>
      </c>
      <c r="D94" t="str">
        <f t="shared" si="15"/>
        <v>17_3_1</v>
      </c>
      <c r="E94">
        <v>0</v>
      </c>
      <c r="F94">
        <v>0</v>
      </c>
      <c r="G94">
        <v>0</v>
      </c>
      <c r="H94">
        <v>15.875</v>
      </c>
      <c r="I94">
        <v>2.625</v>
      </c>
      <c r="J94">
        <v>9.99</v>
      </c>
      <c r="K94">
        <v>8.51</v>
      </c>
      <c r="L94">
        <v>18.5</v>
      </c>
      <c r="M94" t="s">
        <v>31</v>
      </c>
      <c r="N94" t="s">
        <v>36</v>
      </c>
      <c r="O94" t="s">
        <v>36</v>
      </c>
      <c r="P94" t="s">
        <v>43</v>
      </c>
      <c r="Q94">
        <v>64</v>
      </c>
      <c r="S94">
        <v>9.99</v>
      </c>
      <c r="T94">
        <v>8.51</v>
      </c>
      <c r="U94">
        <v>0</v>
      </c>
      <c r="V94">
        <v>0</v>
      </c>
      <c r="W94">
        <v>0</v>
      </c>
      <c r="X94">
        <v>9.99</v>
      </c>
      <c r="Y94">
        <v>1.9980000000000002</v>
      </c>
      <c r="Z94">
        <v>0</v>
      </c>
      <c r="AA94">
        <v>8.51</v>
      </c>
      <c r="AI94">
        <f t="shared" si="16"/>
        <v>0</v>
      </c>
      <c r="AJ94">
        <f t="shared" si="17"/>
        <v>0</v>
      </c>
      <c r="AK94">
        <f t="shared" si="18"/>
        <v>0</v>
      </c>
      <c r="AL94">
        <f t="shared" si="19"/>
        <v>9.99</v>
      </c>
      <c r="AM94">
        <f t="shared" si="20"/>
        <v>1.9980000000000002</v>
      </c>
      <c r="AN94">
        <f t="shared" si="21"/>
        <v>0</v>
      </c>
      <c r="AO94">
        <f t="shared" si="22"/>
        <v>8.51</v>
      </c>
      <c r="AQ94" t="str">
        <f t="shared" si="23"/>
        <v>17_3_1</v>
      </c>
      <c r="AR94">
        <f t="shared" si="24"/>
        <v>0</v>
      </c>
      <c r="AS94">
        <f t="shared" si="25"/>
        <v>0</v>
      </c>
      <c r="AT94">
        <f t="shared" si="26"/>
        <v>0</v>
      </c>
      <c r="AU94">
        <f t="shared" si="27"/>
        <v>0</v>
      </c>
      <c r="AV94">
        <f t="shared" si="28"/>
        <v>8.51</v>
      </c>
    </row>
    <row r="95" spans="1:48">
      <c r="A95">
        <v>17</v>
      </c>
      <c r="B95">
        <v>3</v>
      </c>
      <c r="C95">
        <v>2</v>
      </c>
      <c r="D95" t="str">
        <f t="shared" si="15"/>
        <v>17_3_2</v>
      </c>
      <c r="E95">
        <v>0</v>
      </c>
      <c r="F95">
        <v>0</v>
      </c>
      <c r="G95">
        <v>0</v>
      </c>
      <c r="H95">
        <v>2.375</v>
      </c>
      <c r="I95">
        <v>0.5</v>
      </c>
      <c r="J95">
        <v>1.5525000000000002</v>
      </c>
      <c r="K95">
        <v>1.3224999999999998</v>
      </c>
      <c r="L95">
        <v>2.875</v>
      </c>
      <c r="M95" t="s">
        <v>31</v>
      </c>
      <c r="N95" t="s">
        <v>11</v>
      </c>
      <c r="O95" t="s">
        <v>11</v>
      </c>
      <c r="P95" t="s">
        <v>11</v>
      </c>
      <c r="Q95" t="s">
        <v>34</v>
      </c>
      <c r="S95">
        <v>1.5525000000000002</v>
      </c>
      <c r="T95">
        <v>1.3224999999999998</v>
      </c>
      <c r="AB95">
        <v>0</v>
      </c>
      <c r="AD95">
        <v>0</v>
      </c>
      <c r="AE95">
        <v>1.5525000000000002</v>
      </c>
      <c r="AF95">
        <v>0.31050000000000005</v>
      </c>
      <c r="AG95">
        <v>0</v>
      </c>
      <c r="AH95">
        <v>1.3224999999999998</v>
      </c>
      <c r="AI95">
        <f t="shared" si="16"/>
        <v>0</v>
      </c>
      <c r="AJ95">
        <f t="shared" si="17"/>
        <v>0</v>
      </c>
      <c r="AK95">
        <f t="shared" si="18"/>
        <v>0</v>
      </c>
      <c r="AL95">
        <f t="shared" si="19"/>
        <v>1.5525000000000002</v>
      </c>
      <c r="AM95">
        <f t="shared" si="20"/>
        <v>0.31050000000000005</v>
      </c>
      <c r="AN95">
        <f t="shared" si="21"/>
        <v>0</v>
      </c>
      <c r="AO95">
        <f t="shared" si="22"/>
        <v>1.3224999999999998</v>
      </c>
      <c r="AQ95" t="str">
        <f t="shared" si="23"/>
        <v>17_3_2</v>
      </c>
      <c r="AR95">
        <f t="shared" si="24"/>
        <v>0</v>
      </c>
      <c r="AS95">
        <f t="shared" si="25"/>
        <v>0</v>
      </c>
      <c r="AT95">
        <f t="shared" si="26"/>
        <v>0</v>
      </c>
      <c r="AU95">
        <f t="shared" si="27"/>
        <v>0</v>
      </c>
      <c r="AV95">
        <f t="shared" si="28"/>
        <v>1.3224999999999998</v>
      </c>
    </row>
    <row r="96" spans="1:48">
      <c r="A96">
        <v>17</v>
      </c>
      <c r="B96">
        <v>4</v>
      </c>
      <c r="C96">
        <v>1</v>
      </c>
      <c r="D96" t="str">
        <f t="shared" si="15"/>
        <v>17_4_1</v>
      </c>
      <c r="E96">
        <v>0</v>
      </c>
      <c r="F96">
        <v>0</v>
      </c>
      <c r="G96">
        <v>0</v>
      </c>
      <c r="H96">
        <v>8</v>
      </c>
      <c r="I96">
        <v>1.375</v>
      </c>
      <c r="J96">
        <v>5.0625</v>
      </c>
      <c r="K96">
        <v>4.3125</v>
      </c>
      <c r="L96">
        <v>9.375</v>
      </c>
      <c r="M96" t="s">
        <v>31</v>
      </c>
      <c r="N96" t="s">
        <v>36</v>
      </c>
      <c r="O96" t="s">
        <v>36</v>
      </c>
      <c r="P96" t="s">
        <v>43</v>
      </c>
      <c r="Q96">
        <v>64</v>
      </c>
      <c r="S96">
        <v>5.0625</v>
      </c>
      <c r="T96">
        <v>4.3125</v>
      </c>
      <c r="U96">
        <v>0</v>
      </c>
      <c r="V96">
        <v>0</v>
      </c>
      <c r="W96">
        <v>0</v>
      </c>
      <c r="X96">
        <v>5.0625</v>
      </c>
      <c r="Y96">
        <v>1.0125</v>
      </c>
      <c r="Z96">
        <v>0</v>
      </c>
      <c r="AA96">
        <v>4.3125</v>
      </c>
      <c r="AI96">
        <f t="shared" si="16"/>
        <v>0</v>
      </c>
      <c r="AJ96">
        <f t="shared" si="17"/>
        <v>0</v>
      </c>
      <c r="AK96">
        <f t="shared" si="18"/>
        <v>0</v>
      </c>
      <c r="AL96">
        <f t="shared" si="19"/>
        <v>5.0625</v>
      </c>
      <c r="AM96">
        <f t="shared" si="20"/>
        <v>1.0125</v>
      </c>
      <c r="AN96">
        <f t="shared" si="21"/>
        <v>0</v>
      </c>
      <c r="AO96">
        <f t="shared" si="22"/>
        <v>4.3125</v>
      </c>
      <c r="AQ96" t="str">
        <f t="shared" si="23"/>
        <v>17_4_1</v>
      </c>
      <c r="AR96">
        <f t="shared" si="24"/>
        <v>0</v>
      </c>
      <c r="AS96">
        <f t="shared" si="25"/>
        <v>0</v>
      </c>
      <c r="AT96">
        <f t="shared" si="26"/>
        <v>0</v>
      </c>
      <c r="AU96">
        <f t="shared" si="27"/>
        <v>0</v>
      </c>
      <c r="AV96">
        <f t="shared" si="28"/>
        <v>4.3125</v>
      </c>
    </row>
    <row r="97" spans="1:48">
      <c r="A97">
        <v>17</v>
      </c>
      <c r="B97">
        <v>4</v>
      </c>
      <c r="C97">
        <v>2</v>
      </c>
      <c r="D97" t="str">
        <f t="shared" si="15"/>
        <v>17_4_2</v>
      </c>
      <c r="E97">
        <v>0</v>
      </c>
      <c r="F97">
        <v>0</v>
      </c>
      <c r="G97">
        <v>0</v>
      </c>
      <c r="H97">
        <v>1.25</v>
      </c>
      <c r="I97">
        <v>0.25</v>
      </c>
      <c r="J97">
        <v>0.81</v>
      </c>
      <c r="K97">
        <v>0.69</v>
      </c>
      <c r="L97">
        <v>1.5</v>
      </c>
      <c r="M97" t="s">
        <v>31</v>
      </c>
      <c r="N97" t="s">
        <v>11</v>
      </c>
      <c r="O97" t="s">
        <v>11</v>
      </c>
      <c r="P97" t="s">
        <v>11</v>
      </c>
      <c r="Q97" t="s">
        <v>34</v>
      </c>
      <c r="S97">
        <v>0.81</v>
      </c>
      <c r="T97">
        <v>0.69</v>
      </c>
      <c r="AB97">
        <v>0</v>
      </c>
      <c r="AD97">
        <v>0</v>
      </c>
      <c r="AE97">
        <v>0.81</v>
      </c>
      <c r="AF97">
        <v>0.16200000000000003</v>
      </c>
      <c r="AG97">
        <v>0</v>
      </c>
      <c r="AH97">
        <v>0.69</v>
      </c>
      <c r="AI97">
        <f t="shared" si="16"/>
        <v>0</v>
      </c>
      <c r="AJ97">
        <f t="shared" si="17"/>
        <v>0</v>
      </c>
      <c r="AK97">
        <f t="shared" si="18"/>
        <v>0</v>
      </c>
      <c r="AL97">
        <f t="shared" si="19"/>
        <v>0.81</v>
      </c>
      <c r="AM97">
        <f t="shared" si="20"/>
        <v>0.16200000000000003</v>
      </c>
      <c r="AN97">
        <f t="shared" si="21"/>
        <v>0</v>
      </c>
      <c r="AO97">
        <f t="shared" si="22"/>
        <v>0.69</v>
      </c>
      <c r="AQ97" t="str">
        <f t="shared" si="23"/>
        <v>17_4_2</v>
      </c>
      <c r="AR97">
        <f t="shared" si="24"/>
        <v>0</v>
      </c>
      <c r="AS97">
        <f t="shared" si="25"/>
        <v>0</v>
      </c>
      <c r="AT97">
        <f t="shared" si="26"/>
        <v>0</v>
      </c>
      <c r="AU97">
        <f t="shared" si="27"/>
        <v>0</v>
      </c>
      <c r="AV97">
        <f t="shared" si="28"/>
        <v>0.69</v>
      </c>
    </row>
    <row r="98" spans="1:48">
      <c r="A98">
        <v>17</v>
      </c>
      <c r="B98">
        <v>5</v>
      </c>
      <c r="C98">
        <v>1</v>
      </c>
      <c r="D98" t="str">
        <f t="shared" si="15"/>
        <v>17_5_1</v>
      </c>
      <c r="E98">
        <v>0</v>
      </c>
      <c r="F98">
        <v>2.75</v>
      </c>
      <c r="G98">
        <v>0</v>
      </c>
      <c r="H98">
        <v>5</v>
      </c>
      <c r="I98">
        <v>0.875</v>
      </c>
      <c r="J98">
        <v>3.1725000000000003</v>
      </c>
      <c r="K98">
        <v>2.7024999999999997</v>
      </c>
      <c r="L98">
        <v>8.625</v>
      </c>
      <c r="M98" t="s">
        <v>31</v>
      </c>
      <c r="N98" t="s">
        <v>36</v>
      </c>
      <c r="O98" t="s">
        <v>36</v>
      </c>
      <c r="P98" t="s">
        <v>43</v>
      </c>
      <c r="Q98">
        <v>64</v>
      </c>
      <c r="S98">
        <v>3.1725000000000003</v>
      </c>
      <c r="T98">
        <v>2.7024999999999997</v>
      </c>
      <c r="U98">
        <v>0</v>
      </c>
      <c r="V98">
        <v>0</v>
      </c>
      <c r="W98">
        <v>0</v>
      </c>
      <c r="X98">
        <v>3.1725000000000003</v>
      </c>
      <c r="Y98">
        <v>0.63450000000000006</v>
      </c>
      <c r="Z98">
        <v>0</v>
      </c>
      <c r="AA98">
        <v>2.7024999999999997</v>
      </c>
      <c r="AI98">
        <f t="shared" si="16"/>
        <v>0</v>
      </c>
      <c r="AJ98">
        <f t="shared" si="17"/>
        <v>0</v>
      </c>
      <c r="AK98">
        <f t="shared" si="18"/>
        <v>0</v>
      </c>
      <c r="AL98">
        <f t="shared" si="19"/>
        <v>3.1725000000000003</v>
      </c>
      <c r="AM98">
        <f t="shared" si="20"/>
        <v>0.63450000000000006</v>
      </c>
      <c r="AN98">
        <f t="shared" si="21"/>
        <v>0</v>
      </c>
      <c r="AO98">
        <f t="shared" si="22"/>
        <v>2.7024999999999997</v>
      </c>
      <c r="AQ98" t="str">
        <f t="shared" si="23"/>
        <v>17_5_1</v>
      </c>
      <c r="AR98">
        <f t="shared" si="24"/>
        <v>2.75</v>
      </c>
      <c r="AS98">
        <f t="shared" si="25"/>
        <v>0</v>
      </c>
      <c r="AT98">
        <f t="shared" si="26"/>
        <v>0</v>
      </c>
      <c r="AU98">
        <f t="shared" si="27"/>
        <v>0</v>
      </c>
      <c r="AV98">
        <f t="shared" si="28"/>
        <v>2.7024999999999997</v>
      </c>
    </row>
    <row r="99" spans="1:48">
      <c r="A99">
        <v>17</v>
      </c>
      <c r="B99">
        <v>5</v>
      </c>
      <c r="C99">
        <v>2</v>
      </c>
      <c r="D99" t="str">
        <f t="shared" si="15"/>
        <v>17_5_2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11</v>
      </c>
      <c r="N99" t="s">
        <v>11</v>
      </c>
      <c r="O99" t="s">
        <v>11</v>
      </c>
      <c r="P99" t="s">
        <v>11</v>
      </c>
      <c r="Q99" t="s">
        <v>11</v>
      </c>
      <c r="S99">
        <v>0</v>
      </c>
      <c r="T99">
        <v>0</v>
      </c>
      <c r="AI99">
        <f t="shared" si="16"/>
        <v>0</v>
      </c>
      <c r="AJ99">
        <f t="shared" si="17"/>
        <v>0</v>
      </c>
      <c r="AK99">
        <f t="shared" si="18"/>
        <v>0</v>
      </c>
      <c r="AL99">
        <f t="shared" si="19"/>
        <v>0</v>
      </c>
      <c r="AM99">
        <f t="shared" si="20"/>
        <v>0</v>
      </c>
      <c r="AN99">
        <f t="shared" si="21"/>
        <v>0</v>
      </c>
      <c r="AO99">
        <f t="shared" si="22"/>
        <v>0</v>
      </c>
      <c r="AQ99" t="str">
        <f t="shared" si="23"/>
        <v>17_5_2</v>
      </c>
      <c r="AR99">
        <f t="shared" si="24"/>
        <v>0</v>
      </c>
      <c r="AS99">
        <f t="shared" si="25"/>
        <v>0</v>
      </c>
      <c r="AT99">
        <f t="shared" si="26"/>
        <v>0</v>
      </c>
      <c r="AU99">
        <f t="shared" si="27"/>
        <v>0</v>
      </c>
      <c r="AV99">
        <f t="shared" si="28"/>
        <v>0</v>
      </c>
    </row>
    <row r="100" spans="1:48">
      <c r="A100">
        <v>18</v>
      </c>
      <c r="B100" t="s">
        <v>10</v>
      </c>
      <c r="C100" t="s">
        <v>10</v>
      </c>
      <c r="D100" t="str">
        <f t="shared" si="15"/>
        <v>18</v>
      </c>
      <c r="M100" t="s">
        <v>11</v>
      </c>
      <c r="N100" t="s">
        <v>11</v>
      </c>
      <c r="O100" t="s">
        <v>11</v>
      </c>
      <c r="P100" t="s">
        <v>11</v>
      </c>
      <c r="Q100">
        <v>52</v>
      </c>
      <c r="R100" t="s">
        <v>35</v>
      </c>
      <c r="S100">
        <v>0</v>
      </c>
      <c r="T100">
        <v>0</v>
      </c>
      <c r="AI100">
        <f t="shared" si="16"/>
        <v>0</v>
      </c>
      <c r="AJ100">
        <f t="shared" si="17"/>
        <v>0</v>
      </c>
      <c r="AK100">
        <f t="shared" si="18"/>
        <v>0</v>
      </c>
      <c r="AL100">
        <f t="shared" si="19"/>
        <v>0</v>
      </c>
      <c r="AM100">
        <f t="shared" si="20"/>
        <v>0</v>
      </c>
      <c r="AN100">
        <f t="shared" si="21"/>
        <v>0</v>
      </c>
      <c r="AO100">
        <f t="shared" si="22"/>
        <v>0</v>
      </c>
      <c r="AQ100" t="str">
        <f t="shared" si="23"/>
        <v>18</v>
      </c>
      <c r="AR100">
        <f t="shared" si="24"/>
        <v>0</v>
      </c>
      <c r="AS100">
        <f t="shared" si="25"/>
        <v>0</v>
      </c>
      <c r="AT100">
        <f t="shared" si="26"/>
        <v>0</v>
      </c>
      <c r="AU100">
        <f t="shared" si="27"/>
        <v>0</v>
      </c>
      <c r="AV100">
        <f t="shared" si="28"/>
        <v>0</v>
      </c>
    </row>
    <row r="101" spans="1:48">
      <c r="A101">
        <v>18</v>
      </c>
      <c r="B101">
        <v>1</v>
      </c>
      <c r="D101" t="str">
        <f t="shared" si="15"/>
        <v>18_1</v>
      </c>
      <c r="E101">
        <v>0</v>
      </c>
      <c r="F101">
        <v>1.25</v>
      </c>
      <c r="G101">
        <v>2.25</v>
      </c>
      <c r="H101">
        <v>2.25</v>
      </c>
      <c r="I101">
        <v>0.375</v>
      </c>
      <c r="J101">
        <v>1.4175</v>
      </c>
      <c r="K101">
        <v>1.2075</v>
      </c>
      <c r="L101">
        <v>6.125</v>
      </c>
      <c r="M101" t="s">
        <v>31</v>
      </c>
      <c r="N101" t="s">
        <v>33</v>
      </c>
      <c r="O101" t="s">
        <v>37</v>
      </c>
      <c r="P101" t="s">
        <v>37</v>
      </c>
      <c r="Q101">
        <v>52</v>
      </c>
      <c r="S101">
        <v>1.4175</v>
      </c>
      <c r="T101">
        <v>1.2075</v>
      </c>
      <c r="U101">
        <v>0.25</v>
      </c>
      <c r="W101">
        <v>0.25</v>
      </c>
      <c r="X101">
        <v>1.4175</v>
      </c>
      <c r="Y101">
        <v>0.28350000000000003</v>
      </c>
      <c r="Z101">
        <v>2.25</v>
      </c>
      <c r="AA101">
        <v>1.2075</v>
      </c>
      <c r="AI101">
        <f t="shared" si="16"/>
        <v>0.25</v>
      </c>
      <c r="AJ101">
        <f t="shared" si="17"/>
        <v>0</v>
      </c>
      <c r="AK101">
        <f t="shared" si="18"/>
        <v>0.25</v>
      </c>
      <c r="AL101">
        <f t="shared" si="19"/>
        <v>1.4175</v>
      </c>
      <c r="AM101">
        <f t="shared" si="20"/>
        <v>0.28350000000000003</v>
      </c>
      <c r="AN101">
        <f t="shared" si="21"/>
        <v>2.25</v>
      </c>
      <c r="AO101">
        <f t="shared" si="22"/>
        <v>1.2075</v>
      </c>
      <c r="AQ101" t="str">
        <f t="shared" si="23"/>
        <v>18_1</v>
      </c>
      <c r="AR101">
        <f t="shared" si="24"/>
        <v>1.25</v>
      </c>
      <c r="AS101">
        <f t="shared" si="25"/>
        <v>0.25</v>
      </c>
      <c r="AT101">
        <f t="shared" si="26"/>
        <v>2.25</v>
      </c>
      <c r="AU101">
        <f t="shared" si="27"/>
        <v>2.25</v>
      </c>
      <c r="AV101">
        <f t="shared" si="28"/>
        <v>1.2075</v>
      </c>
    </row>
    <row r="102" spans="1:48">
      <c r="A102">
        <v>18</v>
      </c>
      <c r="B102">
        <v>2</v>
      </c>
      <c r="D102" t="str">
        <f t="shared" si="15"/>
        <v>18_2</v>
      </c>
      <c r="E102">
        <v>0</v>
      </c>
      <c r="F102">
        <v>0</v>
      </c>
      <c r="G102">
        <v>0</v>
      </c>
      <c r="H102">
        <v>1.75</v>
      </c>
      <c r="I102">
        <v>0.375</v>
      </c>
      <c r="J102">
        <v>1.1475</v>
      </c>
      <c r="K102">
        <v>0.97749999999999992</v>
      </c>
      <c r="L102">
        <v>2.125</v>
      </c>
      <c r="M102" t="s">
        <v>31</v>
      </c>
      <c r="N102" t="s">
        <v>36</v>
      </c>
      <c r="O102" t="s">
        <v>36</v>
      </c>
      <c r="P102" t="s">
        <v>33</v>
      </c>
      <c r="Q102">
        <v>52</v>
      </c>
      <c r="S102">
        <v>1.1475</v>
      </c>
      <c r="T102">
        <v>0.97749999999999992</v>
      </c>
      <c r="U102">
        <v>0</v>
      </c>
      <c r="V102">
        <v>0</v>
      </c>
      <c r="W102">
        <v>0</v>
      </c>
      <c r="X102">
        <v>0.22950000000000001</v>
      </c>
      <c r="Y102">
        <v>0.22950000000000001</v>
      </c>
      <c r="Z102">
        <v>0</v>
      </c>
      <c r="AA102">
        <v>0.97749999999999992</v>
      </c>
      <c r="AI102">
        <f t="shared" si="16"/>
        <v>0</v>
      </c>
      <c r="AJ102">
        <f t="shared" si="17"/>
        <v>0</v>
      </c>
      <c r="AK102">
        <f t="shared" si="18"/>
        <v>0</v>
      </c>
      <c r="AL102">
        <f t="shared" si="19"/>
        <v>0.22950000000000001</v>
      </c>
      <c r="AM102">
        <f t="shared" si="20"/>
        <v>0.22950000000000001</v>
      </c>
      <c r="AN102">
        <f t="shared" si="21"/>
        <v>0</v>
      </c>
      <c r="AO102">
        <f t="shared" si="22"/>
        <v>0.97749999999999992</v>
      </c>
      <c r="AQ102" t="str">
        <f t="shared" si="23"/>
        <v>18_2</v>
      </c>
      <c r="AR102">
        <f t="shared" si="24"/>
        <v>0</v>
      </c>
      <c r="AS102">
        <f t="shared" si="25"/>
        <v>0</v>
      </c>
      <c r="AT102">
        <f t="shared" si="26"/>
        <v>0</v>
      </c>
      <c r="AU102">
        <f t="shared" si="27"/>
        <v>0</v>
      </c>
      <c r="AV102">
        <f t="shared" si="28"/>
        <v>0.97749999999999992</v>
      </c>
    </row>
    <row r="103" spans="1:48">
      <c r="A103">
        <v>18</v>
      </c>
      <c r="B103">
        <v>3</v>
      </c>
      <c r="D103" t="str">
        <f t="shared" si="15"/>
        <v>18_3</v>
      </c>
      <c r="E103">
        <v>0</v>
      </c>
      <c r="F103">
        <v>1</v>
      </c>
      <c r="G103">
        <v>1.75</v>
      </c>
      <c r="H103">
        <v>1.75</v>
      </c>
      <c r="I103">
        <v>0.375</v>
      </c>
      <c r="J103">
        <v>1.1475</v>
      </c>
      <c r="K103">
        <v>0.97749999999999992</v>
      </c>
      <c r="L103">
        <v>4.875</v>
      </c>
      <c r="M103" t="s">
        <v>31</v>
      </c>
      <c r="N103" t="s">
        <v>33</v>
      </c>
      <c r="O103" t="s">
        <v>37</v>
      </c>
      <c r="P103" t="s">
        <v>33</v>
      </c>
      <c r="Q103">
        <v>52</v>
      </c>
      <c r="S103">
        <v>1.1475</v>
      </c>
      <c r="T103">
        <v>0.97749999999999992</v>
      </c>
      <c r="U103">
        <v>0.2</v>
      </c>
      <c r="W103">
        <v>0.2</v>
      </c>
      <c r="X103">
        <v>0.22950000000000001</v>
      </c>
      <c r="Y103">
        <v>0.22950000000000001</v>
      </c>
      <c r="Z103">
        <v>1.75</v>
      </c>
      <c r="AA103">
        <v>0.97749999999999992</v>
      </c>
      <c r="AI103">
        <f t="shared" si="16"/>
        <v>0.2</v>
      </c>
      <c r="AJ103">
        <f t="shared" si="17"/>
        <v>0</v>
      </c>
      <c r="AK103">
        <f t="shared" si="18"/>
        <v>0.2</v>
      </c>
      <c r="AL103">
        <f t="shared" si="19"/>
        <v>0.22950000000000001</v>
      </c>
      <c r="AM103">
        <f t="shared" si="20"/>
        <v>0.22950000000000001</v>
      </c>
      <c r="AN103">
        <f t="shared" si="21"/>
        <v>1.75</v>
      </c>
      <c r="AO103">
        <f t="shared" si="22"/>
        <v>0.97749999999999992</v>
      </c>
      <c r="AQ103" t="str">
        <f t="shared" si="23"/>
        <v>18_3</v>
      </c>
      <c r="AR103">
        <f t="shared" si="24"/>
        <v>1</v>
      </c>
      <c r="AS103">
        <f t="shared" si="25"/>
        <v>0.2</v>
      </c>
      <c r="AT103">
        <f t="shared" si="26"/>
        <v>1.75</v>
      </c>
      <c r="AU103">
        <f t="shared" si="27"/>
        <v>1.75</v>
      </c>
      <c r="AV103">
        <f t="shared" si="28"/>
        <v>0.97749999999999992</v>
      </c>
    </row>
    <row r="104" spans="1:48">
      <c r="A104">
        <v>19</v>
      </c>
      <c r="B104" t="s">
        <v>10</v>
      </c>
      <c r="D104" t="str">
        <f t="shared" si="15"/>
        <v>19</v>
      </c>
      <c r="M104" t="s">
        <v>11</v>
      </c>
      <c r="N104" t="s">
        <v>11</v>
      </c>
      <c r="O104" t="s">
        <v>11</v>
      </c>
      <c r="P104" t="s">
        <v>11</v>
      </c>
      <c r="Q104">
        <v>6</v>
      </c>
      <c r="R104" t="s">
        <v>35</v>
      </c>
      <c r="S104">
        <v>0</v>
      </c>
      <c r="T104">
        <v>0</v>
      </c>
      <c r="AI104">
        <f t="shared" si="16"/>
        <v>0</v>
      </c>
      <c r="AJ104">
        <f t="shared" si="17"/>
        <v>0</v>
      </c>
      <c r="AK104">
        <f t="shared" si="18"/>
        <v>0</v>
      </c>
      <c r="AL104">
        <f t="shared" si="19"/>
        <v>0</v>
      </c>
      <c r="AM104">
        <f t="shared" si="20"/>
        <v>0</v>
      </c>
      <c r="AN104">
        <f t="shared" si="21"/>
        <v>0</v>
      </c>
      <c r="AO104">
        <f t="shared" si="22"/>
        <v>0</v>
      </c>
      <c r="AQ104" t="str">
        <f t="shared" si="23"/>
        <v>19</v>
      </c>
      <c r="AR104">
        <f t="shared" si="24"/>
        <v>0</v>
      </c>
      <c r="AS104">
        <f t="shared" si="25"/>
        <v>0</v>
      </c>
      <c r="AT104">
        <f t="shared" si="26"/>
        <v>0</v>
      </c>
      <c r="AU104">
        <f t="shared" si="27"/>
        <v>0</v>
      </c>
      <c r="AV104">
        <f t="shared" si="28"/>
        <v>0</v>
      </c>
    </row>
    <row r="105" spans="1:48">
      <c r="A105">
        <v>19</v>
      </c>
      <c r="B105">
        <v>1</v>
      </c>
      <c r="D105" t="str">
        <f t="shared" si="15"/>
        <v>19_1</v>
      </c>
      <c r="E105">
        <v>0</v>
      </c>
      <c r="F105">
        <v>0</v>
      </c>
      <c r="G105">
        <v>0</v>
      </c>
      <c r="H105">
        <v>0</v>
      </c>
      <c r="I105">
        <v>0.25</v>
      </c>
      <c r="J105">
        <v>0</v>
      </c>
      <c r="K105">
        <v>0</v>
      </c>
      <c r="L105">
        <v>0</v>
      </c>
      <c r="M105" t="s">
        <v>44</v>
      </c>
      <c r="N105" t="s">
        <v>36</v>
      </c>
      <c r="O105" t="s">
        <v>36</v>
      </c>
      <c r="P105" t="s">
        <v>36</v>
      </c>
      <c r="Q105">
        <v>6</v>
      </c>
      <c r="S105">
        <v>0.13500000000000001</v>
      </c>
      <c r="T105">
        <v>0.11499999999999999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I105">
        <f t="shared" si="16"/>
        <v>0</v>
      </c>
      <c r="AJ105">
        <f t="shared" si="17"/>
        <v>0</v>
      </c>
      <c r="AK105">
        <f t="shared" si="18"/>
        <v>0</v>
      </c>
      <c r="AL105">
        <f t="shared" si="19"/>
        <v>0</v>
      </c>
      <c r="AM105">
        <f t="shared" si="20"/>
        <v>0</v>
      </c>
      <c r="AN105">
        <f t="shared" si="21"/>
        <v>0</v>
      </c>
      <c r="AO105">
        <f t="shared" si="22"/>
        <v>0</v>
      </c>
      <c r="AQ105" t="str">
        <f t="shared" si="23"/>
        <v>19_1</v>
      </c>
      <c r="AR105">
        <f t="shared" si="24"/>
        <v>0</v>
      </c>
      <c r="AS105">
        <f t="shared" si="25"/>
        <v>0</v>
      </c>
      <c r="AT105">
        <f t="shared" si="26"/>
        <v>0</v>
      </c>
      <c r="AU105">
        <f t="shared" si="27"/>
        <v>0</v>
      </c>
      <c r="AV105">
        <f t="shared" si="28"/>
        <v>0</v>
      </c>
    </row>
    <row r="106" spans="1:48">
      <c r="A106">
        <v>19</v>
      </c>
      <c r="B106">
        <v>2</v>
      </c>
      <c r="D106" t="str">
        <f t="shared" si="15"/>
        <v>19_2</v>
      </c>
      <c r="E106">
        <v>0</v>
      </c>
      <c r="F106">
        <v>0</v>
      </c>
      <c r="G106">
        <v>0</v>
      </c>
      <c r="H106">
        <v>0</v>
      </c>
      <c r="I106">
        <v>0.25</v>
      </c>
      <c r="J106">
        <v>0</v>
      </c>
      <c r="K106">
        <v>0</v>
      </c>
      <c r="L106">
        <v>0</v>
      </c>
      <c r="M106" t="s">
        <v>44</v>
      </c>
      <c r="N106" t="s">
        <v>36</v>
      </c>
      <c r="O106" t="s">
        <v>36</v>
      </c>
      <c r="P106" t="s">
        <v>36</v>
      </c>
      <c r="Q106">
        <v>6</v>
      </c>
      <c r="S106">
        <v>0.13500000000000001</v>
      </c>
      <c r="T106">
        <v>0.11499999999999999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I106">
        <f t="shared" si="16"/>
        <v>0</v>
      </c>
      <c r="AJ106">
        <f t="shared" si="17"/>
        <v>0</v>
      </c>
      <c r="AK106">
        <f t="shared" si="18"/>
        <v>0</v>
      </c>
      <c r="AL106">
        <f t="shared" si="19"/>
        <v>0</v>
      </c>
      <c r="AM106">
        <f t="shared" si="20"/>
        <v>0</v>
      </c>
      <c r="AN106">
        <f t="shared" si="21"/>
        <v>0</v>
      </c>
      <c r="AO106">
        <f t="shared" si="22"/>
        <v>0</v>
      </c>
      <c r="AQ106" t="str">
        <f t="shared" si="23"/>
        <v>19_2</v>
      </c>
      <c r="AR106">
        <f t="shared" si="24"/>
        <v>0</v>
      </c>
      <c r="AS106">
        <f t="shared" si="25"/>
        <v>0</v>
      </c>
      <c r="AT106">
        <f t="shared" si="26"/>
        <v>0</v>
      </c>
      <c r="AU106">
        <f t="shared" si="27"/>
        <v>0</v>
      </c>
      <c r="AV106">
        <f t="shared" si="28"/>
        <v>0</v>
      </c>
    </row>
    <row r="107" spans="1:48">
      <c r="A107">
        <v>19</v>
      </c>
      <c r="B107">
        <v>3</v>
      </c>
      <c r="D107" t="str">
        <f t="shared" si="15"/>
        <v>19_3</v>
      </c>
      <c r="E107">
        <v>0</v>
      </c>
      <c r="F107">
        <v>0</v>
      </c>
      <c r="G107">
        <v>0</v>
      </c>
      <c r="H107">
        <v>0</v>
      </c>
      <c r="I107">
        <v>0.25</v>
      </c>
      <c r="J107">
        <v>0</v>
      </c>
      <c r="K107">
        <v>0</v>
      </c>
      <c r="L107">
        <v>0</v>
      </c>
      <c r="M107" t="s">
        <v>44</v>
      </c>
      <c r="N107" t="s">
        <v>36</v>
      </c>
      <c r="O107" t="s">
        <v>36</v>
      </c>
      <c r="P107" t="s">
        <v>36</v>
      </c>
      <c r="Q107">
        <v>6</v>
      </c>
      <c r="S107">
        <v>0.13500000000000001</v>
      </c>
      <c r="T107">
        <v>0.11499999999999999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I107">
        <f t="shared" si="16"/>
        <v>0</v>
      </c>
      <c r="AJ107">
        <f t="shared" si="17"/>
        <v>0</v>
      </c>
      <c r="AK107">
        <f t="shared" si="18"/>
        <v>0</v>
      </c>
      <c r="AL107">
        <f t="shared" si="19"/>
        <v>0</v>
      </c>
      <c r="AM107">
        <f t="shared" si="20"/>
        <v>0</v>
      </c>
      <c r="AN107">
        <f t="shared" si="21"/>
        <v>0</v>
      </c>
      <c r="AO107">
        <f t="shared" si="22"/>
        <v>0</v>
      </c>
      <c r="AQ107" t="str">
        <f t="shared" si="23"/>
        <v>19_3</v>
      </c>
      <c r="AR107">
        <f t="shared" si="24"/>
        <v>0</v>
      </c>
      <c r="AS107">
        <f t="shared" si="25"/>
        <v>0</v>
      </c>
      <c r="AT107">
        <f t="shared" si="26"/>
        <v>0</v>
      </c>
      <c r="AU107">
        <f t="shared" si="27"/>
        <v>0</v>
      </c>
      <c r="AV107">
        <f t="shared" si="28"/>
        <v>0</v>
      </c>
    </row>
    <row r="108" spans="1:48">
      <c r="A108">
        <v>20</v>
      </c>
      <c r="B108" t="s">
        <v>10</v>
      </c>
      <c r="C108" t="s">
        <v>10</v>
      </c>
      <c r="D108" t="str">
        <f t="shared" si="15"/>
        <v>20</v>
      </c>
      <c r="E108" t="s">
        <v>10</v>
      </c>
      <c r="F108" t="s">
        <v>10</v>
      </c>
      <c r="G108" t="s">
        <v>10</v>
      </c>
      <c r="H108" t="s">
        <v>10</v>
      </c>
      <c r="I108" t="s">
        <v>10</v>
      </c>
      <c r="L108">
        <v>0</v>
      </c>
      <c r="M108" t="s">
        <v>11</v>
      </c>
      <c r="N108" t="s">
        <v>11</v>
      </c>
      <c r="O108" t="s">
        <v>11</v>
      </c>
      <c r="P108" t="s">
        <v>11</v>
      </c>
      <c r="Q108" t="s">
        <v>34</v>
      </c>
      <c r="R108" t="s">
        <v>38</v>
      </c>
      <c r="AI108">
        <f t="shared" si="16"/>
        <v>0</v>
      </c>
      <c r="AJ108">
        <f t="shared" si="17"/>
        <v>0</v>
      </c>
      <c r="AK108">
        <f t="shared" si="18"/>
        <v>0</v>
      </c>
      <c r="AL108">
        <f t="shared" si="19"/>
        <v>0</v>
      </c>
      <c r="AM108">
        <f t="shared" si="20"/>
        <v>0</v>
      </c>
      <c r="AN108">
        <f t="shared" si="21"/>
        <v>0</v>
      </c>
      <c r="AO108">
        <f t="shared" si="22"/>
        <v>0</v>
      </c>
      <c r="AQ108" t="str">
        <f t="shared" si="23"/>
        <v>20</v>
      </c>
      <c r="AR108" t="str">
        <f t="shared" si="24"/>
        <v/>
      </c>
      <c r="AS108">
        <f t="shared" si="25"/>
        <v>0</v>
      </c>
      <c r="AT108" t="str">
        <f t="shared" si="26"/>
        <v/>
      </c>
      <c r="AU108">
        <f t="shared" si="27"/>
        <v>0</v>
      </c>
      <c r="AV108">
        <f t="shared" si="28"/>
        <v>0</v>
      </c>
    </row>
    <row r="109" spans="1:48">
      <c r="A109">
        <v>20</v>
      </c>
      <c r="B109">
        <v>1</v>
      </c>
      <c r="C109" t="s">
        <v>10</v>
      </c>
      <c r="D109" t="str">
        <f t="shared" si="15"/>
        <v>20_1</v>
      </c>
      <c r="E109">
        <v>0</v>
      </c>
      <c r="F109">
        <v>3</v>
      </c>
      <c r="G109">
        <v>3</v>
      </c>
      <c r="H109">
        <v>8</v>
      </c>
      <c r="I109">
        <v>40</v>
      </c>
      <c r="J109">
        <v>25.92</v>
      </c>
      <c r="K109">
        <v>22.08</v>
      </c>
      <c r="L109">
        <v>54</v>
      </c>
      <c r="M109" t="s">
        <v>31</v>
      </c>
      <c r="N109" t="s">
        <v>11</v>
      </c>
      <c r="O109" t="s">
        <v>11</v>
      </c>
      <c r="P109" t="s">
        <v>11</v>
      </c>
      <c r="Q109" t="s">
        <v>34</v>
      </c>
      <c r="S109">
        <v>25.92</v>
      </c>
      <c r="T109">
        <v>22.08</v>
      </c>
      <c r="AB109">
        <v>3</v>
      </c>
      <c r="AD109">
        <v>0.60000000000000009</v>
      </c>
      <c r="AE109">
        <v>25.92</v>
      </c>
      <c r="AF109">
        <v>5.1840000000000011</v>
      </c>
      <c r="AG109">
        <v>3</v>
      </c>
      <c r="AH109">
        <v>22.08</v>
      </c>
      <c r="AI109">
        <f t="shared" si="16"/>
        <v>3</v>
      </c>
      <c r="AJ109">
        <f t="shared" si="17"/>
        <v>0</v>
      </c>
      <c r="AK109">
        <f t="shared" si="18"/>
        <v>0.60000000000000009</v>
      </c>
      <c r="AL109">
        <f t="shared" si="19"/>
        <v>25.92</v>
      </c>
      <c r="AM109">
        <f t="shared" si="20"/>
        <v>5.1840000000000011</v>
      </c>
      <c r="AN109">
        <f t="shared" si="21"/>
        <v>3</v>
      </c>
      <c r="AO109">
        <f t="shared" si="22"/>
        <v>22.08</v>
      </c>
      <c r="AQ109" t="str">
        <f t="shared" si="23"/>
        <v>20_1</v>
      </c>
      <c r="AR109">
        <f t="shared" si="24"/>
        <v>3</v>
      </c>
      <c r="AS109">
        <f t="shared" si="25"/>
        <v>3</v>
      </c>
      <c r="AT109">
        <f t="shared" si="26"/>
        <v>3</v>
      </c>
      <c r="AU109">
        <f t="shared" si="27"/>
        <v>3</v>
      </c>
      <c r="AV109">
        <f t="shared" si="28"/>
        <v>22.08</v>
      </c>
    </row>
    <row r="110" spans="1:48">
      <c r="A110">
        <v>21</v>
      </c>
      <c r="B110" t="s">
        <v>10</v>
      </c>
      <c r="C110" t="s">
        <v>10</v>
      </c>
      <c r="D110" t="str">
        <f t="shared" si="15"/>
        <v>21</v>
      </c>
      <c r="E110" t="s">
        <v>10</v>
      </c>
      <c r="F110" t="s">
        <v>10</v>
      </c>
      <c r="G110" t="s">
        <v>10</v>
      </c>
      <c r="H110" t="s">
        <v>10</v>
      </c>
      <c r="I110" t="s">
        <v>10</v>
      </c>
      <c r="L110">
        <v>0</v>
      </c>
      <c r="M110" t="s">
        <v>11</v>
      </c>
      <c r="N110" t="s">
        <v>11</v>
      </c>
      <c r="O110" t="s">
        <v>11</v>
      </c>
      <c r="P110" t="s">
        <v>11</v>
      </c>
      <c r="Q110" t="s">
        <v>34</v>
      </c>
      <c r="R110" t="s">
        <v>38</v>
      </c>
      <c r="AI110">
        <f t="shared" si="16"/>
        <v>0</v>
      </c>
      <c r="AJ110">
        <f t="shared" si="17"/>
        <v>0</v>
      </c>
      <c r="AK110">
        <f t="shared" si="18"/>
        <v>0</v>
      </c>
      <c r="AL110">
        <f t="shared" si="19"/>
        <v>0</v>
      </c>
      <c r="AM110">
        <f t="shared" si="20"/>
        <v>0</v>
      </c>
      <c r="AN110">
        <f t="shared" si="21"/>
        <v>0</v>
      </c>
      <c r="AO110">
        <f t="shared" si="22"/>
        <v>0</v>
      </c>
      <c r="AQ110" t="str">
        <f t="shared" si="23"/>
        <v>21</v>
      </c>
      <c r="AR110" t="str">
        <f t="shared" si="24"/>
        <v/>
      </c>
      <c r="AS110">
        <f t="shared" si="25"/>
        <v>0</v>
      </c>
      <c r="AT110" t="str">
        <f t="shared" si="26"/>
        <v/>
      </c>
      <c r="AU110">
        <f t="shared" si="27"/>
        <v>0</v>
      </c>
      <c r="AV110">
        <f t="shared" si="28"/>
        <v>0</v>
      </c>
    </row>
    <row r="111" spans="1:48">
      <c r="A111">
        <v>21</v>
      </c>
      <c r="B111">
        <v>1</v>
      </c>
      <c r="C111" t="s">
        <v>10</v>
      </c>
      <c r="D111" t="str">
        <f t="shared" si="15"/>
        <v>21_1</v>
      </c>
      <c r="E111">
        <v>0</v>
      </c>
      <c r="F111">
        <v>5</v>
      </c>
      <c r="G111">
        <v>7.5</v>
      </c>
      <c r="H111">
        <v>30</v>
      </c>
      <c r="I111">
        <v>3.25</v>
      </c>
      <c r="J111">
        <v>17.955000000000002</v>
      </c>
      <c r="K111">
        <v>15.294999999999998</v>
      </c>
      <c r="L111">
        <v>45.75</v>
      </c>
      <c r="M111" t="s">
        <v>31</v>
      </c>
      <c r="N111" t="s">
        <v>11</v>
      </c>
      <c r="O111" t="s">
        <v>11</v>
      </c>
      <c r="P111" t="s">
        <v>11</v>
      </c>
      <c r="Q111" t="s">
        <v>34</v>
      </c>
      <c r="S111">
        <v>17.955000000000002</v>
      </c>
      <c r="T111">
        <v>15.294999999999998</v>
      </c>
      <c r="AB111">
        <v>5</v>
      </c>
      <c r="AD111">
        <v>1</v>
      </c>
      <c r="AE111">
        <v>17.955000000000002</v>
      </c>
      <c r="AF111">
        <v>3.5910000000000006</v>
      </c>
      <c r="AG111">
        <v>7.5</v>
      </c>
      <c r="AH111">
        <v>15.294999999999998</v>
      </c>
      <c r="AI111">
        <f t="shared" si="16"/>
        <v>5</v>
      </c>
      <c r="AJ111">
        <f t="shared" si="17"/>
        <v>0</v>
      </c>
      <c r="AK111">
        <f t="shared" si="18"/>
        <v>1</v>
      </c>
      <c r="AL111">
        <f t="shared" si="19"/>
        <v>17.955000000000002</v>
      </c>
      <c r="AM111">
        <f t="shared" si="20"/>
        <v>3.5910000000000006</v>
      </c>
      <c r="AN111">
        <f t="shared" si="21"/>
        <v>7.5</v>
      </c>
      <c r="AO111">
        <f t="shared" si="22"/>
        <v>15.294999999999998</v>
      </c>
      <c r="AQ111" t="str">
        <f t="shared" si="23"/>
        <v>21_1</v>
      </c>
      <c r="AR111">
        <f t="shared" si="24"/>
        <v>5</v>
      </c>
      <c r="AS111">
        <f t="shared" si="25"/>
        <v>5</v>
      </c>
      <c r="AT111">
        <f t="shared" si="26"/>
        <v>7.5</v>
      </c>
      <c r="AU111">
        <f t="shared" si="27"/>
        <v>7.5</v>
      </c>
      <c r="AV111">
        <f t="shared" si="28"/>
        <v>15.294999999999998</v>
      </c>
    </row>
    <row r="112" spans="1:48">
      <c r="A112">
        <v>21</v>
      </c>
      <c r="B112">
        <v>2</v>
      </c>
      <c r="D112" t="str">
        <f t="shared" si="15"/>
        <v>21_2</v>
      </c>
      <c r="E112">
        <v>0</v>
      </c>
      <c r="F112">
        <v>10</v>
      </c>
      <c r="G112">
        <v>15</v>
      </c>
      <c r="H112">
        <v>30</v>
      </c>
      <c r="I112">
        <v>8</v>
      </c>
      <c r="J112">
        <v>20.520000000000003</v>
      </c>
      <c r="K112">
        <v>17.479999999999997</v>
      </c>
      <c r="L112">
        <v>63</v>
      </c>
      <c r="M112" t="s">
        <v>31</v>
      </c>
      <c r="N112" t="s">
        <v>11</v>
      </c>
      <c r="O112" t="s">
        <v>11</v>
      </c>
      <c r="P112" t="s">
        <v>11</v>
      </c>
      <c r="Q112" t="s">
        <v>34</v>
      </c>
      <c r="S112">
        <v>20.520000000000003</v>
      </c>
      <c r="T112">
        <v>17.479999999999997</v>
      </c>
      <c r="AB112">
        <v>10</v>
      </c>
      <c r="AD112">
        <v>2</v>
      </c>
      <c r="AE112">
        <v>20.520000000000003</v>
      </c>
      <c r="AF112">
        <v>4.104000000000001</v>
      </c>
      <c r="AG112">
        <v>15</v>
      </c>
      <c r="AH112">
        <v>17.479999999999997</v>
      </c>
      <c r="AI112">
        <f t="shared" si="16"/>
        <v>10</v>
      </c>
      <c r="AJ112">
        <f t="shared" si="17"/>
        <v>0</v>
      </c>
      <c r="AK112">
        <f t="shared" si="18"/>
        <v>2</v>
      </c>
      <c r="AL112">
        <f t="shared" si="19"/>
        <v>20.520000000000003</v>
      </c>
      <c r="AM112">
        <f t="shared" si="20"/>
        <v>4.104000000000001</v>
      </c>
      <c r="AN112">
        <f t="shared" si="21"/>
        <v>15</v>
      </c>
      <c r="AO112">
        <f t="shared" si="22"/>
        <v>17.479999999999997</v>
      </c>
      <c r="AQ112" t="str">
        <f t="shared" si="23"/>
        <v>21_2</v>
      </c>
      <c r="AR112">
        <f t="shared" si="24"/>
        <v>10</v>
      </c>
      <c r="AS112">
        <f t="shared" si="25"/>
        <v>10</v>
      </c>
      <c r="AT112">
        <f t="shared" si="26"/>
        <v>15</v>
      </c>
      <c r="AU112">
        <f t="shared" si="27"/>
        <v>15</v>
      </c>
      <c r="AV112">
        <f t="shared" si="28"/>
        <v>17.479999999999997</v>
      </c>
    </row>
    <row r="113" spans="1:48">
      <c r="A113">
        <v>21</v>
      </c>
      <c r="B113">
        <v>3</v>
      </c>
      <c r="D113" t="str">
        <f t="shared" si="15"/>
        <v>21_3</v>
      </c>
      <c r="E113">
        <v>0</v>
      </c>
      <c r="F113">
        <v>0</v>
      </c>
      <c r="G113">
        <v>0</v>
      </c>
      <c r="H113">
        <v>5</v>
      </c>
      <c r="I113">
        <v>4</v>
      </c>
      <c r="J113">
        <v>4.8600000000000003</v>
      </c>
      <c r="K113">
        <v>4.1399999999999997</v>
      </c>
      <c r="L113">
        <v>9</v>
      </c>
      <c r="M113" t="s">
        <v>31</v>
      </c>
      <c r="N113" t="s">
        <v>11</v>
      </c>
      <c r="O113" t="s">
        <v>11</v>
      </c>
      <c r="P113" t="s">
        <v>11</v>
      </c>
      <c r="Q113" t="s">
        <v>34</v>
      </c>
      <c r="S113">
        <v>4.8600000000000003</v>
      </c>
      <c r="T113">
        <v>4.1399999999999997</v>
      </c>
      <c r="AB113">
        <v>0</v>
      </c>
      <c r="AD113">
        <v>0</v>
      </c>
      <c r="AE113">
        <v>4.8600000000000003</v>
      </c>
      <c r="AF113">
        <v>0.97200000000000009</v>
      </c>
      <c r="AG113">
        <v>0</v>
      </c>
      <c r="AH113">
        <v>4.1399999999999997</v>
      </c>
      <c r="AI113">
        <f t="shared" si="16"/>
        <v>0</v>
      </c>
      <c r="AJ113">
        <f t="shared" si="17"/>
        <v>0</v>
      </c>
      <c r="AK113">
        <f t="shared" si="18"/>
        <v>0</v>
      </c>
      <c r="AL113">
        <f t="shared" si="19"/>
        <v>4.8600000000000003</v>
      </c>
      <c r="AM113">
        <f t="shared" si="20"/>
        <v>0.97200000000000009</v>
      </c>
      <c r="AN113">
        <f t="shared" si="21"/>
        <v>0</v>
      </c>
      <c r="AO113">
        <f t="shared" si="22"/>
        <v>4.1399999999999997</v>
      </c>
      <c r="AQ113" t="str">
        <f t="shared" si="23"/>
        <v>21_3</v>
      </c>
      <c r="AR113">
        <f t="shared" si="24"/>
        <v>0</v>
      </c>
      <c r="AS113">
        <f t="shared" si="25"/>
        <v>0</v>
      </c>
      <c r="AT113">
        <f t="shared" si="26"/>
        <v>0</v>
      </c>
      <c r="AU113">
        <f t="shared" si="27"/>
        <v>0</v>
      </c>
      <c r="AV113">
        <f t="shared" si="28"/>
        <v>4.1399999999999997</v>
      </c>
    </row>
    <row r="114" spans="1:48">
      <c r="A114">
        <v>21</v>
      </c>
      <c r="B114">
        <v>4</v>
      </c>
      <c r="D114" t="str">
        <f t="shared" si="15"/>
        <v>21_4</v>
      </c>
      <c r="E114">
        <v>0</v>
      </c>
      <c r="F114">
        <v>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3</v>
      </c>
      <c r="M114" t="s">
        <v>31</v>
      </c>
      <c r="N114" t="s">
        <v>11</v>
      </c>
      <c r="O114" t="s">
        <v>11</v>
      </c>
      <c r="P114" t="s">
        <v>11</v>
      </c>
      <c r="Q114" t="s">
        <v>34</v>
      </c>
      <c r="S114">
        <v>0</v>
      </c>
      <c r="T114">
        <v>0</v>
      </c>
      <c r="AB114">
        <v>3</v>
      </c>
      <c r="AD114">
        <v>0.60000000000000009</v>
      </c>
      <c r="AE114">
        <v>0</v>
      </c>
      <c r="AF114">
        <v>0</v>
      </c>
      <c r="AG114">
        <v>0</v>
      </c>
      <c r="AH114">
        <v>0</v>
      </c>
      <c r="AI114">
        <f t="shared" si="16"/>
        <v>3</v>
      </c>
      <c r="AJ114">
        <f t="shared" si="17"/>
        <v>0</v>
      </c>
      <c r="AK114">
        <f t="shared" si="18"/>
        <v>0.60000000000000009</v>
      </c>
      <c r="AL114">
        <f t="shared" si="19"/>
        <v>0</v>
      </c>
      <c r="AM114">
        <f t="shared" si="20"/>
        <v>0</v>
      </c>
      <c r="AN114">
        <f t="shared" si="21"/>
        <v>0</v>
      </c>
      <c r="AO114">
        <f t="shared" si="22"/>
        <v>0</v>
      </c>
      <c r="AQ114" t="str">
        <f t="shared" si="23"/>
        <v>21_4</v>
      </c>
      <c r="AR114">
        <f t="shared" si="24"/>
        <v>3</v>
      </c>
      <c r="AS114">
        <f t="shared" si="25"/>
        <v>3</v>
      </c>
      <c r="AT114">
        <f t="shared" si="26"/>
        <v>0</v>
      </c>
      <c r="AU114">
        <f t="shared" si="27"/>
        <v>0</v>
      </c>
      <c r="AV114">
        <f t="shared" si="28"/>
        <v>0</v>
      </c>
    </row>
    <row r="115" spans="1:48">
      <c r="A115">
        <v>22</v>
      </c>
      <c r="B115" t="s">
        <v>10</v>
      </c>
      <c r="C115" t="s">
        <v>10</v>
      </c>
      <c r="D115" t="str">
        <f t="shared" si="15"/>
        <v>22</v>
      </c>
      <c r="E115" t="s">
        <v>10</v>
      </c>
      <c r="F115" t="s">
        <v>10</v>
      </c>
      <c r="G115" t="s">
        <v>10</v>
      </c>
      <c r="H115" t="s">
        <v>10</v>
      </c>
      <c r="I115" t="s">
        <v>10</v>
      </c>
      <c r="L115">
        <v>0</v>
      </c>
      <c r="M115" t="s">
        <v>11</v>
      </c>
      <c r="N115" t="s">
        <v>11</v>
      </c>
      <c r="O115" t="s">
        <v>11</v>
      </c>
      <c r="P115" t="s">
        <v>11</v>
      </c>
      <c r="Q115">
        <v>24</v>
      </c>
      <c r="R115" t="s">
        <v>30</v>
      </c>
      <c r="AI115">
        <f t="shared" si="16"/>
        <v>0</v>
      </c>
      <c r="AJ115">
        <f t="shared" si="17"/>
        <v>0</v>
      </c>
      <c r="AK115">
        <f t="shared" si="18"/>
        <v>0</v>
      </c>
      <c r="AL115">
        <f t="shared" si="19"/>
        <v>0</v>
      </c>
      <c r="AM115">
        <f t="shared" si="20"/>
        <v>0</v>
      </c>
      <c r="AN115">
        <f t="shared" si="21"/>
        <v>0</v>
      </c>
      <c r="AO115">
        <f t="shared" si="22"/>
        <v>0</v>
      </c>
      <c r="AQ115" t="str">
        <f t="shared" si="23"/>
        <v>22</v>
      </c>
      <c r="AR115" t="str">
        <f t="shared" si="24"/>
        <v/>
      </c>
      <c r="AS115">
        <f t="shared" si="25"/>
        <v>0</v>
      </c>
      <c r="AT115" t="str">
        <f t="shared" si="26"/>
        <v/>
      </c>
      <c r="AU115">
        <f t="shared" si="27"/>
        <v>0</v>
      </c>
      <c r="AV115">
        <f t="shared" si="28"/>
        <v>0</v>
      </c>
    </row>
    <row r="116" spans="1:48">
      <c r="A116">
        <v>22</v>
      </c>
      <c r="B116">
        <v>1</v>
      </c>
      <c r="C116">
        <v>1</v>
      </c>
      <c r="D116" t="str">
        <f t="shared" si="15"/>
        <v>22_1_1</v>
      </c>
      <c r="E116">
        <v>0</v>
      </c>
      <c r="F116">
        <v>0.5</v>
      </c>
      <c r="G116">
        <v>1</v>
      </c>
      <c r="H116">
        <v>1</v>
      </c>
      <c r="I116">
        <v>0.25</v>
      </c>
      <c r="J116">
        <v>0.67500000000000004</v>
      </c>
      <c r="K116">
        <v>0.57499999999999996</v>
      </c>
      <c r="L116">
        <v>2.75</v>
      </c>
      <c r="M116" t="s">
        <v>31</v>
      </c>
      <c r="N116" t="s">
        <v>33</v>
      </c>
      <c r="O116" t="s">
        <v>43</v>
      </c>
      <c r="P116" t="s">
        <v>33</v>
      </c>
      <c r="Q116">
        <v>24</v>
      </c>
      <c r="S116">
        <v>0.67500000000000004</v>
      </c>
      <c r="T116">
        <v>0.57499999999999996</v>
      </c>
      <c r="U116">
        <v>0.1</v>
      </c>
      <c r="V116">
        <v>0</v>
      </c>
      <c r="W116">
        <v>0.1</v>
      </c>
      <c r="X116">
        <v>0.13500000000000001</v>
      </c>
      <c r="Y116">
        <v>0.13500000000000001</v>
      </c>
      <c r="Z116">
        <v>1</v>
      </c>
      <c r="AA116">
        <v>0.57499999999999996</v>
      </c>
      <c r="AI116">
        <f t="shared" si="16"/>
        <v>0.1</v>
      </c>
      <c r="AJ116">
        <f t="shared" si="17"/>
        <v>0</v>
      </c>
      <c r="AK116">
        <f t="shared" si="18"/>
        <v>0.1</v>
      </c>
      <c r="AL116">
        <f t="shared" si="19"/>
        <v>0.13500000000000001</v>
      </c>
      <c r="AM116">
        <f t="shared" si="20"/>
        <v>0.13500000000000001</v>
      </c>
      <c r="AN116">
        <f t="shared" si="21"/>
        <v>1</v>
      </c>
      <c r="AO116">
        <f t="shared" si="22"/>
        <v>0.57499999999999996</v>
      </c>
      <c r="AQ116" t="str">
        <f t="shared" si="23"/>
        <v>22_1_1</v>
      </c>
      <c r="AR116">
        <f t="shared" si="24"/>
        <v>0.5</v>
      </c>
      <c r="AS116">
        <f t="shared" si="25"/>
        <v>0.1</v>
      </c>
      <c r="AT116">
        <f t="shared" si="26"/>
        <v>1</v>
      </c>
      <c r="AU116">
        <f t="shared" si="27"/>
        <v>1</v>
      </c>
      <c r="AV116">
        <f t="shared" si="28"/>
        <v>0.57499999999999996</v>
      </c>
    </row>
    <row r="117" spans="1:48">
      <c r="A117">
        <v>22</v>
      </c>
      <c r="B117">
        <v>1</v>
      </c>
      <c r="C117">
        <v>2</v>
      </c>
      <c r="D117" t="str">
        <f t="shared" si="15"/>
        <v>22_1_2</v>
      </c>
      <c r="E117">
        <v>0</v>
      </c>
      <c r="F117">
        <v>0.625</v>
      </c>
      <c r="G117">
        <v>1.125</v>
      </c>
      <c r="H117">
        <v>1.125</v>
      </c>
      <c r="I117">
        <v>0.25</v>
      </c>
      <c r="J117">
        <v>0.74250000000000005</v>
      </c>
      <c r="K117">
        <v>0.63249999999999995</v>
      </c>
      <c r="L117">
        <v>3.125</v>
      </c>
      <c r="M117" t="s">
        <v>31</v>
      </c>
      <c r="N117" t="s">
        <v>11</v>
      </c>
      <c r="O117" t="s">
        <v>11</v>
      </c>
      <c r="P117" t="s">
        <v>11</v>
      </c>
      <c r="Q117" t="s">
        <v>34</v>
      </c>
      <c r="S117">
        <v>0.74250000000000005</v>
      </c>
      <c r="T117">
        <v>0.63249999999999995</v>
      </c>
      <c r="AB117">
        <v>0.625</v>
      </c>
      <c r="AD117">
        <v>0.125</v>
      </c>
      <c r="AE117">
        <v>0.74250000000000005</v>
      </c>
      <c r="AF117">
        <v>0.14850000000000002</v>
      </c>
      <c r="AG117">
        <v>1.125</v>
      </c>
      <c r="AH117">
        <v>0.63249999999999995</v>
      </c>
      <c r="AI117">
        <f t="shared" si="16"/>
        <v>0.625</v>
      </c>
      <c r="AJ117">
        <f t="shared" si="17"/>
        <v>0</v>
      </c>
      <c r="AK117">
        <f t="shared" si="18"/>
        <v>0.125</v>
      </c>
      <c r="AL117">
        <f t="shared" si="19"/>
        <v>0.74250000000000005</v>
      </c>
      <c r="AM117">
        <f t="shared" si="20"/>
        <v>0.14850000000000002</v>
      </c>
      <c r="AN117">
        <f t="shared" si="21"/>
        <v>1.125</v>
      </c>
      <c r="AO117">
        <f t="shared" si="22"/>
        <v>0.63249999999999995</v>
      </c>
      <c r="AQ117" t="str">
        <f t="shared" si="23"/>
        <v>22_1_2</v>
      </c>
      <c r="AR117">
        <f t="shared" si="24"/>
        <v>0.625</v>
      </c>
      <c r="AS117">
        <f t="shared" si="25"/>
        <v>0.625</v>
      </c>
      <c r="AT117">
        <f t="shared" si="26"/>
        <v>1.125</v>
      </c>
      <c r="AU117">
        <f t="shared" si="27"/>
        <v>1.125</v>
      </c>
      <c r="AV117">
        <f t="shared" si="28"/>
        <v>0.63249999999999995</v>
      </c>
    </row>
    <row r="118" spans="1:48">
      <c r="A118">
        <v>22</v>
      </c>
      <c r="B118">
        <v>2</v>
      </c>
      <c r="C118">
        <v>2</v>
      </c>
      <c r="D118" t="str">
        <f t="shared" si="15"/>
        <v>22_2_2</v>
      </c>
      <c r="E118">
        <v>0</v>
      </c>
      <c r="F118">
        <v>0.25</v>
      </c>
      <c r="G118">
        <v>0.5</v>
      </c>
      <c r="H118">
        <v>0.5</v>
      </c>
      <c r="I118">
        <v>0.125</v>
      </c>
      <c r="J118">
        <v>0.33750000000000002</v>
      </c>
      <c r="K118">
        <v>0.28749999999999998</v>
      </c>
      <c r="L118">
        <v>1.375</v>
      </c>
      <c r="M118" t="s">
        <v>31</v>
      </c>
      <c r="N118" t="s">
        <v>11</v>
      </c>
      <c r="O118" t="s">
        <v>11</v>
      </c>
      <c r="P118" t="s">
        <v>11</v>
      </c>
      <c r="Q118" t="s">
        <v>34</v>
      </c>
      <c r="S118">
        <v>0.33750000000000002</v>
      </c>
      <c r="T118">
        <v>0.28749999999999998</v>
      </c>
      <c r="AB118">
        <v>0.25</v>
      </c>
      <c r="AD118">
        <v>0.05</v>
      </c>
      <c r="AE118">
        <v>0.33750000000000002</v>
      </c>
      <c r="AF118">
        <v>6.7500000000000004E-2</v>
      </c>
      <c r="AG118">
        <v>0.5</v>
      </c>
      <c r="AH118">
        <v>0.28749999999999998</v>
      </c>
      <c r="AI118">
        <f t="shared" si="16"/>
        <v>0.25</v>
      </c>
      <c r="AJ118">
        <f t="shared" si="17"/>
        <v>0</v>
      </c>
      <c r="AK118">
        <f t="shared" si="18"/>
        <v>0.05</v>
      </c>
      <c r="AL118">
        <f t="shared" si="19"/>
        <v>0.33750000000000002</v>
      </c>
      <c r="AM118">
        <f t="shared" si="20"/>
        <v>6.7500000000000004E-2</v>
      </c>
      <c r="AN118">
        <f t="shared" si="21"/>
        <v>0.5</v>
      </c>
      <c r="AO118">
        <f t="shared" si="22"/>
        <v>0.28749999999999998</v>
      </c>
      <c r="AQ118" t="str">
        <f t="shared" si="23"/>
        <v>22_2_2</v>
      </c>
      <c r="AR118">
        <f t="shared" si="24"/>
        <v>0.25</v>
      </c>
      <c r="AS118">
        <f t="shared" si="25"/>
        <v>0.25</v>
      </c>
      <c r="AT118">
        <f t="shared" si="26"/>
        <v>0.5</v>
      </c>
      <c r="AU118">
        <f t="shared" si="27"/>
        <v>0.5</v>
      </c>
      <c r="AV118">
        <f t="shared" si="28"/>
        <v>0.28749999999999998</v>
      </c>
    </row>
    <row r="119" spans="1:48">
      <c r="A119">
        <v>23</v>
      </c>
      <c r="B119" t="s">
        <v>10</v>
      </c>
      <c r="C119" t="s">
        <v>10</v>
      </c>
      <c r="D119" t="str">
        <f t="shared" si="15"/>
        <v>23</v>
      </c>
      <c r="E119" t="s">
        <v>10</v>
      </c>
      <c r="F119" t="s">
        <v>10</v>
      </c>
      <c r="G119" t="s">
        <v>10</v>
      </c>
      <c r="H119" t="s">
        <v>10</v>
      </c>
      <c r="I119" t="s">
        <v>10</v>
      </c>
      <c r="L119">
        <v>0</v>
      </c>
      <c r="M119" t="s">
        <v>11</v>
      </c>
      <c r="N119" t="s">
        <v>11</v>
      </c>
      <c r="O119" t="s">
        <v>11</v>
      </c>
      <c r="P119" t="s">
        <v>11</v>
      </c>
      <c r="Q119">
        <v>23</v>
      </c>
      <c r="R119" t="s">
        <v>35</v>
      </c>
      <c r="AI119">
        <f t="shared" si="16"/>
        <v>0</v>
      </c>
      <c r="AJ119">
        <f t="shared" si="17"/>
        <v>0</v>
      </c>
      <c r="AK119">
        <f t="shared" si="18"/>
        <v>0</v>
      </c>
      <c r="AL119">
        <f t="shared" si="19"/>
        <v>0</v>
      </c>
      <c r="AM119">
        <f t="shared" si="20"/>
        <v>0</v>
      </c>
      <c r="AN119">
        <f t="shared" si="21"/>
        <v>0</v>
      </c>
      <c r="AO119">
        <f t="shared" si="22"/>
        <v>0</v>
      </c>
      <c r="AQ119" t="str">
        <f t="shared" si="23"/>
        <v>23</v>
      </c>
      <c r="AR119" t="str">
        <f t="shared" si="24"/>
        <v/>
      </c>
      <c r="AS119">
        <f t="shared" si="25"/>
        <v>0</v>
      </c>
      <c r="AT119" t="str">
        <f t="shared" si="26"/>
        <v/>
      </c>
      <c r="AU119">
        <f t="shared" si="27"/>
        <v>0</v>
      </c>
      <c r="AV119">
        <f t="shared" si="28"/>
        <v>0</v>
      </c>
    </row>
    <row r="120" spans="1:48">
      <c r="A120">
        <v>23</v>
      </c>
      <c r="B120">
        <v>1</v>
      </c>
      <c r="C120" t="s">
        <v>10</v>
      </c>
      <c r="D120" t="str">
        <f t="shared" si="15"/>
        <v>23_1</v>
      </c>
      <c r="E120">
        <v>0</v>
      </c>
      <c r="F120">
        <v>0.75</v>
      </c>
      <c r="G120">
        <v>1.375</v>
      </c>
      <c r="H120">
        <v>1.375</v>
      </c>
      <c r="I120">
        <v>0.25</v>
      </c>
      <c r="J120">
        <v>0.87750000000000006</v>
      </c>
      <c r="K120">
        <v>0.74749999999999994</v>
      </c>
      <c r="L120">
        <v>3.75</v>
      </c>
      <c r="M120" t="s">
        <v>31</v>
      </c>
      <c r="N120" t="s">
        <v>33</v>
      </c>
      <c r="O120" t="s">
        <v>43</v>
      </c>
      <c r="P120" t="s">
        <v>42</v>
      </c>
      <c r="Q120">
        <v>23</v>
      </c>
      <c r="S120">
        <v>0.87750000000000006</v>
      </c>
      <c r="T120">
        <v>0.74749999999999994</v>
      </c>
      <c r="U120">
        <v>0.15000000000000002</v>
      </c>
      <c r="W120">
        <v>0.15000000000000002</v>
      </c>
      <c r="X120">
        <v>0.17550000000000002</v>
      </c>
      <c r="Y120">
        <v>0.17550000000000002</v>
      </c>
      <c r="Z120">
        <v>1.375</v>
      </c>
      <c r="AA120">
        <v>0.74749999999999994</v>
      </c>
      <c r="AI120">
        <f t="shared" si="16"/>
        <v>0.15000000000000002</v>
      </c>
      <c r="AJ120">
        <f t="shared" si="17"/>
        <v>0</v>
      </c>
      <c r="AK120">
        <f t="shared" si="18"/>
        <v>0.15000000000000002</v>
      </c>
      <c r="AL120">
        <f t="shared" si="19"/>
        <v>0.17550000000000002</v>
      </c>
      <c r="AM120">
        <f t="shared" si="20"/>
        <v>0.17550000000000002</v>
      </c>
      <c r="AN120">
        <f t="shared" si="21"/>
        <v>1.375</v>
      </c>
      <c r="AO120">
        <f t="shared" si="22"/>
        <v>0.74749999999999994</v>
      </c>
      <c r="AQ120" t="str">
        <f t="shared" si="23"/>
        <v>23_1</v>
      </c>
      <c r="AR120">
        <f t="shared" si="24"/>
        <v>0.75</v>
      </c>
      <c r="AS120">
        <f t="shared" si="25"/>
        <v>0.15000000000000002</v>
      </c>
      <c r="AT120">
        <f t="shared" si="26"/>
        <v>1.375</v>
      </c>
      <c r="AU120">
        <f t="shared" si="27"/>
        <v>1.375</v>
      </c>
      <c r="AV120">
        <f t="shared" si="28"/>
        <v>0.74749999999999994</v>
      </c>
    </row>
    <row r="121" spans="1:48">
      <c r="A121">
        <v>24</v>
      </c>
      <c r="B121" t="s">
        <v>10</v>
      </c>
      <c r="C121" t="s">
        <v>10</v>
      </c>
      <c r="D121" t="str">
        <f t="shared" si="15"/>
        <v>24</v>
      </c>
      <c r="E121" t="s">
        <v>10</v>
      </c>
      <c r="F121" t="s">
        <v>10</v>
      </c>
      <c r="G121" t="s">
        <v>10</v>
      </c>
      <c r="H121" t="s">
        <v>10</v>
      </c>
      <c r="I121" t="s">
        <v>10</v>
      </c>
      <c r="L121">
        <v>0</v>
      </c>
      <c r="M121" t="s">
        <v>11</v>
      </c>
      <c r="N121" t="s">
        <v>11</v>
      </c>
      <c r="O121" t="s">
        <v>11</v>
      </c>
      <c r="P121" t="s">
        <v>11</v>
      </c>
      <c r="Q121" t="s">
        <v>11</v>
      </c>
      <c r="AI121">
        <f t="shared" si="16"/>
        <v>0</v>
      </c>
      <c r="AJ121">
        <f t="shared" si="17"/>
        <v>0</v>
      </c>
      <c r="AK121">
        <f t="shared" si="18"/>
        <v>0</v>
      </c>
      <c r="AL121">
        <f t="shared" si="19"/>
        <v>0</v>
      </c>
      <c r="AM121">
        <f t="shared" si="20"/>
        <v>0</v>
      </c>
      <c r="AN121">
        <f t="shared" si="21"/>
        <v>0</v>
      </c>
      <c r="AO121">
        <f t="shared" si="22"/>
        <v>0</v>
      </c>
      <c r="AQ121" t="str">
        <f t="shared" si="23"/>
        <v>24</v>
      </c>
      <c r="AR121" t="str">
        <f t="shared" si="24"/>
        <v/>
      </c>
      <c r="AS121">
        <f t="shared" si="25"/>
        <v>0</v>
      </c>
      <c r="AT121" t="str">
        <f t="shared" si="26"/>
        <v/>
      </c>
      <c r="AU121">
        <f t="shared" si="27"/>
        <v>0</v>
      </c>
      <c r="AV121">
        <f t="shared" si="28"/>
        <v>0</v>
      </c>
    </row>
    <row r="122" spans="1:48">
      <c r="A122">
        <v>25</v>
      </c>
      <c r="B122" t="s">
        <v>10</v>
      </c>
      <c r="C122" t="s">
        <v>10</v>
      </c>
      <c r="D122" t="str">
        <f t="shared" si="15"/>
        <v>25</v>
      </c>
      <c r="E122" t="s">
        <v>10</v>
      </c>
      <c r="F122" t="s">
        <v>10</v>
      </c>
      <c r="G122" t="s">
        <v>10</v>
      </c>
      <c r="H122" t="s">
        <v>10</v>
      </c>
      <c r="I122" t="s">
        <v>10</v>
      </c>
      <c r="L122">
        <v>0</v>
      </c>
      <c r="M122" t="s">
        <v>11</v>
      </c>
      <c r="N122" t="s">
        <v>11</v>
      </c>
      <c r="O122" t="s">
        <v>11</v>
      </c>
      <c r="P122" t="s">
        <v>11</v>
      </c>
      <c r="Q122" t="s">
        <v>11</v>
      </c>
      <c r="AI122">
        <f t="shared" si="16"/>
        <v>0</v>
      </c>
      <c r="AJ122">
        <f t="shared" si="17"/>
        <v>0</v>
      </c>
      <c r="AK122">
        <f t="shared" si="18"/>
        <v>0</v>
      </c>
      <c r="AL122">
        <f t="shared" si="19"/>
        <v>0</v>
      </c>
      <c r="AM122">
        <f t="shared" si="20"/>
        <v>0</v>
      </c>
      <c r="AN122">
        <f t="shared" si="21"/>
        <v>0</v>
      </c>
      <c r="AO122">
        <f t="shared" si="22"/>
        <v>0</v>
      </c>
      <c r="AQ122" t="str">
        <f t="shared" si="23"/>
        <v>25</v>
      </c>
      <c r="AR122" t="str">
        <f t="shared" si="24"/>
        <v/>
      </c>
      <c r="AS122">
        <f t="shared" si="25"/>
        <v>0</v>
      </c>
      <c r="AT122" t="str">
        <f t="shared" si="26"/>
        <v/>
      </c>
      <c r="AU122">
        <f t="shared" si="27"/>
        <v>0</v>
      </c>
      <c r="AV122">
        <f t="shared" si="28"/>
        <v>0</v>
      </c>
    </row>
    <row r="123" spans="1:48">
      <c r="A123">
        <v>26</v>
      </c>
      <c r="B123" t="s">
        <v>10</v>
      </c>
      <c r="C123" t="s">
        <v>10</v>
      </c>
      <c r="D123" t="str">
        <f t="shared" si="15"/>
        <v>26</v>
      </c>
      <c r="E123" t="s">
        <v>10</v>
      </c>
      <c r="F123" t="s">
        <v>10</v>
      </c>
      <c r="G123" t="s">
        <v>10</v>
      </c>
      <c r="H123" t="s">
        <v>10</v>
      </c>
      <c r="I123" t="s">
        <v>10</v>
      </c>
      <c r="L123">
        <v>0</v>
      </c>
      <c r="M123" t="s">
        <v>11</v>
      </c>
      <c r="N123" t="s">
        <v>11</v>
      </c>
      <c r="O123" t="s">
        <v>11</v>
      </c>
      <c r="P123" t="s">
        <v>11</v>
      </c>
      <c r="Q123">
        <v>27</v>
      </c>
      <c r="R123" t="s">
        <v>35</v>
      </c>
      <c r="AI123">
        <f t="shared" si="16"/>
        <v>0</v>
      </c>
      <c r="AJ123">
        <f t="shared" si="17"/>
        <v>0</v>
      </c>
      <c r="AK123">
        <f t="shared" si="18"/>
        <v>0</v>
      </c>
      <c r="AL123">
        <f t="shared" si="19"/>
        <v>0</v>
      </c>
      <c r="AM123">
        <f t="shared" si="20"/>
        <v>0</v>
      </c>
      <c r="AN123">
        <f t="shared" si="21"/>
        <v>0</v>
      </c>
      <c r="AO123">
        <f t="shared" si="22"/>
        <v>0</v>
      </c>
      <c r="AQ123" t="str">
        <f t="shared" si="23"/>
        <v>26</v>
      </c>
      <c r="AR123" t="str">
        <f t="shared" si="24"/>
        <v/>
      </c>
      <c r="AS123">
        <f t="shared" si="25"/>
        <v>0</v>
      </c>
      <c r="AT123" t="str">
        <f t="shared" si="26"/>
        <v/>
      </c>
      <c r="AU123">
        <f t="shared" si="27"/>
        <v>0</v>
      </c>
      <c r="AV123">
        <f t="shared" si="28"/>
        <v>0</v>
      </c>
    </row>
    <row r="124" spans="1:48">
      <c r="A124">
        <v>26</v>
      </c>
      <c r="B124">
        <v>1</v>
      </c>
      <c r="C124" t="s">
        <v>10</v>
      </c>
      <c r="D124" t="str">
        <f t="shared" si="15"/>
        <v>26_1</v>
      </c>
      <c r="E124">
        <v>0</v>
      </c>
      <c r="F124">
        <v>0.5</v>
      </c>
      <c r="G124">
        <v>0.875</v>
      </c>
      <c r="H124">
        <v>0.875</v>
      </c>
      <c r="I124">
        <v>0.25</v>
      </c>
      <c r="J124">
        <v>0.60750000000000004</v>
      </c>
      <c r="K124">
        <v>0.51749999999999996</v>
      </c>
      <c r="L124">
        <v>2.5</v>
      </c>
      <c r="M124" t="s">
        <v>31</v>
      </c>
      <c r="N124" t="s">
        <v>33</v>
      </c>
      <c r="O124" t="s">
        <v>43</v>
      </c>
      <c r="P124" t="s">
        <v>42</v>
      </c>
      <c r="Q124">
        <v>27</v>
      </c>
      <c r="S124">
        <v>0.60750000000000004</v>
      </c>
      <c r="T124">
        <v>0.51749999999999996</v>
      </c>
      <c r="U124">
        <v>0.1</v>
      </c>
      <c r="V124">
        <v>0</v>
      </c>
      <c r="W124">
        <v>0.1</v>
      </c>
      <c r="X124">
        <v>0.12150000000000001</v>
      </c>
      <c r="Y124">
        <v>0.12150000000000001</v>
      </c>
      <c r="Z124">
        <v>0.875</v>
      </c>
      <c r="AA124">
        <v>0.51749999999999996</v>
      </c>
      <c r="AI124">
        <f t="shared" si="16"/>
        <v>0.1</v>
      </c>
      <c r="AJ124">
        <f t="shared" si="17"/>
        <v>0</v>
      </c>
      <c r="AK124">
        <f t="shared" si="18"/>
        <v>0.1</v>
      </c>
      <c r="AL124">
        <f t="shared" si="19"/>
        <v>0.12150000000000001</v>
      </c>
      <c r="AM124">
        <f t="shared" si="20"/>
        <v>0.12150000000000001</v>
      </c>
      <c r="AN124">
        <f t="shared" si="21"/>
        <v>0.875</v>
      </c>
      <c r="AO124">
        <f t="shared" si="22"/>
        <v>0.51749999999999996</v>
      </c>
      <c r="AQ124" t="str">
        <f t="shared" si="23"/>
        <v>26_1</v>
      </c>
      <c r="AR124">
        <f t="shared" si="24"/>
        <v>0.5</v>
      </c>
      <c r="AS124">
        <f t="shared" si="25"/>
        <v>0.1</v>
      </c>
      <c r="AT124">
        <f t="shared" si="26"/>
        <v>0.875</v>
      </c>
      <c r="AU124">
        <f t="shared" si="27"/>
        <v>0.875</v>
      </c>
      <c r="AV124">
        <f t="shared" si="28"/>
        <v>0.51749999999999996</v>
      </c>
    </row>
    <row r="125" spans="1:48">
      <c r="A125">
        <v>27</v>
      </c>
      <c r="B125" t="s">
        <v>10</v>
      </c>
      <c r="C125" t="s">
        <v>10</v>
      </c>
      <c r="D125" t="str">
        <f t="shared" si="15"/>
        <v>27</v>
      </c>
      <c r="E125" t="s">
        <v>10</v>
      </c>
      <c r="F125" t="s">
        <v>10</v>
      </c>
      <c r="G125" t="s">
        <v>10</v>
      </c>
      <c r="H125" t="s">
        <v>10</v>
      </c>
      <c r="I125" t="s">
        <v>10</v>
      </c>
      <c r="L125">
        <v>0</v>
      </c>
      <c r="M125" t="s">
        <v>11</v>
      </c>
      <c r="N125" t="s">
        <v>11</v>
      </c>
      <c r="O125" t="s">
        <v>11</v>
      </c>
      <c r="P125" t="s">
        <v>11</v>
      </c>
      <c r="Q125">
        <v>39</v>
      </c>
      <c r="R125" t="s">
        <v>35</v>
      </c>
      <c r="AI125">
        <f t="shared" si="16"/>
        <v>0</v>
      </c>
      <c r="AJ125">
        <f t="shared" si="17"/>
        <v>0</v>
      </c>
      <c r="AK125">
        <f t="shared" si="18"/>
        <v>0</v>
      </c>
      <c r="AL125">
        <f t="shared" si="19"/>
        <v>0</v>
      </c>
      <c r="AM125">
        <f t="shared" si="20"/>
        <v>0</v>
      </c>
      <c r="AN125">
        <f t="shared" si="21"/>
        <v>0</v>
      </c>
      <c r="AO125">
        <f t="shared" si="22"/>
        <v>0</v>
      </c>
      <c r="AQ125" t="str">
        <f t="shared" si="23"/>
        <v>27</v>
      </c>
      <c r="AR125" t="str">
        <f t="shared" si="24"/>
        <v/>
      </c>
      <c r="AS125">
        <f t="shared" si="25"/>
        <v>0</v>
      </c>
      <c r="AT125" t="str">
        <f t="shared" si="26"/>
        <v/>
      </c>
      <c r="AU125">
        <f t="shared" si="27"/>
        <v>0</v>
      </c>
      <c r="AV125">
        <f t="shared" si="28"/>
        <v>0</v>
      </c>
    </row>
    <row r="126" spans="1:48">
      <c r="A126">
        <v>27</v>
      </c>
      <c r="B126">
        <v>1</v>
      </c>
      <c r="C126" t="s">
        <v>10</v>
      </c>
      <c r="D126" t="str">
        <f t="shared" si="15"/>
        <v>27_1</v>
      </c>
      <c r="E126">
        <v>0</v>
      </c>
      <c r="F126">
        <v>0.5</v>
      </c>
      <c r="G126">
        <v>0.875</v>
      </c>
      <c r="H126">
        <v>0.875</v>
      </c>
      <c r="I126">
        <v>0.25</v>
      </c>
      <c r="J126">
        <v>0.60750000000000004</v>
      </c>
      <c r="K126">
        <v>0.51749999999999996</v>
      </c>
      <c r="L126">
        <v>2.5</v>
      </c>
      <c r="M126" t="s">
        <v>31</v>
      </c>
      <c r="N126" t="s">
        <v>33</v>
      </c>
      <c r="O126" t="s">
        <v>37</v>
      </c>
      <c r="P126" t="s">
        <v>37</v>
      </c>
      <c r="Q126">
        <v>39</v>
      </c>
      <c r="S126">
        <v>0.60750000000000004</v>
      </c>
      <c r="T126">
        <v>0.51749999999999996</v>
      </c>
      <c r="U126">
        <v>0.1</v>
      </c>
      <c r="V126">
        <v>0</v>
      </c>
      <c r="W126">
        <v>0.1</v>
      </c>
      <c r="X126">
        <v>0.60750000000000004</v>
      </c>
      <c r="Y126">
        <v>0.12150000000000001</v>
      </c>
      <c r="Z126">
        <v>0.875</v>
      </c>
      <c r="AA126">
        <v>0.51749999999999996</v>
      </c>
      <c r="AI126">
        <f t="shared" si="16"/>
        <v>0.1</v>
      </c>
      <c r="AJ126">
        <f t="shared" si="17"/>
        <v>0</v>
      </c>
      <c r="AK126">
        <f t="shared" si="18"/>
        <v>0.1</v>
      </c>
      <c r="AL126">
        <f t="shared" si="19"/>
        <v>0.60750000000000004</v>
      </c>
      <c r="AM126">
        <f t="shared" si="20"/>
        <v>0.12150000000000001</v>
      </c>
      <c r="AN126">
        <f t="shared" si="21"/>
        <v>0.875</v>
      </c>
      <c r="AO126">
        <f t="shared" si="22"/>
        <v>0.51749999999999996</v>
      </c>
      <c r="AQ126" t="str">
        <f t="shared" si="23"/>
        <v>27_1</v>
      </c>
      <c r="AR126">
        <f t="shared" si="24"/>
        <v>0.5</v>
      </c>
      <c r="AS126">
        <f t="shared" si="25"/>
        <v>0.1</v>
      </c>
      <c r="AT126">
        <f t="shared" si="26"/>
        <v>0.875</v>
      </c>
      <c r="AU126">
        <f t="shared" si="27"/>
        <v>0.875</v>
      </c>
      <c r="AV126">
        <f t="shared" si="28"/>
        <v>0.51749999999999996</v>
      </c>
    </row>
    <row r="127" spans="1:48">
      <c r="A127">
        <v>28</v>
      </c>
      <c r="B127" t="s">
        <v>10</v>
      </c>
      <c r="C127" t="s">
        <v>10</v>
      </c>
      <c r="D127" t="str">
        <f t="shared" si="15"/>
        <v>28</v>
      </c>
      <c r="E127" t="s">
        <v>10</v>
      </c>
      <c r="F127" t="s">
        <v>10</v>
      </c>
      <c r="G127" t="s">
        <v>10</v>
      </c>
      <c r="H127" t="s">
        <v>10</v>
      </c>
      <c r="I127" t="s">
        <v>10</v>
      </c>
      <c r="L127">
        <v>0</v>
      </c>
      <c r="M127" t="s">
        <v>11</v>
      </c>
      <c r="N127" t="s">
        <v>11</v>
      </c>
      <c r="O127" t="s">
        <v>11</v>
      </c>
      <c r="P127" t="s">
        <v>11</v>
      </c>
      <c r="Q127">
        <v>44</v>
      </c>
      <c r="R127" t="s">
        <v>35</v>
      </c>
      <c r="AI127">
        <f t="shared" si="16"/>
        <v>0</v>
      </c>
      <c r="AJ127">
        <f t="shared" si="17"/>
        <v>0</v>
      </c>
      <c r="AK127">
        <f t="shared" si="18"/>
        <v>0</v>
      </c>
      <c r="AL127">
        <f t="shared" si="19"/>
        <v>0</v>
      </c>
      <c r="AM127">
        <f t="shared" si="20"/>
        <v>0</v>
      </c>
      <c r="AN127">
        <f t="shared" si="21"/>
        <v>0</v>
      </c>
      <c r="AO127">
        <f t="shared" si="22"/>
        <v>0</v>
      </c>
      <c r="AQ127" t="str">
        <f t="shared" si="23"/>
        <v>28</v>
      </c>
      <c r="AR127" t="str">
        <f t="shared" si="24"/>
        <v/>
      </c>
      <c r="AS127">
        <f t="shared" si="25"/>
        <v>0</v>
      </c>
      <c r="AT127" t="str">
        <f t="shared" si="26"/>
        <v/>
      </c>
      <c r="AU127">
        <f t="shared" si="27"/>
        <v>0</v>
      </c>
      <c r="AV127">
        <f t="shared" si="28"/>
        <v>0</v>
      </c>
    </row>
    <row r="128" spans="1:48">
      <c r="A128">
        <v>28</v>
      </c>
      <c r="B128">
        <v>1</v>
      </c>
      <c r="C128" t="s">
        <v>10</v>
      </c>
      <c r="D128" t="str">
        <f t="shared" si="15"/>
        <v>28_1</v>
      </c>
      <c r="E128">
        <v>0</v>
      </c>
      <c r="F128">
        <v>0.5</v>
      </c>
      <c r="G128">
        <v>0.875</v>
      </c>
      <c r="H128">
        <v>0.875</v>
      </c>
      <c r="I128">
        <v>0.25</v>
      </c>
      <c r="J128">
        <v>0.60750000000000004</v>
      </c>
      <c r="K128">
        <v>0.51749999999999996</v>
      </c>
      <c r="L128">
        <v>2.5</v>
      </c>
      <c r="M128" t="s">
        <v>31</v>
      </c>
      <c r="N128" t="s">
        <v>32</v>
      </c>
      <c r="O128" t="s">
        <v>43</v>
      </c>
      <c r="P128" t="s">
        <v>43</v>
      </c>
      <c r="Q128">
        <v>44</v>
      </c>
      <c r="S128">
        <v>0.60750000000000004</v>
      </c>
      <c r="T128">
        <v>0.51749999999999996</v>
      </c>
      <c r="U128">
        <v>0</v>
      </c>
      <c r="V128">
        <v>0</v>
      </c>
      <c r="W128">
        <v>0</v>
      </c>
      <c r="X128">
        <v>0.60750000000000004</v>
      </c>
      <c r="Y128">
        <v>0.12150000000000001</v>
      </c>
      <c r="Z128">
        <v>0.875</v>
      </c>
      <c r="AA128">
        <v>0.51749999999999996</v>
      </c>
      <c r="AI128">
        <f t="shared" si="16"/>
        <v>0</v>
      </c>
      <c r="AJ128">
        <f t="shared" si="17"/>
        <v>0</v>
      </c>
      <c r="AK128">
        <f t="shared" si="18"/>
        <v>0</v>
      </c>
      <c r="AL128">
        <f t="shared" si="19"/>
        <v>0.60750000000000004</v>
      </c>
      <c r="AM128">
        <f t="shared" si="20"/>
        <v>0.12150000000000001</v>
      </c>
      <c r="AN128">
        <f t="shared" si="21"/>
        <v>0.875</v>
      </c>
      <c r="AO128">
        <f t="shared" si="22"/>
        <v>0.51749999999999996</v>
      </c>
      <c r="AQ128" t="str">
        <f t="shared" si="23"/>
        <v>28_1</v>
      </c>
      <c r="AR128">
        <f t="shared" si="24"/>
        <v>0.5</v>
      </c>
      <c r="AS128">
        <f t="shared" si="25"/>
        <v>0</v>
      </c>
      <c r="AT128">
        <f t="shared" si="26"/>
        <v>0.875</v>
      </c>
      <c r="AU128">
        <f t="shared" si="27"/>
        <v>0.875</v>
      </c>
      <c r="AV128">
        <f t="shared" si="28"/>
        <v>0.51749999999999996</v>
      </c>
    </row>
    <row r="129" spans="1:48">
      <c r="A129">
        <v>29</v>
      </c>
      <c r="B129" t="s">
        <v>10</v>
      </c>
      <c r="C129" t="s">
        <v>10</v>
      </c>
      <c r="D129" t="str">
        <f t="shared" si="15"/>
        <v>29</v>
      </c>
      <c r="E129" t="s">
        <v>10</v>
      </c>
      <c r="F129" t="s">
        <v>10</v>
      </c>
      <c r="G129" t="s">
        <v>10</v>
      </c>
      <c r="H129" t="s">
        <v>10</v>
      </c>
      <c r="I129" t="s">
        <v>10</v>
      </c>
      <c r="L129">
        <v>0</v>
      </c>
      <c r="M129" t="s">
        <v>11</v>
      </c>
      <c r="N129" t="s">
        <v>11</v>
      </c>
      <c r="O129" t="s">
        <v>11</v>
      </c>
      <c r="P129" t="s">
        <v>11</v>
      </c>
      <c r="Q129">
        <v>58</v>
      </c>
      <c r="R129" t="s">
        <v>35</v>
      </c>
      <c r="AI129">
        <f t="shared" si="16"/>
        <v>0</v>
      </c>
      <c r="AJ129">
        <f t="shared" si="17"/>
        <v>0</v>
      </c>
      <c r="AK129">
        <f t="shared" si="18"/>
        <v>0</v>
      </c>
      <c r="AL129">
        <f t="shared" si="19"/>
        <v>0</v>
      </c>
      <c r="AM129">
        <f t="shared" si="20"/>
        <v>0</v>
      </c>
      <c r="AN129">
        <f t="shared" si="21"/>
        <v>0</v>
      </c>
      <c r="AO129">
        <f t="shared" si="22"/>
        <v>0</v>
      </c>
      <c r="AQ129" t="str">
        <f t="shared" si="23"/>
        <v>29</v>
      </c>
      <c r="AR129" t="str">
        <f t="shared" si="24"/>
        <v/>
      </c>
      <c r="AS129">
        <f t="shared" si="25"/>
        <v>0</v>
      </c>
      <c r="AT129" t="str">
        <f t="shared" si="26"/>
        <v/>
      </c>
      <c r="AU129">
        <f t="shared" si="27"/>
        <v>0</v>
      </c>
      <c r="AV129">
        <f t="shared" si="28"/>
        <v>0</v>
      </c>
    </row>
    <row r="130" spans="1:48">
      <c r="A130">
        <v>29</v>
      </c>
      <c r="B130">
        <v>1</v>
      </c>
      <c r="C130" t="s">
        <v>10</v>
      </c>
      <c r="D130" t="str">
        <f t="shared" si="15"/>
        <v>29_1</v>
      </c>
      <c r="E130">
        <v>0</v>
      </c>
      <c r="F130">
        <v>3.625</v>
      </c>
      <c r="G130">
        <v>6.75</v>
      </c>
      <c r="H130">
        <v>6.75</v>
      </c>
      <c r="I130">
        <v>1.125</v>
      </c>
      <c r="J130">
        <v>4.2525000000000004</v>
      </c>
      <c r="K130">
        <v>3.6224999999999996</v>
      </c>
      <c r="L130">
        <v>18.25</v>
      </c>
      <c r="M130" t="s">
        <v>31</v>
      </c>
      <c r="N130" t="s">
        <v>33</v>
      </c>
      <c r="O130" t="s">
        <v>43</v>
      </c>
      <c r="P130" t="s">
        <v>33</v>
      </c>
      <c r="Q130">
        <v>58</v>
      </c>
      <c r="S130">
        <v>4.2525000000000004</v>
      </c>
      <c r="T130">
        <v>3.6224999999999996</v>
      </c>
      <c r="U130">
        <v>0.72500000000000009</v>
      </c>
      <c r="V130">
        <v>0</v>
      </c>
      <c r="W130">
        <v>0.72500000000000009</v>
      </c>
      <c r="X130">
        <v>0.85050000000000014</v>
      </c>
      <c r="Y130">
        <v>0.85050000000000014</v>
      </c>
      <c r="Z130">
        <v>6.75</v>
      </c>
      <c r="AA130">
        <v>3.6224999999999996</v>
      </c>
      <c r="AI130">
        <f t="shared" si="16"/>
        <v>0.72500000000000009</v>
      </c>
      <c r="AJ130">
        <f t="shared" si="17"/>
        <v>0</v>
      </c>
      <c r="AK130">
        <f t="shared" si="18"/>
        <v>0.72500000000000009</v>
      </c>
      <c r="AL130">
        <f t="shared" si="19"/>
        <v>0.85050000000000014</v>
      </c>
      <c r="AM130">
        <f t="shared" si="20"/>
        <v>0.85050000000000014</v>
      </c>
      <c r="AN130">
        <f t="shared" si="21"/>
        <v>6.75</v>
      </c>
      <c r="AO130">
        <f t="shared" si="22"/>
        <v>3.6224999999999996</v>
      </c>
      <c r="AQ130" t="str">
        <f t="shared" si="23"/>
        <v>29_1</v>
      </c>
      <c r="AR130">
        <f t="shared" si="24"/>
        <v>3.625</v>
      </c>
      <c r="AS130">
        <f t="shared" si="25"/>
        <v>0.72500000000000009</v>
      </c>
      <c r="AT130">
        <f t="shared" si="26"/>
        <v>6.75</v>
      </c>
      <c r="AU130">
        <f t="shared" si="27"/>
        <v>6.75</v>
      </c>
      <c r="AV130">
        <f t="shared" si="28"/>
        <v>3.6224999999999996</v>
      </c>
    </row>
    <row r="131" spans="1:48">
      <c r="A131">
        <v>29</v>
      </c>
      <c r="B131">
        <v>2</v>
      </c>
      <c r="D131" t="str">
        <f t="shared" si="15"/>
        <v>29_2</v>
      </c>
      <c r="E131">
        <v>0</v>
      </c>
      <c r="F131">
        <v>1.125</v>
      </c>
      <c r="G131">
        <v>2.125</v>
      </c>
      <c r="H131">
        <v>2.125</v>
      </c>
      <c r="I131">
        <v>0.375</v>
      </c>
      <c r="J131">
        <v>1.35</v>
      </c>
      <c r="K131">
        <v>1.1499999999999999</v>
      </c>
      <c r="L131">
        <v>5.75</v>
      </c>
      <c r="M131" t="s">
        <v>31</v>
      </c>
      <c r="N131" t="s">
        <v>32</v>
      </c>
      <c r="O131" t="s">
        <v>32</v>
      </c>
      <c r="P131" t="s">
        <v>32</v>
      </c>
      <c r="Q131">
        <v>58</v>
      </c>
      <c r="S131">
        <v>1.35</v>
      </c>
      <c r="T131">
        <v>1.1499999999999999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1.1499999999999999</v>
      </c>
      <c r="AI131">
        <f t="shared" si="16"/>
        <v>0</v>
      </c>
      <c r="AJ131">
        <f t="shared" si="17"/>
        <v>0</v>
      </c>
      <c r="AK131">
        <f t="shared" si="18"/>
        <v>0</v>
      </c>
      <c r="AL131">
        <f t="shared" si="19"/>
        <v>0</v>
      </c>
      <c r="AM131">
        <f t="shared" si="20"/>
        <v>0</v>
      </c>
      <c r="AN131">
        <f t="shared" si="21"/>
        <v>0</v>
      </c>
      <c r="AO131">
        <f t="shared" si="22"/>
        <v>1.1499999999999999</v>
      </c>
      <c r="AQ131" t="str">
        <f t="shared" si="23"/>
        <v>29_2</v>
      </c>
      <c r="AR131">
        <f t="shared" si="24"/>
        <v>1.125</v>
      </c>
      <c r="AS131">
        <f t="shared" si="25"/>
        <v>0</v>
      </c>
      <c r="AT131">
        <f t="shared" si="26"/>
        <v>2.125</v>
      </c>
      <c r="AU131">
        <f t="shared" si="27"/>
        <v>0</v>
      </c>
      <c r="AV131">
        <f t="shared" si="28"/>
        <v>1.1499999999999999</v>
      </c>
    </row>
    <row r="132" spans="1:48">
      <c r="A132">
        <v>30</v>
      </c>
      <c r="B132" t="s">
        <v>10</v>
      </c>
      <c r="C132" t="s">
        <v>10</v>
      </c>
      <c r="D132" t="str">
        <f t="shared" si="15"/>
        <v>30</v>
      </c>
      <c r="E132" t="s">
        <v>10</v>
      </c>
      <c r="F132" t="s">
        <v>10</v>
      </c>
      <c r="G132" t="s">
        <v>10</v>
      </c>
      <c r="H132" t="s">
        <v>10</v>
      </c>
      <c r="I132" t="s">
        <v>10</v>
      </c>
      <c r="L132">
        <v>0</v>
      </c>
      <c r="M132" t="s">
        <v>11</v>
      </c>
      <c r="N132" t="s">
        <v>11</v>
      </c>
      <c r="O132" t="s">
        <v>11</v>
      </c>
      <c r="P132" t="s">
        <v>11</v>
      </c>
      <c r="Q132" t="s">
        <v>34</v>
      </c>
      <c r="R132" t="s">
        <v>38</v>
      </c>
      <c r="AI132">
        <f t="shared" si="16"/>
        <v>0</v>
      </c>
      <c r="AJ132">
        <f t="shared" si="17"/>
        <v>0</v>
      </c>
      <c r="AK132">
        <f t="shared" si="18"/>
        <v>0</v>
      </c>
      <c r="AL132">
        <f t="shared" si="19"/>
        <v>0</v>
      </c>
      <c r="AM132">
        <f t="shared" si="20"/>
        <v>0</v>
      </c>
      <c r="AN132">
        <f t="shared" si="21"/>
        <v>0</v>
      </c>
      <c r="AO132">
        <f t="shared" si="22"/>
        <v>0</v>
      </c>
      <c r="AQ132" t="str">
        <f t="shared" si="23"/>
        <v>30</v>
      </c>
      <c r="AR132" t="str">
        <f t="shared" si="24"/>
        <v/>
      </c>
      <c r="AS132">
        <f t="shared" si="25"/>
        <v>0</v>
      </c>
      <c r="AT132" t="str">
        <f t="shared" si="26"/>
        <v/>
      </c>
      <c r="AU132">
        <f t="shared" si="27"/>
        <v>0</v>
      </c>
      <c r="AV132">
        <f t="shared" si="28"/>
        <v>0</v>
      </c>
    </row>
    <row r="133" spans="1:48">
      <c r="A133">
        <v>30</v>
      </c>
      <c r="B133">
        <v>1</v>
      </c>
      <c r="C133" t="s">
        <v>10</v>
      </c>
      <c r="D133" t="str">
        <f t="shared" ref="D133:D196" si="29">A133&amp;IF(B133="","","_")&amp;B133&amp;IF(C133="","","_")&amp;C133</f>
        <v>30_1</v>
      </c>
      <c r="E133">
        <v>0</v>
      </c>
      <c r="F133">
        <v>1.75</v>
      </c>
      <c r="G133">
        <v>3.25</v>
      </c>
      <c r="H133">
        <v>3.25</v>
      </c>
      <c r="I133">
        <v>0.625</v>
      </c>
      <c r="J133">
        <v>2.0925000000000002</v>
      </c>
      <c r="K133">
        <v>1.7824999999999998</v>
      </c>
      <c r="L133">
        <v>8.875</v>
      </c>
      <c r="M133" t="s">
        <v>31</v>
      </c>
      <c r="N133" t="s">
        <v>11</v>
      </c>
      <c r="O133" t="s">
        <v>11</v>
      </c>
      <c r="P133" t="s">
        <v>11</v>
      </c>
      <c r="Q133" t="s">
        <v>34</v>
      </c>
      <c r="S133">
        <v>2.0925000000000002</v>
      </c>
      <c r="T133">
        <v>1.7824999999999998</v>
      </c>
      <c r="AB133">
        <v>1.75</v>
      </c>
      <c r="AD133">
        <v>0.35000000000000003</v>
      </c>
      <c r="AE133">
        <v>2.0925000000000002</v>
      </c>
      <c r="AF133">
        <v>0.41850000000000009</v>
      </c>
      <c r="AG133">
        <v>3.25</v>
      </c>
      <c r="AH133">
        <v>1.7824999999999998</v>
      </c>
      <c r="AI133">
        <f t="shared" ref="AI133:AI196" si="30">U133+AB133</f>
        <v>1.75</v>
      </c>
      <c r="AJ133">
        <f t="shared" ref="AJ133:AJ196" si="31">V133+AC133</f>
        <v>0</v>
      </c>
      <c r="AK133">
        <f t="shared" ref="AK133:AK196" si="32">W133+AD133</f>
        <v>0.35000000000000003</v>
      </c>
      <c r="AL133">
        <f t="shared" ref="AL133:AL196" si="33">X133+AE133</f>
        <v>2.0925000000000002</v>
      </c>
      <c r="AM133">
        <f t="shared" ref="AM133:AM196" si="34">Y133+AF133</f>
        <v>0.41850000000000009</v>
      </c>
      <c r="AN133">
        <f t="shared" ref="AN133:AN196" si="35">Z133+AG133</f>
        <v>3.25</v>
      </c>
      <c r="AO133">
        <f t="shared" ref="AO133:AO196" si="36">AA133+AH133</f>
        <v>1.7824999999999998</v>
      </c>
      <c r="AQ133" t="str">
        <f t="shared" ref="AQ133:AQ196" si="37">D133</f>
        <v>30_1</v>
      </c>
      <c r="AR133">
        <f t="shared" ref="AR133:AR196" si="38">F133</f>
        <v>1.75</v>
      </c>
      <c r="AS133">
        <f t="shared" ref="AS133:AS196" si="39">AI133</f>
        <v>1.75</v>
      </c>
      <c r="AT133">
        <f t="shared" ref="AT133:AT196" si="40">G133</f>
        <v>3.25</v>
      </c>
      <c r="AU133">
        <f t="shared" ref="AU133:AU196" si="41">AN133</f>
        <v>3.25</v>
      </c>
      <c r="AV133">
        <f t="shared" ref="AV133:AV196" si="42">AO133</f>
        <v>1.7824999999999998</v>
      </c>
    </row>
    <row r="134" spans="1:48">
      <c r="A134">
        <v>30</v>
      </c>
      <c r="B134">
        <v>2</v>
      </c>
      <c r="C134" t="s">
        <v>10</v>
      </c>
      <c r="D134" t="str">
        <f t="shared" si="29"/>
        <v>30_2</v>
      </c>
      <c r="E134">
        <v>0</v>
      </c>
      <c r="F134">
        <v>0.875</v>
      </c>
      <c r="G134">
        <v>1.625</v>
      </c>
      <c r="H134">
        <v>1.625</v>
      </c>
      <c r="I134">
        <v>0.375</v>
      </c>
      <c r="J134">
        <v>1.08</v>
      </c>
      <c r="K134">
        <v>0.91999999999999993</v>
      </c>
      <c r="L134">
        <v>4.5</v>
      </c>
      <c r="M134" t="s">
        <v>31</v>
      </c>
      <c r="N134" t="s">
        <v>11</v>
      </c>
      <c r="O134" t="s">
        <v>11</v>
      </c>
      <c r="P134" t="s">
        <v>11</v>
      </c>
      <c r="Q134" t="s">
        <v>34</v>
      </c>
      <c r="S134">
        <v>1.08</v>
      </c>
      <c r="T134">
        <v>0.91999999999999993</v>
      </c>
      <c r="AB134">
        <v>0.875</v>
      </c>
      <c r="AD134">
        <v>0.17500000000000002</v>
      </c>
      <c r="AE134">
        <v>1.08</v>
      </c>
      <c r="AF134">
        <v>0.21600000000000003</v>
      </c>
      <c r="AG134">
        <v>1.625</v>
      </c>
      <c r="AH134">
        <v>0.91999999999999993</v>
      </c>
      <c r="AI134">
        <f t="shared" si="30"/>
        <v>0.875</v>
      </c>
      <c r="AJ134">
        <f t="shared" si="31"/>
        <v>0</v>
      </c>
      <c r="AK134">
        <f t="shared" si="32"/>
        <v>0.17500000000000002</v>
      </c>
      <c r="AL134">
        <f t="shared" si="33"/>
        <v>1.08</v>
      </c>
      <c r="AM134">
        <f t="shared" si="34"/>
        <v>0.21600000000000003</v>
      </c>
      <c r="AN134">
        <f t="shared" si="35"/>
        <v>1.625</v>
      </c>
      <c r="AO134">
        <f t="shared" si="36"/>
        <v>0.91999999999999993</v>
      </c>
      <c r="AQ134" t="str">
        <f t="shared" si="37"/>
        <v>30_2</v>
      </c>
      <c r="AR134">
        <f t="shared" si="38"/>
        <v>0.875</v>
      </c>
      <c r="AS134">
        <f t="shared" si="39"/>
        <v>0.875</v>
      </c>
      <c r="AT134">
        <f t="shared" si="40"/>
        <v>1.625</v>
      </c>
      <c r="AU134">
        <f t="shared" si="41"/>
        <v>1.625</v>
      </c>
      <c r="AV134">
        <f t="shared" si="42"/>
        <v>0.91999999999999993</v>
      </c>
    </row>
    <row r="135" spans="1:48">
      <c r="A135">
        <v>31</v>
      </c>
      <c r="B135" t="s">
        <v>10</v>
      </c>
      <c r="C135" t="s">
        <v>10</v>
      </c>
      <c r="D135" t="str">
        <f t="shared" si="29"/>
        <v>31</v>
      </c>
      <c r="E135" t="s">
        <v>10</v>
      </c>
      <c r="F135" t="s">
        <v>10</v>
      </c>
      <c r="G135" t="s">
        <v>10</v>
      </c>
      <c r="H135" t="s">
        <v>10</v>
      </c>
      <c r="I135" t="s">
        <v>10</v>
      </c>
      <c r="L135">
        <v>0</v>
      </c>
      <c r="M135" t="s">
        <v>11</v>
      </c>
      <c r="N135" t="s">
        <v>11</v>
      </c>
      <c r="O135" t="s">
        <v>11</v>
      </c>
      <c r="P135" t="s">
        <v>11</v>
      </c>
      <c r="Q135">
        <v>49</v>
      </c>
      <c r="R135" t="s">
        <v>35</v>
      </c>
      <c r="AI135">
        <f t="shared" si="30"/>
        <v>0</v>
      </c>
      <c r="AJ135">
        <f t="shared" si="31"/>
        <v>0</v>
      </c>
      <c r="AK135">
        <f t="shared" si="32"/>
        <v>0</v>
      </c>
      <c r="AL135">
        <f t="shared" si="33"/>
        <v>0</v>
      </c>
      <c r="AM135">
        <f t="shared" si="34"/>
        <v>0</v>
      </c>
      <c r="AN135">
        <f t="shared" si="35"/>
        <v>0</v>
      </c>
      <c r="AO135">
        <f t="shared" si="36"/>
        <v>0</v>
      </c>
      <c r="AQ135" t="str">
        <f t="shared" si="37"/>
        <v>31</v>
      </c>
      <c r="AR135" t="str">
        <f t="shared" si="38"/>
        <v/>
      </c>
      <c r="AS135">
        <f t="shared" si="39"/>
        <v>0</v>
      </c>
      <c r="AT135" t="str">
        <f t="shared" si="40"/>
        <v/>
      </c>
      <c r="AU135">
        <f t="shared" si="41"/>
        <v>0</v>
      </c>
      <c r="AV135">
        <f t="shared" si="42"/>
        <v>0</v>
      </c>
    </row>
    <row r="136" spans="1:48">
      <c r="A136">
        <v>31</v>
      </c>
      <c r="B136">
        <v>1</v>
      </c>
      <c r="C136" t="s">
        <v>10</v>
      </c>
      <c r="D136" t="str">
        <f t="shared" si="29"/>
        <v>31_1</v>
      </c>
      <c r="E136">
        <v>0</v>
      </c>
      <c r="F136">
        <v>1</v>
      </c>
      <c r="G136">
        <v>1.875</v>
      </c>
      <c r="H136">
        <v>1.875</v>
      </c>
      <c r="I136">
        <v>0.375</v>
      </c>
      <c r="J136">
        <v>1.2150000000000001</v>
      </c>
      <c r="K136">
        <v>1.0349999999999999</v>
      </c>
      <c r="L136">
        <v>5.125</v>
      </c>
      <c r="M136" t="s">
        <v>31</v>
      </c>
      <c r="N136" t="s">
        <v>42</v>
      </c>
      <c r="O136" t="s">
        <v>43</v>
      </c>
      <c r="P136" t="s">
        <v>37</v>
      </c>
      <c r="Q136">
        <v>49</v>
      </c>
      <c r="S136">
        <v>1.2150000000000001</v>
      </c>
      <c r="T136">
        <v>1.0349999999999999</v>
      </c>
      <c r="U136">
        <v>0.2</v>
      </c>
      <c r="V136">
        <v>0</v>
      </c>
      <c r="W136">
        <v>0.2</v>
      </c>
      <c r="X136">
        <v>1.2150000000000001</v>
      </c>
      <c r="Y136">
        <v>0.24300000000000002</v>
      </c>
      <c r="Z136">
        <v>1.875</v>
      </c>
      <c r="AA136">
        <v>1.0349999999999999</v>
      </c>
      <c r="AI136">
        <f t="shared" si="30"/>
        <v>0.2</v>
      </c>
      <c r="AJ136">
        <f t="shared" si="31"/>
        <v>0</v>
      </c>
      <c r="AK136">
        <f t="shared" si="32"/>
        <v>0.2</v>
      </c>
      <c r="AL136">
        <f t="shared" si="33"/>
        <v>1.2150000000000001</v>
      </c>
      <c r="AM136">
        <f t="shared" si="34"/>
        <v>0.24300000000000002</v>
      </c>
      <c r="AN136">
        <f t="shared" si="35"/>
        <v>1.875</v>
      </c>
      <c r="AO136">
        <f t="shared" si="36"/>
        <v>1.0349999999999999</v>
      </c>
      <c r="AQ136" t="str">
        <f t="shared" si="37"/>
        <v>31_1</v>
      </c>
      <c r="AR136">
        <f t="shared" si="38"/>
        <v>1</v>
      </c>
      <c r="AS136">
        <f t="shared" si="39"/>
        <v>0.2</v>
      </c>
      <c r="AT136">
        <f t="shared" si="40"/>
        <v>1.875</v>
      </c>
      <c r="AU136">
        <f t="shared" si="41"/>
        <v>1.875</v>
      </c>
      <c r="AV136">
        <f t="shared" si="42"/>
        <v>1.0349999999999999</v>
      </c>
    </row>
    <row r="137" spans="1:48">
      <c r="A137">
        <v>31</v>
      </c>
      <c r="B137">
        <v>2</v>
      </c>
      <c r="C137" t="s">
        <v>10</v>
      </c>
      <c r="D137" t="str">
        <f t="shared" si="29"/>
        <v>31_2</v>
      </c>
      <c r="E137">
        <v>0</v>
      </c>
      <c r="F137">
        <v>0.5</v>
      </c>
      <c r="G137">
        <v>1</v>
      </c>
      <c r="H137">
        <v>1</v>
      </c>
      <c r="I137">
        <v>0.25</v>
      </c>
      <c r="J137">
        <v>0.67500000000000004</v>
      </c>
      <c r="K137">
        <v>0.57499999999999996</v>
      </c>
      <c r="L137">
        <v>2.75</v>
      </c>
      <c r="M137" t="s">
        <v>31</v>
      </c>
      <c r="N137" t="s">
        <v>32</v>
      </c>
      <c r="O137" t="s">
        <v>32</v>
      </c>
      <c r="P137" t="s">
        <v>33</v>
      </c>
      <c r="Q137">
        <v>49</v>
      </c>
      <c r="S137">
        <v>0.67500000000000004</v>
      </c>
      <c r="T137">
        <v>0.57499999999999996</v>
      </c>
      <c r="U137">
        <v>0</v>
      </c>
      <c r="V137">
        <v>0</v>
      </c>
      <c r="W137">
        <v>0</v>
      </c>
      <c r="X137">
        <v>0.13500000000000001</v>
      </c>
      <c r="Y137">
        <v>0.13500000000000001</v>
      </c>
      <c r="Z137">
        <v>0</v>
      </c>
      <c r="AA137">
        <v>0.57499999999999996</v>
      </c>
      <c r="AI137">
        <f t="shared" si="30"/>
        <v>0</v>
      </c>
      <c r="AJ137">
        <f t="shared" si="31"/>
        <v>0</v>
      </c>
      <c r="AK137">
        <f t="shared" si="32"/>
        <v>0</v>
      </c>
      <c r="AL137">
        <f t="shared" si="33"/>
        <v>0.13500000000000001</v>
      </c>
      <c r="AM137">
        <f t="shared" si="34"/>
        <v>0.13500000000000001</v>
      </c>
      <c r="AN137">
        <f t="shared" si="35"/>
        <v>0</v>
      </c>
      <c r="AO137">
        <f t="shared" si="36"/>
        <v>0.57499999999999996</v>
      </c>
      <c r="AQ137" t="str">
        <f t="shared" si="37"/>
        <v>31_2</v>
      </c>
      <c r="AR137">
        <f t="shared" si="38"/>
        <v>0.5</v>
      </c>
      <c r="AS137">
        <f t="shared" si="39"/>
        <v>0</v>
      </c>
      <c r="AT137">
        <f t="shared" si="40"/>
        <v>1</v>
      </c>
      <c r="AU137">
        <f t="shared" si="41"/>
        <v>0</v>
      </c>
      <c r="AV137">
        <f t="shared" si="42"/>
        <v>0.57499999999999996</v>
      </c>
    </row>
    <row r="138" spans="1:48">
      <c r="A138">
        <v>32</v>
      </c>
      <c r="B138" t="s">
        <v>10</v>
      </c>
      <c r="C138" t="s">
        <v>10</v>
      </c>
      <c r="D138" t="str">
        <f t="shared" si="29"/>
        <v>32</v>
      </c>
      <c r="E138" t="s">
        <v>10</v>
      </c>
      <c r="F138" t="s">
        <v>10</v>
      </c>
      <c r="G138" t="s">
        <v>10</v>
      </c>
      <c r="H138" t="s">
        <v>10</v>
      </c>
      <c r="I138" t="s">
        <v>10</v>
      </c>
      <c r="L138">
        <v>0</v>
      </c>
      <c r="M138" t="s">
        <v>11</v>
      </c>
      <c r="Q138">
        <v>54</v>
      </c>
      <c r="R138" t="s">
        <v>35</v>
      </c>
      <c r="AI138">
        <f t="shared" si="30"/>
        <v>0</v>
      </c>
      <c r="AJ138">
        <f t="shared" si="31"/>
        <v>0</v>
      </c>
      <c r="AK138">
        <f t="shared" si="32"/>
        <v>0</v>
      </c>
      <c r="AL138">
        <f t="shared" si="33"/>
        <v>0</v>
      </c>
      <c r="AM138">
        <f t="shared" si="34"/>
        <v>0</v>
      </c>
      <c r="AN138">
        <f t="shared" si="35"/>
        <v>0</v>
      </c>
      <c r="AO138">
        <f t="shared" si="36"/>
        <v>0</v>
      </c>
      <c r="AQ138" t="str">
        <f t="shared" si="37"/>
        <v>32</v>
      </c>
      <c r="AR138" t="str">
        <f t="shared" si="38"/>
        <v/>
      </c>
      <c r="AS138">
        <f t="shared" si="39"/>
        <v>0</v>
      </c>
      <c r="AT138" t="str">
        <f t="shared" si="40"/>
        <v/>
      </c>
      <c r="AU138">
        <f t="shared" si="41"/>
        <v>0</v>
      </c>
      <c r="AV138">
        <f t="shared" si="42"/>
        <v>0</v>
      </c>
    </row>
    <row r="139" spans="1:48">
      <c r="A139">
        <v>32</v>
      </c>
      <c r="B139">
        <v>1</v>
      </c>
      <c r="C139" t="s">
        <v>10</v>
      </c>
      <c r="D139" t="str">
        <f t="shared" si="29"/>
        <v>32_1</v>
      </c>
      <c r="E139">
        <v>0</v>
      </c>
      <c r="F139">
        <v>0.75</v>
      </c>
      <c r="G139">
        <v>1.375</v>
      </c>
      <c r="H139">
        <v>1.375</v>
      </c>
      <c r="I139">
        <v>0.25</v>
      </c>
      <c r="J139">
        <v>0.87750000000000006</v>
      </c>
      <c r="K139">
        <v>0.74749999999999994</v>
      </c>
      <c r="L139">
        <v>3.75</v>
      </c>
      <c r="M139" t="s">
        <v>31</v>
      </c>
      <c r="N139" t="s">
        <v>32</v>
      </c>
      <c r="O139" t="s">
        <v>43</v>
      </c>
      <c r="P139" t="s">
        <v>36</v>
      </c>
      <c r="Q139">
        <v>54</v>
      </c>
      <c r="S139">
        <v>0.87750000000000006</v>
      </c>
      <c r="T139">
        <v>0.74749999999999994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1.375</v>
      </c>
      <c r="AA139">
        <v>0.74749999999999994</v>
      </c>
      <c r="AI139">
        <f t="shared" si="30"/>
        <v>0</v>
      </c>
      <c r="AJ139">
        <f t="shared" si="31"/>
        <v>0</v>
      </c>
      <c r="AK139">
        <f t="shared" si="32"/>
        <v>0</v>
      </c>
      <c r="AL139">
        <f t="shared" si="33"/>
        <v>0</v>
      </c>
      <c r="AM139">
        <f t="shared" si="34"/>
        <v>0</v>
      </c>
      <c r="AN139">
        <f t="shared" si="35"/>
        <v>1.375</v>
      </c>
      <c r="AO139">
        <f t="shared" si="36"/>
        <v>0.74749999999999994</v>
      </c>
      <c r="AQ139" t="str">
        <f t="shared" si="37"/>
        <v>32_1</v>
      </c>
      <c r="AR139">
        <f t="shared" si="38"/>
        <v>0.75</v>
      </c>
      <c r="AS139">
        <f t="shared" si="39"/>
        <v>0</v>
      </c>
      <c r="AT139">
        <f t="shared" si="40"/>
        <v>1.375</v>
      </c>
      <c r="AU139">
        <f t="shared" si="41"/>
        <v>1.375</v>
      </c>
      <c r="AV139">
        <f t="shared" si="42"/>
        <v>0.74749999999999994</v>
      </c>
    </row>
    <row r="140" spans="1:48">
      <c r="A140">
        <v>32</v>
      </c>
      <c r="B140">
        <v>2</v>
      </c>
      <c r="D140" t="str">
        <f t="shared" si="29"/>
        <v>32_2</v>
      </c>
      <c r="E140">
        <v>0</v>
      </c>
      <c r="F140">
        <v>0.375</v>
      </c>
      <c r="G140">
        <v>0.75</v>
      </c>
      <c r="H140">
        <v>0.75</v>
      </c>
      <c r="I140">
        <v>0.125</v>
      </c>
      <c r="J140">
        <v>0.47250000000000003</v>
      </c>
      <c r="K140">
        <v>0.40249999999999997</v>
      </c>
      <c r="L140">
        <v>2</v>
      </c>
      <c r="M140" t="s">
        <v>31</v>
      </c>
      <c r="N140" t="s">
        <v>32</v>
      </c>
      <c r="O140" t="s">
        <v>32</v>
      </c>
      <c r="P140" t="s">
        <v>36</v>
      </c>
      <c r="Q140">
        <v>54</v>
      </c>
      <c r="S140">
        <v>0.47250000000000003</v>
      </c>
      <c r="T140">
        <v>0.40249999999999997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0.40249999999999997</v>
      </c>
      <c r="AI140">
        <f t="shared" si="30"/>
        <v>0</v>
      </c>
      <c r="AJ140">
        <f t="shared" si="31"/>
        <v>0</v>
      </c>
      <c r="AK140">
        <f t="shared" si="32"/>
        <v>0</v>
      </c>
      <c r="AL140">
        <f t="shared" si="33"/>
        <v>0</v>
      </c>
      <c r="AM140">
        <f t="shared" si="34"/>
        <v>0</v>
      </c>
      <c r="AN140">
        <f t="shared" si="35"/>
        <v>0</v>
      </c>
      <c r="AO140">
        <f t="shared" si="36"/>
        <v>0.40249999999999997</v>
      </c>
      <c r="AQ140" t="str">
        <f t="shared" si="37"/>
        <v>32_2</v>
      </c>
      <c r="AR140">
        <f t="shared" si="38"/>
        <v>0.375</v>
      </c>
      <c r="AS140">
        <f t="shared" si="39"/>
        <v>0</v>
      </c>
      <c r="AT140">
        <f t="shared" si="40"/>
        <v>0.75</v>
      </c>
      <c r="AU140">
        <f t="shared" si="41"/>
        <v>0</v>
      </c>
      <c r="AV140">
        <f t="shared" si="42"/>
        <v>0.40249999999999997</v>
      </c>
    </row>
    <row r="141" spans="1:48">
      <c r="A141">
        <v>33</v>
      </c>
      <c r="B141" t="s">
        <v>10</v>
      </c>
      <c r="C141" t="s">
        <v>10</v>
      </c>
      <c r="D141" t="str">
        <f t="shared" si="29"/>
        <v>33</v>
      </c>
      <c r="E141" t="s">
        <v>10</v>
      </c>
      <c r="F141" t="s">
        <v>10</v>
      </c>
      <c r="G141" t="s">
        <v>10</v>
      </c>
      <c r="H141" t="s">
        <v>10</v>
      </c>
      <c r="I141" t="s">
        <v>10</v>
      </c>
      <c r="L141">
        <v>0</v>
      </c>
      <c r="M141" t="s">
        <v>11</v>
      </c>
      <c r="Q141">
        <v>28</v>
      </c>
      <c r="R141" t="s">
        <v>35</v>
      </c>
      <c r="AI141">
        <f t="shared" si="30"/>
        <v>0</v>
      </c>
      <c r="AJ141">
        <f t="shared" si="31"/>
        <v>0</v>
      </c>
      <c r="AK141">
        <f t="shared" si="32"/>
        <v>0</v>
      </c>
      <c r="AL141">
        <f t="shared" si="33"/>
        <v>0</v>
      </c>
      <c r="AM141">
        <f t="shared" si="34"/>
        <v>0</v>
      </c>
      <c r="AN141">
        <f t="shared" si="35"/>
        <v>0</v>
      </c>
      <c r="AO141">
        <f t="shared" si="36"/>
        <v>0</v>
      </c>
      <c r="AQ141" t="str">
        <f t="shared" si="37"/>
        <v>33</v>
      </c>
      <c r="AR141" t="str">
        <f t="shared" si="38"/>
        <v/>
      </c>
      <c r="AS141">
        <f t="shared" si="39"/>
        <v>0</v>
      </c>
      <c r="AT141" t="str">
        <f t="shared" si="40"/>
        <v/>
      </c>
      <c r="AU141">
        <f t="shared" si="41"/>
        <v>0</v>
      </c>
      <c r="AV141">
        <f t="shared" si="42"/>
        <v>0</v>
      </c>
    </row>
    <row r="142" spans="1:48">
      <c r="A142">
        <v>33</v>
      </c>
      <c r="B142">
        <v>1</v>
      </c>
      <c r="C142" t="s">
        <v>10</v>
      </c>
      <c r="D142" t="str">
        <f t="shared" si="29"/>
        <v>33_1</v>
      </c>
      <c r="E142">
        <v>0</v>
      </c>
      <c r="F142">
        <v>0.75</v>
      </c>
      <c r="G142">
        <v>1.375</v>
      </c>
      <c r="H142">
        <v>1.375</v>
      </c>
      <c r="I142">
        <v>0.25</v>
      </c>
      <c r="J142">
        <v>0.87750000000000006</v>
      </c>
      <c r="K142">
        <v>0.74749999999999994</v>
      </c>
      <c r="L142">
        <v>3.75</v>
      </c>
      <c r="M142" t="s">
        <v>31</v>
      </c>
      <c r="N142" t="s">
        <v>33</v>
      </c>
      <c r="O142" t="s">
        <v>43</v>
      </c>
      <c r="P142" t="s">
        <v>42</v>
      </c>
      <c r="Q142">
        <v>28</v>
      </c>
      <c r="S142">
        <v>0.87750000000000006</v>
      </c>
      <c r="T142">
        <v>0.74749999999999994</v>
      </c>
      <c r="U142">
        <v>0.15000000000000002</v>
      </c>
      <c r="V142">
        <v>0</v>
      </c>
      <c r="W142">
        <v>0.15000000000000002</v>
      </c>
      <c r="X142">
        <v>0.17550000000000002</v>
      </c>
      <c r="Y142">
        <v>0.17550000000000002</v>
      </c>
      <c r="Z142">
        <v>1.375</v>
      </c>
      <c r="AA142">
        <v>0.74749999999999994</v>
      </c>
      <c r="AI142">
        <f t="shared" si="30"/>
        <v>0.15000000000000002</v>
      </c>
      <c r="AJ142">
        <f t="shared" si="31"/>
        <v>0</v>
      </c>
      <c r="AK142">
        <f t="shared" si="32"/>
        <v>0.15000000000000002</v>
      </c>
      <c r="AL142">
        <f t="shared" si="33"/>
        <v>0.17550000000000002</v>
      </c>
      <c r="AM142">
        <f t="shared" si="34"/>
        <v>0.17550000000000002</v>
      </c>
      <c r="AN142">
        <f t="shared" si="35"/>
        <v>1.375</v>
      </c>
      <c r="AO142">
        <f t="shared" si="36"/>
        <v>0.74749999999999994</v>
      </c>
      <c r="AQ142" t="str">
        <f t="shared" si="37"/>
        <v>33_1</v>
      </c>
      <c r="AR142">
        <f t="shared" si="38"/>
        <v>0.75</v>
      </c>
      <c r="AS142">
        <f t="shared" si="39"/>
        <v>0.15000000000000002</v>
      </c>
      <c r="AT142">
        <f t="shared" si="40"/>
        <v>1.375</v>
      </c>
      <c r="AU142">
        <f t="shared" si="41"/>
        <v>1.375</v>
      </c>
      <c r="AV142">
        <f t="shared" si="42"/>
        <v>0.74749999999999994</v>
      </c>
    </row>
    <row r="143" spans="1:48">
      <c r="A143">
        <v>34</v>
      </c>
      <c r="B143" t="s">
        <v>10</v>
      </c>
      <c r="C143" t="s">
        <v>10</v>
      </c>
      <c r="D143" t="str">
        <f t="shared" si="29"/>
        <v>34</v>
      </c>
      <c r="E143" t="s">
        <v>10</v>
      </c>
      <c r="F143" t="s">
        <v>10</v>
      </c>
      <c r="G143" t="s">
        <v>10</v>
      </c>
      <c r="H143" t="s">
        <v>10</v>
      </c>
      <c r="I143" t="s">
        <v>10</v>
      </c>
      <c r="L143">
        <v>0</v>
      </c>
      <c r="M143" t="s">
        <v>11</v>
      </c>
      <c r="Q143">
        <v>50</v>
      </c>
      <c r="R143" t="s">
        <v>35</v>
      </c>
      <c r="AI143">
        <f t="shared" si="30"/>
        <v>0</v>
      </c>
      <c r="AJ143">
        <f t="shared" si="31"/>
        <v>0</v>
      </c>
      <c r="AK143">
        <f t="shared" si="32"/>
        <v>0</v>
      </c>
      <c r="AL143">
        <f t="shared" si="33"/>
        <v>0</v>
      </c>
      <c r="AM143">
        <f t="shared" si="34"/>
        <v>0</v>
      </c>
      <c r="AN143">
        <f t="shared" si="35"/>
        <v>0</v>
      </c>
      <c r="AO143">
        <f t="shared" si="36"/>
        <v>0</v>
      </c>
      <c r="AQ143" t="str">
        <f t="shared" si="37"/>
        <v>34</v>
      </c>
      <c r="AR143" t="str">
        <f t="shared" si="38"/>
        <v/>
      </c>
      <c r="AS143">
        <f t="shared" si="39"/>
        <v>0</v>
      </c>
      <c r="AT143" t="str">
        <f t="shared" si="40"/>
        <v/>
      </c>
      <c r="AU143">
        <f t="shared" si="41"/>
        <v>0</v>
      </c>
      <c r="AV143">
        <f t="shared" si="42"/>
        <v>0</v>
      </c>
    </row>
    <row r="144" spans="1:48">
      <c r="A144">
        <v>34</v>
      </c>
      <c r="B144">
        <v>1</v>
      </c>
      <c r="C144" t="s">
        <v>10</v>
      </c>
      <c r="D144" t="str">
        <f t="shared" si="29"/>
        <v>34_1</v>
      </c>
      <c r="E144">
        <v>0</v>
      </c>
      <c r="F144">
        <v>1.5</v>
      </c>
      <c r="G144">
        <v>2.75</v>
      </c>
      <c r="H144">
        <v>2.75</v>
      </c>
      <c r="I144">
        <v>0.5</v>
      </c>
      <c r="J144">
        <v>1.7550000000000001</v>
      </c>
      <c r="K144">
        <v>1.4949999999999999</v>
      </c>
      <c r="L144">
        <v>7.5</v>
      </c>
      <c r="M144" t="s">
        <v>31</v>
      </c>
      <c r="N144" t="s">
        <v>33</v>
      </c>
      <c r="O144" t="s">
        <v>43</v>
      </c>
      <c r="P144" t="s">
        <v>43</v>
      </c>
      <c r="Q144">
        <v>50</v>
      </c>
      <c r="S144">
        <v>1.7550000000000001</v>
      </c>
      <c r="T144">
        <v>1.4949999999999999</v>
      </c>
      <c r="U144">
        <v>0.30000000000000004</v>
      </c>
      <c r="V144">
        <v>0</v>
      </c>
      <c r="W144">
        <v>0.30000000000000004</v>
      </c>
      <c r="X144">
        <v>1.7550000000000001</v>
      </c>
      <c r="Y144">
        <v>0.35100000000000003</v>
      </c>
      <c r="Z144">
        <v>2.75</v>
      </c>
      <c r="AA144">
        <v>1.4949999999999999</v>
      </c>
      <c r="AI144">
        <f t="shared" si="30"/>
        <v>0.30000000000000004</v>
      </c>
      <c r="AJ144">
        <f t="shared" si="31"/>
        <v>0</v>
      </c>
      <c r="AK144">
        <f t="shared" si="32"/>
        <v>0.30000000000000004</v>
      </c>
      <c r="AL144">
        <f t="shared" si="33"/>
        <v>1.7550000000000001</v>
      </c>
      <c r="AM144">
        <f t="shared" si="34"/>
        <v>0.35100000000000003</v>
      </c>
      <c r="AN144">
        <f t="shared" si="35"/>
        <v>2.75</v>
      </c>
      <c r="AO144">
        <f t="shared" si="36"/>
        <v>1.4949999999999999</v>
      </c>
      <c r="AQ144" t="str">
        <f t="shared" si="37"/>
        <v>34_1</v>
      </c>
      <c r="AR144">
        <f t="shared" si="38"/>
        <v>1.5</v>
      </c>
      <c r="AS144">
        <f t="shared" si="39"/>
        <v>0.30000000000000004</v>
      </c>
      <c r="AT144">
        <f t="shared" si="40"/>
        <v>2.75</v>
      </c>
      <c r="AU144">
        <f t="shared" si="41"/>
        <v>2.75</v>
      </c>
      <c r="AV144">
        <f t="shared" si="42"/>
        <v>1.4949999999999999</v>
      </c>
    </row>
    <row r="145" spans="1:48">
      <c r="A145">
        <v>35</v>
      </c>
      <c r="B145" t="s">
        <v>10</v>
      </c>
      <c r="C145" t="s">
        <v>10</v>
      </c>
      <c r="D145" t="str">
        <f t="shared" si="29"/>
        <v>35</v>
      </c>
      <c r="E145" t="s">
        <v>10</v>
      </c>
      <c r="F145" t="s">
        <v>10</v>
      </c>
      <c r="G145" t="s">
        <v>10</v>
      </c>
      <c r="H145" t="s">
        <v>10</v>
      </c>
      <c r="I145" t="s">
        <v>10</v>
      </c>
      <c r="L145">
        <v>0</v>
      </c>
      <c r="M145" t="s">
        <v>11</v>
      </c>
      <c r="Q145">
        <v>21</v>
      </c>
      <c r="R145" t="s">
        <v>35</v>
      </c>
      <c r="AI145">
        <f t="shared" si="30"/>
        <v>0</v>
      </c>
      <c r="AJ145">
        <f t="shared" si="31"/>
        <v>0</v>
      </c>
      <c r="AK145">
        <f t="shared" si="32"/>
        <v>0</v>
      </c>
      <c r="AL145">
        <f t="shared" si="33"/>
        <v>0</v>
      </c>
      <c r="AM145">
        <f t="shared" si="34"/>
        <v>0</v>
      </c>
      <c r="AN145">
        <f t="shared" si="35"/>
        <v>0</v>
      </c>
      <c r="AO145">
        <f t="shared" si="36"/>
        <v>0</v>
      </c>
      <c r="AQ145" t="str">
        <f t="shared" si="37"/>
        <v>35</v>
      </c>
      <c r="AR145" t="str">
        <f t="shared" si="38"/>
        <v/>
      </c>
      <c r="AS145">
        <f t="shared" si="39"/>
        <v>0</v>
      </c>
      <c r="AT145" t="str">
        <f t="shared" si="40"/>
        <v/>
      </c>
      <c r="AU145">
        <f t="shared" si="41"/>
        <v>0</v>
      </c>
      <c r="AV145">
        <f t="shared" si="42"/>
        <v>0</v>
      </c>
    </row>
    <row r="146" spans="1:48">
      <c r="A146">
        <v>35</v>
      </c>
      <c r="B146">
        <v>1</v>
      </c>
      <c r="C146" t="s">
        <v>10</v>
      </c>
      <c r="D146" t="str">
        <f t="shared" si="29"/>
        <v>35_1</v>
      </c>
      <c r="E146">
        <v>0</v>
      </c>
      <c r="F146">
        <v>0.625</v>
      </c>
      <c r="G146">
        <v>1.125</v>
      </c>
      <c r="H146">
        <v>1.125</v>
      </c>
      <c r="I146">
        <v>0.25</v>
      </c>
      <c r="J146">
        <v>0.74250000000000005</v>
      </c>
      <c r="K146">
        <v>0.63249999999999995</v>
      </c>
      <c r="L146">
        <v>3.125</v>
      </c>
      <c r="M146" t="s">
        <v>31</v>
      </c>
      <c r="N146" t="s">
        <v>33</v>
      </c>
      <c r="O146" t="s">
        <v>43</v>
      </c>
      <c r="P146" t="s">
        <v>42</v>
      </c>
      <c r="Q146">
        <v>21</v>
      </c>
      <c r="S146">
        <v>0.74250000000000005</v>
      </c>
      <c r="T146">
        <v>0.63249999999999995</v>
      </c>
      <c r="U146">
        <v>0.125</v>
      </c>
      <c r="V146">
        <v>0</v>
      </c>
      <c r="W146">
        <v>0.125</v>
      </c>
      <c r="X146">
        <v>0.14850000000000002</v>
      </c>
      <c r="Y146">
        <v>0.14850000000000002</v>
      </c>
      <c r="Z146">
        <v>1.125</v>
      </c>
      <c r="AA146">
        <v>0.63249999999999995</v>
      </c>
      <c r="AI146">
        <f t="shared" si="30"/>
        <v>0.125</v>
      </c>
      <c r="AJ146">
        <f t="shared" si="31"/>
        <v>0</v>
      </c>
      <c r="AK146">
        <f t="shared" si="32"/>
        <v>0.125</v>
      </c>
      <c r="AL146">
        <f t="shared" si="33"/>
        <v>0.14850000000000002</v>
      </c>
      <c r="AM146">
        <f t="shared" si="34"/>
        <v>0.14850000000000002</v>
      </c>
      <c r="AN146">
        <f t="shared" si="35"/>
        <v>1.125</v>
      </c>
      <c r="AO146">
        <f t="shared" si="36"/>
        <v>0.63249999999999995</v>
      </c>
      <c r="AQ146" t="str">
        <f t="shared" si="37"/>
        <v>35_1</v>
      </c>
      <c r="AR146">
        <f t="shared" si="38"/>
        <v>0.625</v>
      </c>
      <c r="AS146">
        <f t="shared" si="39"/>
        <v>0.125</v>
      </c>
      <c r="AT146">
        <f t="shared" si="40"/>
        <v>1.125</v>
      </c>
      <c r="AU146">
        <f t="shared" si="41"/>
        <v>1.125</v>
      </c>
      <c r="AV146">
        <f t="shared" si="42"/>
        <v>0.63249999999999995</v>
      </c>
    </row>
    <row r="147" spans="1:48">
      <c r="A147">
        <v>36</v>
      </c>
      <c r="B147" t="s">
        <v>10</v>
      </c>
      <c r="C147" t="s">
        <v>10</v>
      </c>
      <c r="D147" t="str">
        <f t="shared" si="29"/>
        <v>36</v>
      </c>
      <c r="E147" t="s">
        <v>10</v>
      </c>
      <c r="F147" t="s">
        <v>10</v>
      </c>
      <c r="G147" t="s">
        <v>10</v>
      </c>
      <c r="H147" t="s">
        <v>10</v>
      </c>
      <c r="I147" t="s">
        <v>10</v>
      </c>
      <c r="L147">
        <v>0</v>
      </c>
      <c r="M147" t="s">
        <v>11</v>
      </c>
      <c r="Q147">
        <v>65</v>
      </c>
      <c r="R147" t="s">
        <v>35</v>
      </c>
      <c r="AI147">
        <f t="shared" si="30"/>
        <v>0</v>
      </c>
      <c r="AJ147">
        <f t="shared" si="31"/>
        <v>0</v>
      </c>
      <c r="AK147">
        <f t="shared" si="32"/>
        <v>0</v>
      </c>
      <c r="AL147">
        <f t="shared" si="33"/>
        <v>0</v>
      </c>
      <c r="AM147">
        <f t="shared" si="34"/>
        <v>0</v>
      </c>
      <c r="AN147">
        <f t="shared" si="35"/>
        <v>0</v>
      </c>
      <c r="AO147">
        <f t="shared" si="36"/>
        <v>0</v>
      </c>
      <c r="AQ147" t="str">
        <f t="shared" si="37"/>
        <v>36</v>
      </c>
      <c r="AR147" t="str">
        <f t="shared" si="38"/>
        <v/>
      </c>
      <c r="AS147">
        <f t="shared" si="39"/>
        <v>0</v>
      </c>
      <c r="AT147" t="str">
        <f t="shared" si="40"/>
        <v/>
      </c>
      <c r="AU147">
        <f t="shared" si="41"/>
        <v>0</v>
      </c>
      <c r="AV147">
        <f t="shared" si="42"/>
        <v>0</v>
      </c>
    </row>
    <row r="148" spans="1:48">
      <c r="A148">
        <v>36</v>
      </c>
      <c r="B148">
        <v>1</v>
      </c>
      <c r="C148" t="s">
        <v>10</v>
      </c>
      <c r="D148" t="str">
        <f t="shared" si="29"/>
        <v>36_1</v>
      </c>
      <c r="E148">
        <v>0</v>
      </c>
      <c r="F148">
        <v>1.5</v>
      </c>
      <c r="G148">
        <v>2.75</v>
      </c>
      <c r="H148">
        <v>2.75</v>
      </c>
      <c r="I148">
        <v>0.5</v>
      </c>
      <c r="J148">
        <v>1.7550000000000001</v>
      </c>
      <c r="K148">
        <v>1.4949999999999999</v>
      </c>
      <c r="L148">
        <v>7.5</v>
      </c>
      <c r="M148" t="s">
        <v>31</v>
      </c>
      <c r="N148" t="s">
        <v>33</v>
      </c>
      <c r="O148" t="s">
        <v>43</v>
      </c>
      <c r="P148" t="s">
        <v>43</v>
      </c>
      <c r="Q148">
        <v>65</v>
      </c>
      <c r="S148">
        <v>1.7550000000000001</v>
      </c>
      <c r="T148">
        <v>1.4949999999999999</v>
      </c>
      <c r="U148">
        <v>0.30000000000000004</v>
      </c>
      <c r="V148">
        <v>0</v>
      </c>
      <c r="W148">
        <v>0.30000000000000004</v>
      </c>
      <c r="X148">
        <v>1.7550000000000001</v>
      </c>
      <c r="Y148">
        <v>0.35100000000000003</v>
      </c>
      <c r="Z148">
        <v>2.75</v>
      </c>
      <c r="AA148">
        <v>1.4949999999999999</v>
      </c>
      <c r="AI148">
        <f t="shared" si="30"/>
        <v>0.30000000000000004</v>
      </c>
      <c r="AJ148">
        <f t="shared" si="31"/>
        <v>0</v>
      </c>
      <c r="AK148">
        <f t="shared" si="32"/>
        <v>0.30000000000000004</v>
      </c>
      <c r="AL148">
        <f t="shared" si="33"/>
        <v>1.7550000000000001</v>
      </c>
      <c r="AM148">
        <f t="shared" si="34"/>
        <v>0.35100000000000003</v>
      </c>
      <c r="AN148">
        <f t="shared" si="35"/>
        <v>2.75</v>
      </c>
      <c r="AO148">
        <f t="shared" si="36"/>
        <v>1.4949999999999999</v>
      </c>
      <c r="AQ148" t="str">
        <f t="shared" si="37"/>
        <v>36_1</v>
      </c>
      <c r="AR148">
        <f t="shared" si="38"/>
        <v>1.5</v>
      </c>
      <c r="AS148">
        <f t="shared" si="39"/>
        <v>0.30000000000000004</v>
      </c>
      <c r="AT148">
        <f t="shared" si="40"/>
        <v>2.75</v>
      </c>
      <c r="AU148">
        <f t="shared" si="41"/>
        <v>2.75</v>
      </c>
      <c r="AV148">
        <f t="shared" si="42"/>
        <v>1.4949999999999999</v>
      </c>
    </row>
    <row r="149" spans="1:48">
      <c r="A149">
        <v>36</v>
      </c>
      <c r="B149">
        <v>2</v>
      </c>
      <c r="D149" t="str">
        <f t="shared" si="29"/>
        <v>36_2</v>
      </c>
      <c r="E149">
        <v>0</v>
      </c>
      <c r="F149">
        <v>1</v>
      </c>
      <c r="G149">
        <v>1.875</v>
      </c>
      <c r="H149">
        <v>1.875</v>
      </c>
      <c r="I149">
        <v>0.375</v>
      </c>
      <c r="J149">
        <v>1.2150000000000001</v>
      </c>
      <c r="K149">
        <v>1.0349999999999999</v>
      </c>
      <c r="L149">
        <v>5.125</v>
      </c>
      <c r="M149" t="s">
        <v>31</v>
      </c>
      <c r="N149" t="s">
        <v>32</v>
      </c>
      <c r="O149" t="s">
        <v>32</v>
      </c>
      <c r="P149" t="s">
        <v>32</v>
      </c>
      <c r="Q149">
        <v>65</v>
      </c>
      <c r="S149">
        <v>1.2150000000000001</v>
      </c>
      <c r="T149">
        <v>1.0349999999999999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1.0349999999999999</v>
      </c>
      <c r="AI149">
        <f t="shared" si="30"/>
        <v>0</v>
      </c>
      <c r="AJ149">
        <f t="shared" si="31"/>
        <v>0</v>
      </c>
      <c r="AK149">
        <f t="shared" si="32"/>
        <v>0</v>
      </c>
      <c r="AL149">
        <f t="shared" si="33"/>
        <v>0</v>
      </c>
      <c r="AM149">
        <f t="shared" si="34"/>
        <v>0</v>
      </c>
      <c r="AN149">
        <f t="shared" si="35"/>
        <v>0</v>
      </c>
      <c r="AO149">
        <f t="shared" si="36"/>
        <v>1.0349999999999999</v>
      </c>
      <c r="AQ149" t="str">
        <f t="shared" si="37"/>
        <v>36_2</v>
      </c>
      <c r="AR149">
        <f t="shared" si="38"/>
        <v>1</v>
      </c>
      <c r="AS149">
        <f t="shared" si="39"/>
        <v>0</v>
      </c>
      <c r="AT149">
        <f t="shared" si="40"/>
        <v>1.875</v>
      </c>
      <c r="AU149">
        <f t="shared" si="41"/>
        <v>0</v>
      </c>
      <c r="AV149">
        <f t="shared" si="42"/>
        <v>1.0349999999999999</v>
      </c>
    </row>
    <row r="150" spans="1:48">
      <c r="A150">
        <v>37</v>
      </c>
      <c r="B150" t="s">
        <v>10</v>
      </c>
      <c r="C150" t="s">
        <v>10</v>
      </c>
      <c r="D150" t="str">
        <f t="shared" si="29"/>
        <v>37</v>
      </c>
      <c r="E150" t="s">
        <v>10</v>
      </c>
      <c r="F150" t="s">
        <v>10</v>
      </c>
      <c r="G150" t="s">
        <v>10</v>
      </c>
      <c r="H150" t="s">
        <v>10</v>
      </c>
      <c r="I150" t="s">
        <v>10</v>
      </c>
      <c r="L150">
        <v>0</v>
      </c>
      <c r="M150" t="s">
        <v>11</v>
      </c>
      <c r="N150" t="s">
        <v>11</v>
      </c>
      <c r="O150" t="s">
        <v>11</v>
      </c>
      <c r="P150" t="s">
        <v>11</v>
      </c>
      <c r="Q150" t="s">
        <v>34</v>
      </c>
      <c r="R150" t="s">
        <v>38</v>
      </c>
      <c r="AI150">
        <f t="shared" si="30"/>
        <v>0</v>
      </c>
      <c r="AJ150">
        <f t="shared" si="31"/>
        <v>0</v>
      </c>
      <c r="AK150">
        <f t="shared" si="32"/>
        <v>0</v>
      </c>
      <c r="AL150">
        <f t="shared" si="33"/>
        <v>0</v>
      </c>
      <c r="AM150">
        <f t="shared" si="34"/>
        <v>0</v>
      </c>
      <c r="AN150">
        <f t="shared" si="35"/>
        <v>0</v>
      </c>
      <c r="AO150">
        <f t="shared" si="36"/>
        <v>0</v>
      </c>
      <c r="AQ150" t="str">
        <f t="shared" si="37"/>
        <v>37</v>
      </c>
      <c r="AR150" t="str">
        <f t="shared" si="38"/>
        <v/>
      </c>
      <c r="AS150">
        <f t="shared" si="39"/>
        <v>0</v>
      </c>
      <c r="AT150" t="str">
        <f t="shared" si="40"/>
        <v/>
      </c>
      <c r="AU150">
        <f t="shared" si="41"/>
        <v>0</v>
      </c>
      <c r="AV150">
        <f t="shared" si="42"/>
        <v>0</v>
      </c>
    </row>
    <row r="151" spans="1:48">
      <c r="A151">
        <v>37</v>
      </c>
      <c r="B151">
        <v>1</v>
      </c>
      <c r="C151" t="s">
        <v>10</v>
      </c>
      <c r="D151" t="str">
        <f t="shared" si="29"/>
        <v>37_1</v>
      </c>
      <c r="E151">
        <v>0</v>
      </c>
      <c r="F151">
        <v>1.5</v>
      </c>
      <c r="G151">
        <v>2.875</v>
      </c>
      <c r="H151">
        <v>2.875</v>
      </c>
      <c r="I151">
        <v>0.5</v>
      </c>
      <c r="J151">
        <v>1.8225000000000002</v>
      </c>
      <c r="K151">
        <v>1.5524999999999998</v>
      </c>
      <c r="L151">
        <v>7.75</v>
      </c>
      <c r="M151" t="s">
        <v>31</v>
      </c>
      <c r="N151" t="s">
        <v>11</v>
      </c>
      <c r="O151" t="s">
        <v>11</v>
      </c>
      <c r="P151" t="s">
        <v>11</v>
      </c>
      <c r="Q151" t="s">
        <v>34</v>
      </c>
      <c r="S151">
        <v>1.8225000000000002</v>
      </c>
      <c r="T151">
        <v>1.5524999999999998</v>
      </c>
      <c r="AB151">
        <v>1.5</v>
      </c>
      <c r="AD151">
        <v>0.30000000000000004</v>
      </c>
      <c r="AE151">
        <v>1.8225000000000002</v>
      </c>
      <c r="AF151">
        <v>0.36450000000000005</v>
      </c>
      <c r="AG151">
        <v>2.875</v>
      </c>
      <c r="AH151">
        <v>1.5524999999999998</v>
      </c>
      <c r="AI151">
        <f t="shared" si="30"/>
        <v>1.5</v>
      </c>
      <c r="AJ151">
        <f t="shared" si="31"/>
        <v>0</v>
      </c>
      <c r="AK151">
        <f t="shared" si="32"/>
        <v>0.30000000000000004</v>
      </c>
      <c r="AL151">
        <f t="shared" si="33"/>
        <v>1.8225000000000002</v>
      </c>
      <c r="AM151">
        <f t="shared" si="34"/>
        <v>0.36450000000000005</v>
      </c>
      <c r="AN151">
        <f t="shared" si="35"/>
        <v>2.875</v>
      </c>
      <c r="AO151">
        <f t="shared" si="36"/>
        <v>1.5524999999999998</v>
      </c>
      <c r="AQ151" t="str">
        <f t="shared" si="37"/>
        <v>37_1</v>
      </c>
      <c r="AR151">
        <f t="shared" si="38"/>
        <v>1.5</v>
      </c>
      <c r="AS151">
        <f t="shared" si="39"/>
        <v>1.5</v>
      </c>
      <c r="AT151">
        <f t="shared" si="40"/>
        <v>2.875</v>
      </c>
      <c r="AU151">
        <f t="shared" si="41"/>
        <v>2.875</v>
      </c>
      <c r="AV151">
        <f t="shared" si="42"/>
        <v>1.5524999999999998</v>
      </c>
    </row>
    <row r="152" spans="1:48">
      <c r="A152">
        <v>37</v>
      </c>
      <c r="B152">
        <v>2</v>
      </c>
      <c r="D152" t="str">
        <f t="shared" si="29"/>
        <v>37_2</v>
      </c>
      <c r="E152">
        <v>0</v>
      </c>
      <c r="F152">
        <v>0.625</v>
      </c>
      <c r="G152">
        <v>1.125</v>
      </c>
      <c r="H152">
        <v>1.125</v>
      </c>
      <c r="I152">
        <v>0.25</v>
      </c>
      <c r="J152">
        <v>0.74250000000000005</v>
      </c>
      <c r="K152">
        <v>0.63249999999999995</v>
      </c>
      <c r="L152">
        <v>3.125</v>
      </c>
      <c r="M152" t="s">
        <v>31</v>
      </c>
      <c r="N152" t="s">
        <v>11</v>
      </c>
      <c r="O152" t="s">
        <v>11</v>
      </c>
      <c r="P152" t="s">
        <v>11</v>
      </c>
      <c r="Q152" t="s">
        <v>34</v>
      </c>
      <c r="S152">
        <v>0.74250000000000005</v>
      </c>
      <c r="T152">
        <v>0.63249999999999995</v>
      </c>
      <c r="AB152">
        <v>0.625</v>
      </c>
      <c r="AD152">
        <v>0.125</v>
      </c>
      <c r="AE152">
        <v>0.74250000000000005</v>
      </c>
      <c r="AF152">
        <v>0.14850000000000002</v>
      </c>
      <c r="AG152">
        <v>1.125</v>
      </c>
      <c r="AH152">
        <v>0.63249999999999995</v>
      </c>
      <c r="AI152">
        <f t="shared" si="30"/>
        <v>0.625</v>
      </c>
      <c r="AJ152">
        <f t="shared" si="31"/>
        <v>0</v>
      </c>
      <c r="AK152">
        <f t="shared" si="32"/>
        <v>0.125</v>
      </c>
      <c r="AL152">
        <f t="shared" si="33"/>
        <v>0.74250000000000005</v>
      </c>
      <c r="AM152">
        <f t="shared" si="34"/>
        <v>0.14850000000000002</v>
      </c>
      <c r="AN152">
        <f t="shared" si="35"/>
        <v>1.125</v>
      </c>
      <c r="AO152">
        <f t="shared" si="36"/>
        <v>0.63249999999999995</v>
      </c>
      <c r="AQ152" t="str">
        <f t="shared" si="37"/>
        <v>37_2</v>
      </c>
      <c r="AR152">
        <f t="shared" si="38"/>
        <v>0.625</v>
      </c>
      <c r="AS152">
        <f t="shared" si="39"/>
        <v>0.625</v>
      </c>
      <c r="AT152">
        <f t="shared" si="40"/>
        <v>1.125</v>
      </c>
      <c r="AU152">
        <f t="shared" si="41"/>
        <v>1.125</v>
      </c>
      <c r="AV152">
        <f t="shared" si="42"/>
        <v>0.63249999999999995</v>
      </c>
    </row>
    <row r="153" spans="1:48">
      <c r="A153">
        <v>38</v>
      </c>
      <c r="B153" t="s">
        <v>10</v>
      </c>
      <c r="C153" t="s">
        <v>10</v>
      </c>
      <c r="D153" t="str">
        <f t="shared" si="29"/>
        <v>38</v>
      </c>
      <c r="E153" t="s">
        <v>10</v>
      </c>
      <c r="F153" t="s">
        <v>10</v>
      </c>
      <c r="G153" t="s">
        <v>10</v>
      </c>
      <c r="H153" t="s">
        <v>10</v>
      </c>
      <c r="I153" t="s">
        <v>10</v>
      </c>
      <c r="L153">
        <v>0</v>
      </c>
      <c r="M153" t="s">
        <v>11</v>
      </c>
      <c r="N153" t="s">
        <v>11</v>
      </c>
      <c r="O153" t="s">
        <v>11</v>
      </c>
      <c r="P153" t="s">
        <v>11</v>
      </c>
      <c r="Q153" t="s">
        <v>34</v>
      </c>
      <c r="R153" t="s">
        <v>38</v>
      </c>
      <c r="AI153">
        <f t="shared" si="30"/>
        <v>0</v>
      </c>
      <c r="AJ153">
        <f t="shared" si="31"/>
        <v>0</v>
      </c>
      <c r="AK153">
        <f t="shared" si="32"/>
        <v>0</v>
      </c>
      <c r="AL153">
        <f t="shared" si="33"/>
        <v>0</v>
      </c>
      <c r="AM153">
        <f t="shared" si="34"/>
        <v>0</v>
      </c>
      <c r="AN153">
        <f t="shared" si="35"/>
        <v>0</v>
      </c>
      <c r="AO153">
        <f t="shared" si="36"/>
        <v>0</v>
      </c>
      <c r="AQ153" t="str">
        <f t="shared" si="37"/>
        <v>38</v>
      </c>
      <c r="AR153" t="str">
        <f t="shared" si="38"/>
        <v/>
      </c>
      <c r="AS153">
        <f t="shared" si="39"/>
        <v>0</v>
      </c>
      <c r="AT153" t="str">
        <f t="shared" si="40"/>
        <v/>
      </c>
      <c r="AU153">
        <f t="shared" si="41"/>
        <v>0</v>
      </c>
      <c r="AV153">
        <f t="shared" si="42"/>
        <v>0</v>
      </c>
    </row>
    <row r="154" spans="1:48">
      <c r="A154">
        <v>38</v>
      </c>
      <c r="B154">
        <v>1</v>
      </c>
      <c r="C154" t="s">
        <v>10</v>
      </c>
      <c r="D154" t="str">
        <f t="shared" si="29"/>
        <v>38_1</v>
      </c>
      <c r="E154">
        <v>0</v>
      </c>
      <c r="F154">
        <v>2.25</v>
      </c>
      <c r="G154">
        <v>4.125</v>
      </c>
      <c r="H154">
        <v>4.125</v>
      </c>
      <c r="I154">
        <v>0.75</v>
      </c>
      <c r="J154">
        <v>2.6325000000000003</v>
      </c>
      <c r="K154">
        <v>2.2424999999999997</v>
      </c>
      <c r="L154">
        <v>11.25</v>
      </c>
      <c r="M154" t="s">
        <v>31</v>
      </c>
      <c r="N154" t="s">
        <v>11</v>
      </c>
      <c r="O154" t="s">
        <v>11</v>
      </c>
      <c r="P154" t="s">
        <v>11</v>
      </c>
      <c r="Q154" t="s">
        <v>34</v>
      </c>
      <c r="S154">
        <v>2.6325000000000003</v>
      </c>
      <c r="T154">
        <v>2.2424999999999997</v>
      </c>
      <c r="AB154">
        <v>2.25</v>
      </c>
      <c r="AD154">
        <v>0.45</v>
      </c>
      <c r="AE154">
        <v>2.6325000000000003</v>
      </c>
      <c r="AF154">
        <v>0.52650000000000008</v>
      </c>
      <c r="AG154">
        <v>4.125</v>
      </c>
      <c r="AH154">
        <v>2.2424999999999997</v>
      </c>
      <c r="AI154">
        <f t="shared" si="30"/>
        <v>2.25</v>
      </c>
      <c r="AJ154">
        <f t="shared" si="31"/>
        <v>0</v>
      </c>
      <c r="AK154">
        <f t="shared" si="32"/>
        <v>0.45</v>
      </c>
      <c r="AL154">
        <f t="shared" si="33"/>
        <v>2.6325000000000003</v>
      </c>
      <c r="AM154">
        <f t="shared" si="34"/>
        <v>0.52650000000000008</v>
      </c>
      <c r="AN154">
        <f t="shared" si="35"/>
        <v>4.125</v>
      </c>
      <c r="AO154">
        <f t="shared" si="36"/>
        <v>2.2424999999999997</v>
      </c>
      <c r="AQ154" t="str">
        <f t="shared" si="37"/>
        <v>38_1</v>
      </c>
      <c r="AR154">
        <f t="shared" si="38"/>
        <v>2.25</v>
      </c>
      <c r="AS154">
        <f t="shared" si="39"/>
        <v>2.25</v>
      </c>
      <c r="AT154">
        <f t="shared" si="40"/>
        <v>4.125</v>
      </c>
      <c r="AU154">
        <f t="shared" si="41"/>
        <v>4.125</v>
      </c>
      <c r="AV154">
        <f t="shared" si="42"/>
        <v>2.2424999999999997</v>
      </c>
    </row>
    <row r="155" spans="1:48">
      <c r="A155">
        <v>38</v>
      </c>
      <c r="B155">
        <v>2</v>
      </c>
      <c r="C155" t="s">
        <v>10</v>
      </c>
      <c r="D155" t="str">
        <f t="shared" si="29"/>
        <v>38_2</v>
      </c>
      <c r="E155">
        <v>0</v>
      </c>
      <c r="F155">
        <v>0.75</v>
      </c>
      <c r="G155">
        <v>1.375</v>
      </c>
      <c r="H155">
        <v>1.375</v>
      </c>
      <c r="I155">
        <v>0.25</v>
      </c>
      <c r="J155">
        <v>0.87750000000000006</v>
      </c>
      <c r="K155">
        <v>0.74749999999999994</v>
      </c>
      <c r="L155">
        <v>3.75</v>
      </c>
      <c r="M155" t="s">
        <v>31</v>
      </c>
      <c r="N155" t="s">
        <v>11</v>
      </c>
      <c r="O155" t="s">
        <v>11</v>
      </c>
      <c r="P155" t="s">
        <v>11</v>
      </c>
      <c r="Q155" t="s">
        <v>34</v>
      </c>
      <c r="S155">
        <v>0.87750000000000006</v>
      </c>
      <c r="T155">
        <v>0.74749999999999994</v>
      </c>
      <c r="AB155">
        <v>0.75</v>
      </c>
      <c r="AD155">
        <v>0.15000000000000002</v>
      </c>
      <c r="AE155">
        <v>0.87750000000000006</v>
      </c>
      <c r="AF155">
        <v>0.17550000000000002</v>
      </c>
      <c r="AG155">
        <v>1.375</v>
      </c>
      <c r="AH155">
        <v>0.74749999999999994</v>
      </c>
      <c r="AI155">
        <f t="shared" si="30"/>
        <v>0.75</v>
      </c>
      <c r="AJ155">
        <f t="shared" si="31"/>
        <v>0</v>
      </c>
      <c r="AK155">
        <f t="shared" si="32"/>
        <v>0.15000000000000002</v>
      </c>
      <c r="AL155">
        <f t="shared" si="33"/>
        <v>0.87750000000000006</v>
      </c>
      <c r="AM155">
        <f t="shared" si="34"/>
        <v>0.17550000000000002</v>
      </c>
      <c r="AN155">
        <f t="shared" si="35"/>
        <v>1.375</v>
      </c>
      <c r="AO155">
        <f t="shared" si="36"/>
        <v>0.74749999999999994</v>
      </c>
      <c r="AQ155" t="str">
        <f t="shared" si="37"/>
        <v>38_2</v>
      </c>
      <c r="AR155">
        <f t="shared" si="38"/>
        <v>0.75</v>
      </c>
      <c r="AS155">
        <f t="shared" si="39"/>
        <v>0.75</v>
      </c>
      <c r="AT155">
        <f t="shared" si="40"/>
        <v>1.375</v>
      </c>
      <c r="AU155">
        <f t="shared" si="41"/>
        <v>1.375</v>
      </c>
      <c r="AV155">
        <f t="shared" si="42"/>
        <v>0.74749999999999994</v>
      </c>
    </row>
    <row r="156" spans="1:48">
      <c r="A156">
        <v>39</v>
      </c>
      <c r="B156" t="s">
        <v>10</v>
      </c>
      <c r="C156" t="s">
        <v>10</v>
      </c>
      <c r="D156" t="str">
        <f t="shared" si="29"/>
        <v>39</v>
      </c>
      <c r="E156" t="s">
        <v>10</v>
      </c>
      <c r="F156" t="s">
        <v>10</v>
      </c>
      <c r="G156" t="s">
        <v>10</v>
      </c>
      <c r="H156" t="s">
        <v>10</v>
      </c>
      <c r="I156" t="s">
        <v>10</v>
      </c>
      <c r="L156">
        <v>0</v>
      </c>
      <c r="M156" t="s">
        <v>11</v>
      </c>
      <c r="Q156">
        <v>25</v>
      </c>
      <c r="R156" t="s">
        <v>35</v>
      </c>
      <c r="AI156">
        <f t="shared" si="30"/>
        <v>0</v>
      </c>
      <c r="AJ156">
        <f t="shared" si="31"/>
        <v>0</v>
      </c>
      <c r="AK156">
        <f t="shared" si="32"/>
        <v>0</v>
      </c>
      <c r="AL156">
        <f t="shared" si="33"/>
        <v>0</v>
      </c>
      <c r="AM156">
        <f t="shared" si="34"/>
        <v>0</v>
      </c>
      <c r="AN156">
        <f t="shared" si="35"/>
        <v>0</v>
      </c>
      <c r="AO156">
        <f t="shared" si="36"/>
        <v>0</v>
      </c>
      <c r="AQ156" t="str">
        <f t="shared" si="37"/>
        <v>39</v>
      </c>
      <c r="AR156" t="str">
        <f t="shared" si="38"/>
        <v/>
      </c>
      <c r="AS156">
        <f t="shared" si="39"/>
        <v>0</v>
      </c>
      <c r="AT156" t="str">
        <f t="shared" si="40"/>
        <v/>
      </c>
      <c r="AU156">
        <f t="shared" si="41"/>
        <v>0</v>
      </c>
      <c r="AV156">
        <f t="shared" si="42"/>
        <v>0</v>
      </c>
    </row>
    <row r="157" spans="1:48">
      <c r="A157">
        <v>39</v>
      </c>
      <c r="B157">
        <v>1</v>
      </c>
      <c r="C157" t="s">
        <v>10</v>
      </c>
      <c r="D157" t="str">
        <f t="shared" si="29"/>
        <v>39_1</v>
      </c>
      <c r="E157">
        <v>0</v>
      </c>
      <c r="F157">
        <v>0.625</v>
      </c>
      <c r="G157">
        <v>1.125</v>
      </c>
      <c r="H157">
        <v>1.125</v>
      </c>
      <c r="I157">
        <v>0.25</v>
      </c>
      <c r="J157">
        <v>0.74250000000000005</v>
      </c>
      <c r="K157">
        <v>0.63249999999999995</v>
      </c>
      <c r="L157">
        <v>3.125</v>
      </c>
      <c r="M157" t="s">
        <v>31</v>
      </c>
      <c r="N157" t="s">
        <v>33</v>
      </c>
      <c r="O157" t="s">
        <v>43</v>
      </c>
      <c r="P157" t="s">
        <v>33</v>
      </c>
      <c r="Q157">
        <v>25</v>
      </c>
      <c r="S157">
        <v>0.74250000000000005</v>
      </c>
      <c r="T157">
        <v>0.63249999999999995</v>
      </c>
      <c r="U157">
        <v>0.125</v>
      </c>
      <c r="V157">
        <v>0</v>
      </c>
      <c r="W157">
        <v>0.125</v>
      </c>
      <c r="X157">
        <v>0.14850000000000002</v>
      </c>
      <c r="Y157">
        <v>0.14850000000000002</v>
      </c>
      <c r="Z157">
        <v>1.125</v>
      </c>
      <c r="AA157">
        <v>0.63249999999999995</v>
      </c>
      <c r="AI157">
        <f t="shared" si="30"/>
        <v>0.125</v>
      </c>
      <c r="AJ157">
        <f t="shared" si="31"/>
        <v>0</v>
      </c>
      <c r="AK157">
        <f t="shared" si="32"/>
        <v>0.125</v>
      </c>
      <c r="AL157">
        <f t="shared" si="33"/>
        <v>0.14850000000000002</v>
      </c>
      <c r="AM157">
        <f t="shared" si="34"/>
        <v>0.14850000000000002</v>
      </c>
      <c r="AN157">
        <f t="shared" si="35"/>
        <v>1.125</v>
      </c>
      <c r="AO157">
        <f t="shared" si="36"/>
        <v>0.63249999999999995</v>
      </c>
      <c r="AQ157" t="str">
        <f t="shared" si="37"/>
        <v>39_1</v>
      </c>
      <c r="AR157">
        <f t="shared" si="38"/>
        <v>0.625</v>
      </c>
      <c r="AS157">
        <f t="shared" si="39"/>
        <v>0.125</v>
      </c>
      <c r="AT157">
        <f t="shared" si="40"/>
        <v>1.125</v>
      </c>
      <c r="AU157">
        <f t="shared" si="41"/>
        <v>1.125</v>
      </c>
      <c r="AV157">
        <f t="shared" si="42"/>
        <v>0.63249999999999995</v>
      </c>
    </row>
    <row r="158" spans="1:48">
      <c r="A158">
        <v>40</v>
      </c>
      <c r="B158" t="s">
        <v>10</v>
      </c>
      <c r="C158" t="s">
        <v>10</v>
      </c>
      <c r="D158" t="str">
        <f t="shared" si="29"/>
        <v>40</v>
      </c>
      <c r="E158" t="s">
        <v>10</v>
      </c>
      <c r="F158" t="s">
        <v>10</v>
      </c>
      <c r="G158" t="s">
        <v>10</v>
      </c>
      <c r="H158" t="s">
        <v>10</v>
      </c>
      <c r="I158" t="s">
        <v>10</v>
      </c>
      <c r="L158">
        <v>0</v>
      </c>
      <c r="M158" t="s">
        <v>11</v>
      </c>
      <c r="Q158">
        <v>26</v>
      </c>
      <c r="R158" t="s">
        <v>35</v>
      </c>
      <c r="AI158">
        <f t="shared" si="30"/>
        <v>0</v>
      </c>
      <c r="AJ158">
        <f t="shared" si="31"/>
        <v>0</v>
      </c>
      <c r="AK158">
        <f t="shared" si="32"/>
        <v>0</v>
      </c>
      <c r="AL158">
        <f t="shared" si="33"/>
        <v>0</v>
      </c>
      <c r="AM158">
        <f t="shared" si="34"/>
        <v>0</v>
      </c>
      <c r="AN158">
        <f t="shared" si="35"/>
        <v>0</v>
      </c>
      <c r="AO158">
        <f t="shared" si="36"/>
        <v>0</v>
      </c>
      <c r="AQ158" t="str">
        <f t="shared" si="37"/>
        <v>40</v>
      </c>
      <c r="AR158" t="str">
        <f t="shared" si="38"/>
        <v/>
      </c>
      <c r="AS158">
        <f t="shared" si="39"/>
        <v>0</v>
      </c>
      <c r="AT158" t="str">
        <f t="shared" si="40"/>
        <v/>
      </c>
      <c r="AU158">
        <f t="shared" si="41"/>
        <v>0</v>
      </c>
      <c r="AV158">
        <f t="shared" si="42"/>
        <v>0</v>
      </c>
    </row>
    <row r="159" spans="1:48">
      <c r="A159">
        <v>40</v>
      </c>
      <c r="B159">
        <v>1</v>
      </c>
      <c r="C159" t="s">
        <v>10</v>
      </c>
      <c r="D159" t="str">
        <f t="shared" si="29"/>
        <v>40_1</v>
      </c>
      <c r="E159">
        <v>0</v>
      </c>
      <c r="F159">
        <v>0.75</v>
      </c>
      <c r="G159">
        <v>1.375</v>
      </c>
      <c r="H159">
        <v>1.375</v>
      </c>
      <c r="I159">
        <v>0.25</v>
      </c>
      <c r="J159">
        <v>0.87750000000000006</v>
      </c>
      <c r="K159">
        <v>0.74749999999999994</v>
      </c>
      <c r="L159">
        <v>3.75</v>
      </c>
      <c r="M159" t="s">
        <v>31</v>
      </c>
      <c r="N159" t="s">
        <v>33</v>
      </c>
      <c r="O159" t="s">
        <v>43</v>
      </c>
      <c r="P159" t="s">
        <v>33</v>
      </c>
      <c r="Q159">
        <v>26</v>
      </c>
      <c r="S159">
        <v>0.87750000000000006</v>
      </c>
      <c r="T159">
        <v>0.74749999999999994</v>
      </c>
      <c r="U159">
        <v>0.15000000000000002</v>
      </c>
      <c r="V159">
        <v>0</v>
      </c>
      <c r="W159">
        <v>0.15000000000000002</v>
      </c>
      <c r="X159">
        <v>0.17550000000000002</v>
      </c>
      <c r="Y159">
        <v>0.17550000000000002</v>
      </c>
      <c r="Z159">
        <v>1.375</v>
      </c>
      <c r="AA159">
        <v>0.74749999999999994</v>
      </c>
      <c r="AI159">
        <f t="shared" si="30"/>
        <v>0.15000000000000002</v>
      </c>
      <c r="AJ159">
        <f t="shared" si="31"/>
        <v>0</v>
      </c>
      <c r="AK159">
        <f t="shared" si="32"/>
        <v>0.15000000000000002</v>
      </c>
      <c r="AL159">
        <f t="shared" si="33"/>
        <v>0.17550000000000002</v>
      </c>
      <c r="AM159">
        <f t="shared" si="34"/>
        <v>0.17550000000000002</v>
      </c>
      <c r="AN159">
        <f t="shared" si="35"/>
        <v>1.375</v>
      </c>
      <c r="AO159">
        <f t="shared" si="36"/>
        <v>0.74749999999999994</v>
      </c>
      <c r="AQ159" t="str">
        <f t="shared" si="37"/>
        <v>40_1</v>
      </c>
      <c r="AR159">
        <f t="shared" si="38"/>
        <v>0.75</v>
      </c>
      <c r="AS159">
        <f t="shared" si="39"/>
        <v>0.15000000000000002</v>
      </c>
      <c r="AT159">
        <f t="shared" si="40"/>
        <v>1.375</v>
      </c>
      <c r="AU159">
        <f t="shared" si="41"/>
        <v>1.375</v>
      </c>
      <c r="AV159">
        <f t="shared" si="42"/>
        <v>0.74749999999999994</v>
      </c>
    </row>
    <row r="160" spans="1:48">
      <c r="A160">
        <v>41</v>
      </c>
      <c r="B160" t="s">
        <v>10</v>
      </c>
      <c r="C160" t="s">
        <v>10</v>
      </c>
      <c r="D160" t="str">
        <f t="shared" si="29"/>
        <v>41</v>
      </c>
      <c r="E160" t="s">
        <v>10</v>
      </c>
      <c r="F160" t="s">
        <v>10</v>
      </c>
      <c r="G160" t="s">
        <v>10</v>
      </c>
      <c r="H160" t="s">
        <v>10</v>
      </c>
      <c r="I160" t="s">
        <v>10</v>
      </c>
      <c r="L160">
        <v>0</v>
      </c>
      <c r="M160" t="s">
        <v>11</v>
      </c>
      <c r="Q160">
        <v>9</v>
      </c>
      <c r="R160" t="s">
        <v>35</v>
      </c>
      <c r="AI160">
        <f t="shared" si="30"/>
        <v>0</v>
      </c>
      <c r="AJ160">
        <f t="shared" si="31"/>
        <v>0</v>
      </c>
      <c r="AK160">
        <f t="shared" si="32"/>
        <v>0</v>
      </c>
      <c r="AL160">
        <f t="shared" si="33"/>
        <v>0</v>
      </c>
      <c r="AM160">
        <f t="shared" si="34"/>
        <v>0</v>
      </c>
      <c r="AN160">
        <f t="shared" si="35"/>
        <v>0</v>
      </c>
      <c r="AO160">
        <f t="shared" si="36"/>
        <v>0</v>
      </c>
      <c r="AQ160" t="str">
        <f t="shared" si="37"/>
        <v>41</v>
      </c>
      <c r="AR160" t="str">
        <f t="shared" si="38"/>
        <v/>
      </c>
      <c r="AS160">
        <f t="shared" si="39"/>
        <v>0</v>
      </c>
      <c r="AT160" t="str">
        <f t="shared" si="40"/>
        <v/>
      </c>
      <c r="AU160">
        <f t="shared" si="41"/>
        <v>0</v>
      </c>
      <c r="AV160">
        <f t="shared" si="42"/>
        <v>0</v>
      </c>
    </row>
    <row r="161" spans="1:48">
      <c r="A161">
        <v>41</v>
      </c>
      <c r="B161">
        <v>1</v>
      </c>
      <c r="C161" t="s">
        <v>10</v>
      </c>
      <c r="D161" t="str">
        <f t="shared" si="29"/>
        <v>41_1</v>
      </c>
      <c r="E161">
        <v>0</v>
      </c>
      <c r="F161">
        <v>0.625</v>
      </c>
      <c r="G161">
        <v>1.125</v>
      </c>
      <c r="H161">
        <v>1.125</v>
      </c>
      <c r="I161">
        <v>0.25</v>
      </c>
      <c r="J161">
        <v>0.74250000000000005</v>
      </c>
      <c r="K161">
        <v>0.63249999999999995</v>
      </c>
      <c r="L161">
        <v>3.125</v>
      </c>
      <c r="M161" t="s">
        <v>31</v>
      </c>
      <c r="N161" t="s">
        <v>32</v>
      </c>
      <c r="O161" t="s">
        <v>37</v>
      </c>
      <c r="P161" t="s">
        <v>33</v>
      </c>
      <c r="Q161">
        <v>9</v>
      </c>
      <c r="S161">
        <v>0.74250000000000005</v>
      </c>
      <c r="T161">
        <v>0.63249999999999995</v>
      </c>
      <c r="U161">
        <v>0</v>
      </c>
      <c r="V161">
        <v>0</v>
      </c>
      <c r="W161">
        <v>0</v>
      </c>
      <c r="X161">
        <v>0.14850000000000002</v>
      </c>
      <c r="Y161">
        <v>0.14850000000000002</v>
      </c>
      <c r="Z161">
        <v>1.125</v>
      </c>
      <c r="AA161">
        <v>0.63249999999999995</v>
      </c>
      <c r="AI161">
        <f t="shared" si="30"/>
        <v>0</v>
      </c>
      <c r="AJ161">
        <f t="shared" si="31"/>
        <v>0</v>
      </c>
      <c r="AK161">
        <f t="shared" si="32"/>
        <v>0</v>
      </c>
      <c r="AL161">
        <f t="shared" si="33"/>
        <v>0.14850000000000002</v>
      </c>
      <c r="AM161">
        <f t="shared" si="34"/>
        <v>0.14850000000000002</v>
      </c>
      <c r="AN161">
        <f t="shared" si="35"/>
        <v>1.125</v>
      </c>
      <c r="AO161">
        <f t="shared" si="36"/>
        <v>0.63249999999999995</v>
      </c>
      <c r="AQ161" t="str">
        <f t="shared" si="37"/>
        <v>41_1</v>
      </c>
      <c r="AR161">
        <f t="shared" si="38"/>
        <v>0.625</v>
      </c>
      <c r="AS161">
        <f t="shared" si="39"/>
        <v>0</v>
      </c>
      <c r="AT161">
        <f t="shared" si="40"/>
        <v>1.125</v>
      </c>
      <c r="AU161">
        <f t="shared" si="41"/>
        <v>1.125</v>
      </c>
      <c r="AV161">
        <f t="shared" si="42"/>
        <v>0.63249999999999995</v>
      </c>
    </row>
    <row r="162" spans="1:48">
      <c r="A162">
        <v>42</v>
      </c>
      <c r="B162" t="s">
        <v>10</v>
      </c>
      <c r="C162" t="s">
        <v>10</v>
      </c>
      <c r="D162" t="str">
        <f t="shared" si="29"/>
        <v>42</v>
      </c>
      <c r="E162" t="s">
        <v>10</v>
      </c>
      <c r="F162" t="s">
        <v>10</v>
      </c>
      <c r="G162" t="s">
        <v>10</v>
      </c>
      <c r="H162" t="s">
        <v>10</v>
      </c>
      <c r="I162" t="s">
        <v>10</v>
      </c>
      <c r="L162">
        <v>0</v>
      </c>
      <c r="M162" t="s">
        <v>11</v>
      </c>
      <c r="Q162">
        <v>37</v>
      </c>
      <c r="R162" t="s">
        <v>35</v>
      </c>
      <c r="AI162">
        <f t="shared" si="30"/>
        <v>0</v>
      </c>
      <c r="AJ162">
        <f t="shared" si="31"/>
        <v>0</v>
      </c>
      <c r="AK162">
        <f t="shared" si="32"/>
        <v>0</v>
      </c>
      <c r="AL162">
        <f t="shared" si="33"/>
        <v>0</v>
      </c>
      <c r="AM162">
        <f t="shared" si="34"/>
        <v>0</v>
      </c>
      <c r="AN162">
        <f t="shared" si="35"/>
        <v>0</v>
      </c>
      <c r="AO162">
        <f t="shared" si="36"/>
        <v>0</v>
      </c>
      <c r="AQ162" t="str">
        <f t="shared" si="37"/>
        <v>42</v>
      </c>
      <c r="AR162" t="str">
        <f t="shared" si="38"/>
        <v/>
      </c>
      <c r="AS162">
        <f t="shared" si="39"/>
        <v>0</v>
      </c>
      <c r="AT162" t="str">
        <f t="shared" si="40"/>
        <v/>
      </c>
      <c r="AU162">
        <f t="shared" si="41"/>
        <v>0</v>
      </c>
      <c r="AV162">
        <f t="shared" si="42"/>
        <v>0</v>
      </c>
    </row>
    <row r="163" spans="1:48">
      <c r="A163">
        <v>42</v>
      </c>
      <c r="B163">
        <v>1</v>
      </c>
      <c r="C163" t="s">
        <v>10</v>
      </c>
      <c r="D163" t="str">
        <f t="shared" si="29"/>
        <v>42_1</v>
      </c>
      <c r="E163">
        <v>0</v>
      </c>
      <c r="F163">
        <v>0.625</v>
      </c>
      <c r="G163">
        <v>1.125</v>
      </c>
      <c r="H163">
        <v>1.125</v>
      </c>
      <c r="I163">
        <v>0.25</v>
      </c>
      <c r="J163">
        <v>0.74250000000000005</v>
      </c>
      <c r="K163">
        <v>0.63249999999999995</v>
      </c>
      <c r="L163">
        <v>3.125</v>
      </c>
      <c r="M163" t="s">
        <v>31</v>
      </c>
      <c r="N163" t="s">
        <v>33</v>
      </c>
      <c r="O163" t="s">
        <v>43</v>
      </c>
      <c r="P163" t="s">
        <v>33</v>
      </c>
      <c r="Q163">
        <v>37</v>
      </c>
      <c r="S163">
        <v>0.74250000000000005</v>
      </c>
      <c r="T163">
        <v>0.63249999999999995</v>
      </c>
      <c r="U163">
        <v>0.125</v>
      </c>
      <c r="V163">
        <v>0</v>
      </c>
      <c r="W163">
        <v>0.125</v>
      </c>
      <c r="X163">
        <v>0.14850000000000002</v>
      </c>
      <c r="Y163">
        <v>0.14850000000000002</v>
      </c>
      <c r="Z163">
        <v>1.125</v>
      </c>
      <c r="AA163">
        <v>0.63249999999999995</v>
      </c>
      <c r="AI163">
        <f t="shared" si="30"/>
        <v>0.125</v>
      </c>
      <c r="AJ163">
        <f t="shared" si="31"/>
        <v>0</v>
      </c>
      <c r="AK163">
        <f t="shared" si="32"/>
        <v>0.125</v>
      </c>
      <c r="AL163">
        <f t="shared" si="33"/>
        <v>0.14850000000000002</v>
      </c>
      <c r="AM163">
        <f t="shared" si="34"/>
        <v>0.14850000000000002</v>
      </c>
      <c r="AN163">
        <f t="shared" si="35"/>
        <v>1.125</v>
      </c>
      <c r="AO163">
        <f t="shared" si="36"/>
        <v>0.63249999999999995</v>
      </c>
      <c r="AQ163" t="str">
        <f t="shared" si="37"/>
        <v>42_1</v>
      </c>
      <c r="AR163">
        <f t="shared" si="38"/>
        <v>0.625</v>
      </c>
      <c r="AS163">
        <f t="shared" si="39"/>
        <v>0.125</v>
      </c>
      <c r="AT163">
        <f t="shared" si="40"/>
        <v>1.125</v>
      </c>
      <c r="AU163">
        <f t="shared" si="41"/>
        <v>1.125</v>
      </c>
      <c r="AV163">
        <f t="shared" si="42"/>
        <v>0.63249999999999995</v>
      </c>
    </row>
    <row r="164" spans="1:48">
      <c r="A164">
        <v>43</v>
      </c>
      <c r="B164" t="s">
        <v>10</v>
      </c>
      <c r="C164" t="s">
        <v>10</v>
      </c>
      <c r="D164" t="str">
        <f t="shared" si="29"/>
        <v>43</v>
      </c>
      <c r="E164" t="s">
        <v>10</v>
      </c>
      <c r="F164" t="s">
        <v>10</v>
      </c>
      <c r="G164" t="s">
        <v>10</v>
      </c>
      <c r="H164" t="s">
        <v>10</v>
      </c>
      <c r="I164" t="s">
        <v>10</v>
      </c>
      <c r="L164">
        <v>0</v>
      </c>
      <c r="M164" t="s">
        <v>11</v>
      </c>
      <c r="Q164">
        <v>48</v>
      </c>
      <c r="R164" t="s">
        <v>30</v>
      </c>
      <c r="AI164">
        <f t="shared" si="30"/>
        <v>0</v>
      </c>
      <c r="AJ164">
        <f t="shared" si="31"/>
        <v>0</v>
      </c>
      <c r="AK164">
        <f t="shared" si="32"/>
        <v>0</v>
      </c>
      <c r="AL164">
        <f t="shared" si="33"/>
        <v>0</v>
      </c>
      <c r="AM164">
        <f t="shared" si="34"/>
        <v>0</v>
      </c>
      <c r="AN164">
        <f t="shared" si="35"/>
        <v>0</v>
      </c>
      <c r="AO164">
        <f t="shared" si="36"/>
        <v>0</v>
      </c>
      <c r="AQ164" t="str">
        <f t="shared" si="37"/>
        <v>43</v>
      </c>
      <c r="AR164" t="str">
        <f t="shared" si="38"/>
        <v/>
      </c>
      <c r="AS164">
        <f t="shared" si="39"/>
        <v>0</v>
      </c>
      <c r="AT164" t="str">
        <f t="shared" si="40"/>
        <v/>
      </c>
      <c r="AU164">
        <f t="shared" si="41"/>
        <v>0</v>
      </c>
      <c r="AV164">
        <f t="shared" si="42"/>
        <v>0</v>
      </c>
    </row>
    <row r="165" spans="1:48">
      <c r="A165">
        <v>43</v>
      </c>
      <c r="B165">
        <v>1</v>
      </c>
      <c r="C165">
        <v>1</v>
      </c>
      <c r="D165" t="str">
        <f t="shared" si="29"/>
        <v>43_1_1</v>
      </c>
      <c r="E165">
        <v>0</v>
      </c>
      <c r="F165">
        <v>1.5</v>
      </c>
      <c r="G165">
        <v>2.75</v>
      </c>
      <c r="H165">
        <v>2.75</v>
      </c>
      <c r="I165">
        <v>0.5</v>
      </c>
      <c r="J165">
        <v>1.7550000000000001</v>
      </c>
      <c r="K165">
        <v>1.4949999999999999</v>
      </c>
      <c r="L165">
        <v>7.5</v>
      </c>
      <c r="M165" t="s">
        <v>31</v>
      </c>
      <c r="N165" t="s">
        <v>32</v>
      </c>
      <c r="O165" t="s">
        <v>43</v>
      </c>
      <c r="P165" t="s">
        <v>43</v>
      </c>
      <c r="Q165">
        <v>48</v>
      </c>
      <c r="S165">
        <v>1.7550000000000001</v>
      </c>
      <c r="T165">
        <v>1.4949999999999999</v>
      </c>
      <c r="U165">
        <v>0</v>
      </c>
      <c r="V165">
        <v>0</v>
      </c>
      <c r="W165">
        <v>0</v>
      </c>
      <c r="X165">
        <v>1.7550000000000001</v>
      </c>
      <c r="Y165">
        <v>0.35100000000000003</v>
      </c>
      <c r="Z165">
        <v>2.75</v>
      </c>
      <c r="AA165">
        <v>1.4949999999999999</v>
      </c>
      <c r="AI165">
        <f t="shared" si="30"/>
        <v>0</v>
      </c>
      <c r="AJ165">
        <f t="shared" si="31"/>
        <v>0</v>
      </c>
      <c r="AK165">
        <f t="shared" si="32"/>
        <v>0</v>
      </c>
      <c r="AL165">
        <f t="shared" si="33"/>
        <v>1.7550000000000001</v>
      </c>
      <c r="AM165">
        <f t="shared" si="34"/>
        <v>0.35100000000000003</v>
      </c>
      <c r="AN165">
        <f t="shared" si="35"/>
        <v>2.75</v>
      </c>
      <c r="AO165">
        <f t="shared" si="36"/>
        <v>1.4949999999999999</v>
      </c>
      <c r="AQ165" t="str">
        <f t="shared" si="37"/>
        <v>43_1_1</v>
      </c>
      <c r="AR165">
        <f t="shared" si="38"/>
        <v>1.5</v>
      </c>
      <c r="AS165">
        <f t="shared" si="39"/>
        <v>0</v>
      </c>
      <c r="AT165">
        <f t="shared" si="40"/>
        <v>2.75</v>
      </c>
      <c r="AU165">
        <f t="shared" si="41"/>
        <v>2.75</v>
      </c>
      <c r="AV165">
        <f t="shared" si="42"/>
        <v>1.4949999999999999</v>
      </c>
    </row>
    <row r="166" spans="1:48">
      <c r="A166">
        <v>43</v>
      </c>
      <c r="B166">
        <v>1</v>
      </c>
      <c r="C166">
        <v>2</v>
      </c>
      <c r="D166" t="str">
        <f t="shared" si="29"/>
        <v>43_1_2</v>
      </c>
      <c r="E166">
        <v>0</v>
      </c>
      <c r="F166">
        <v>1.75</v>
      </c>
      <c r="G166">
        <v>3.25</v>
      </c>
      <c r="H166">
        <v>3.25</v>
      </c>
      <c r="I166">
        <v>0.625</v>
      </c>
      <c r="J166">
        <v>2.0925000000000002</v>
      </c>
      <c r="K166">
        <v>1.7824999999999998</v>
      </c>
      <c r="L166">
        <v>8.875</v>
      </c>
      <c r="M166" t="s">
        <v>31</v>
      </c>
      <c r="N166" t="s">
        <v>11</v>
      </c>
      <c r="O166" t="s">
        <v>11</v>
      </c>
      <c r="P166" t="s">
        <v>11</v>
      </c>
      <c r="Q166" t="s">
        <v>34</v>
      </c>
      <c r="S166">
        <v>2.0925000000000002</v>
      </c>
      <c r="T166">
        <v>1.7824999999999998</v>
      </c>
      <c r="AB166">
        <v>1.75</v>
      </c>
      <c r="AD166">
        <v>0.35000000000000003</v>
      </c>
      <c r="AE166">
        <v>2.0925000000000002</v>
      </c>
      <c r="AF166">
        <v>0.41850000000000009</v>
      </c>
      <c r="AG166">
        <v>3.25</v>
      </c>
      <c r="AH166">
        <v>1.7824999999999998</v>
      </c>
      <c r="AI166">
        <f t="shared" si="30"/>
        <v>1.75</v>
      </c>
      <c r="AJ166">
        <f t="shared" si="31"/>
        <v>0</v>
      </c>
      <c r="AK166">
        <f t="shared" si="32"/>
        <v>0.35000000000000003</v>
      </c>
      <c r="AL166">
        <f t="shared" si="33"/>
        <v>2.0925000000000002</v>
      </c>
      <c r="AM166">
        <f t="shared" si="34"/>
        <v>0.41850000000000009</v>
      </c>
      <c r="AN166">
        <f t="shared" si="35"/>
        <v>3.25</v>
      </c>
      <c r="AO166">
        <f t="shared" si="36"/>
        <v>1.7824999999999998</v>
      </c>
      <c r="AQ166" t="str">
        <f t="shared" si="37"/>
        <v>43_1_2</v>
      </c>
      <c r="AR166">
        <f t="shared" si="38"/>
        <v>1.75</v>
      </c>
      <c r="AS166">
        <f t="shared" si="39"/>
        <v>1.75</v>
      </c>
      <c r="AT166">
        <f t="shared" si="40"/>
        <v>3.25</v>
      </c>
      <c r="AU166">
        <f t="shared" si="41"/>
        <v>3.25</v>
      </c>
      <c r="AV166">
        <f t="shared" si="42"/>
        <v>1.7824999999999998</v>
      </c>
    </row>
    <row r="167" spans="1:48">
      <c r="A167">
        <v>43</v>
      </c>
      <c r="B167">
        <v>2</v>
      </c>
      <c r="C167">
        <v>1</v>
      </c>
      <c r="D167" t="str">
        <f t="shared" si="29"/>
        <v>43_2_1</v>
      </c>
      <c r="E167">
        <v>0</v>
      </c>
      <c r="F167">
        <v>0.75</v>
      </c>
      <c r="G167">
        <v>1.375</v>
      </c>
      <c r="H167">
        <v>1.375</v>
      </c>
      <c r="I167">
        <v>0.25</v>
      </c>
      <c r="J167">
        <v>0.87750000000000006</v>
      </c>
      <c r="K167">
        <v>0.74749999999999994</v>
      </c>
      <c r="L167">
        <v>3.75</v>
      </c>
      <c r="M167" t="s">
        <v>31</v>
      </c>
      <c r="N167" t="s">
        <v>32</v>
      </c>
      <c r="O167" t="s">
        <v>43</v>
      </c>
      <c r="P167" t="s">
        <v>33</v>
      </c>
      <c r="Q167">
        <v>48</v>
      </c>
      <c r="S167">
        <v>0.87750000000000006</v>
      </c>
      <c r="T167">
        <v>0.74749999999999994</v>
      </c>
      <c r="U167">
        <v>0</v>
      </c>
      <c r="V167">
        <v>0</v>
      </c>
      <c r="W167">
        <v>0</v>
      </c>
      <c r="X167">
        <v>0.17550000000000002</v>
      </c>
      <c r="Y167">
        <v>0.17550000000000002</v>
      </c>
      <c r="Z167">
        <v>1.375</v>
      </c>
      <c r="AA167">
        <v>0.74749999999999994</v>
      </c>
      <c r="AI167">
        <f t="shared" si="30"/>
        <v>0</v>
      </c>
      <c r="AJ167">
        <f t="shared" si="31"/>
        <v>0</v>
      </c>
      <c r="AK167">
        <f t="shared" si="32"/>
        <v>0</v>
      </c>
      <c r="AL167">
        <f t="shared" si="33"/>
        <v>0.17550000000000002</v>
      </c>
      <c r="AM167">
        <f t="shared" si="34"/>
        <v>0.17550000000000002</v>
      </c>
      <c r="AN167">
        <f t="shared" si="35"/>
        <v>1.375</v>
      </c>
      <c r="AO167">
        <f t="shared" si="36"/>
        <v>0.74749999999999994</v>
      </c>
      <c r="AQ167" t="str">
        <f t="shared" si="37"/>
        <v>43_2_1</v>
      </c>
      <c r="AR167">
        <f t="shared" si="38"/>
        <v>0.75</v>
      </c>
      <c r="AS167">
        <f t="shared" si="39"/>
        <v>0</v>
      </c>
      <c r="AT167">
        <f t="shared" si="40"/>
        <v>1.375</v>
      </c>
      <c r="AU167">
        <f t="shared" si="41"/>
        <v>1.375</v>
      </c>
      <c r="AV167">
        <f t="shared" si="42"/>
        <v>0.74749999999999994</v>
      </c>
    </row>
    <row r="168" spans="1:48">
      <c r="A168">
        <v>43</v>
      </c>
      <c r="B168">
        <v>1</v>
      </c>
      <c r="C168">
        <v>2</v>
      </c>
      <c r="D168" t="str">
        <f t="shared" si="29"/>
        <v>43_1_2</v>
      </c>
      <c r="E168">
        <v>0</v>
      </c>
      <c r="F168">
        <v>0.875</v>
      </c>
      <c r="G168">
        <v>1.625</v>
      </c>
      <c r="H168">
        <v>1.625</v>
      </c>
      <c r="I168">
        <v>0.375</v>
      </c>
      <c r="J168">
        <v>1.08</v>
      </c>
      <c r="K168">
        <v>0.91999999999999993</v>
      </c>
      <c r="L168">
        <v>4.5</v>
      </c>
      <c r="M168" t="s">
        <v>31</v>
      </c>
      <c r="N168" t="s">
        <v>11</v>
      </c>
      <c r="O168" t="s">
        <v>11</v>
      </c>
      <c r="P168" t="s">
        <v>11</v>
      </c>
      <c r="Q168" t="s">
        <v>34</v>
      </c>
      <c r="S168">
        <v>1.08</v>
      </c>
      <c r="T168">
        <v>0.91999999999999993</v>
      </c>
      <c r="AB168">
        <v>0.875</v>
      </c>
      <c r="AD168">
        <v>0.17500000000000002</v>
      </c>
      <c r="AE168">
        <v>1.08</v>
      </c>
      <c r="AF168">
        <v>0.21600000000000003</v>
      </c>
      <c r="AG168">
        <v>1.625</v>
      </c>
      <c r="AH168">
        <v>0.91999999999999993</v>
      </c>
      <c r="AI168">
        <f t="shared" si="30"/>
        <v>0.875</v>
      </c>
      <c r="AJ168">
        <f t="shared" si="31"/>
        <v>0</v>
      </c>
      <c r="AK168">
        <f t="shared" si="32"/>
        <v>0.17500000000000002</v>
      </c>
      <c r="AL168">
        <f t="shared" si="33"/>
        <v>1.08</v>
      </c>
      <c r="AM168">
        <f t="shared" si="34"/>
        <v>0.21600000000000003</v>
      </c>
      <c r="AN168">
        <f t="shared" si="35"/>
        <v>1.625</v>
      </c>
      <c r="AO168">
        <f t="shared" si="36"/>
        <v>0.91999999999999993</v>
      </c>
      <c r="AQ168" t="str">
        <f t="shared" si="37"/>
        <v>43_1_2</v>
      </c>
      <c r="AR168">
        <f t="shared" si="38"/>
        <v>0.875</v>
      </c>
      <c r="AS168">
        <f t="shared" si="39"/>
        <v>0.875</v>
      </c>
      <c r="AT168">
        <f t="shared" si="40"/>
        <v>1.625</v>
      </c>
      <c r="AU168">
        <f t="shared" si="41"/>
        <v>1.625</v>
      </c>
      <c r="AV168">
        <f t="shared" si="42"/>
        <v>0.91999999999999993</v>
      </c>
    </row>
    <row r="169" spans="1:48">
      <c r="A169">
        <v>44</v>
      </c>
      <c r="B169" t="s">
        <v>10</v>
      </c>
      <c r="C169" t="s">
        <v>10</v>
      </c>
      <c r="D169" t="str">
        <f t="shared" si="29"/>
        <v>44</v>
      </c>
      <c r="E169" t="s">
        <v>10</v>
      </c>
      <c r="F169" t="s">
        <v>10</v>
      </c>
      <c r="G169" t="s">
        <v>10</v>
      </c>
      <c r="H169" t="s">
        <v>10</v>
      </c>
      <c r="I169" t="s">
        <v>10</v>
      </c>
      <c r="L169">
        <v>0</v>
      </c>
      <c r="M169" t="s">
        <v>11</v>
      </c>
      <c r="Q169">
        <v>59</v>
      </c>
      <c r="R169" t="s">
        <v>35</v>
      </c>
      <c r="AI169">
        <f t="shared" si="30"/>
        <v>0</v>
      </c>
      <c r="AJ169">
        <f t="shared" si="31"/>
        <v>0</v>
      </c>
      <c r="AK169">
        <f t="shared" si="32"/>
        <v>0</v>
      </c>
      <c r="AL169">
        <f t="shared" si="33"/>
        <v>0</v>
      </c>
      <c r="AM169">
        <f t="shared" si="34"/>
        <v>0</v>
      </c>
      <c r="AN169">
        <f t="shared" si="35"/>
        <v>0</v>
      </c>
      <c r="AO169">
        <f t="shared" si="36"/>
        <v>0</v>
      </c>
      <c r="AQ169" t="str">
        <f t="shared" si="37"/>
        <v>44</v>
      </c>
      <c r="AR169" t="str">
        <f t="shared" si="38"/>
        <v/>
      </c>
      <c r="AS169">
        <f t="shared" si="39"/>
        <v>0</v>
      </c>
      <c r="AT169" t="str">
        <f t="shared" si="40"/>
        <v/>
      </c>
      <c r="AU169">
        <f t="shared" si="41"/>
        <v>0</v>
      </c>
      <c r="AV169">
        <f t="shared" si="42"/>
        <v>0</v>
      </c>
    </row>
    <row r="170" spans="1:48">
      <c r="A170">
        <v>44</v>
      </c>
      <c r="B170">
        <v>1</v>
      </c>
      <c r="C170">
        <v>1</v>
      </c>
      <c r="D170" t="str">
        <f t="shared" si="29"/>
        <v>44_1_1</v>
      </c>
      <c r="E170">
        <v>0</v>
      </c>
      <c r="F170">
        <v>1.75</v>
      </c>
      <c r="G170">
        <v>3.25</v>
      </c>
      <c r="H170">
        <v>3.25</v>
      </c>
      <c r="I170">
        <v>0.625</v>
      </c>
      <c r="J170">
        <v>2.0925000000000002</v>
      </c>
      <c r="K170">
        <v>1.7824999999999998</v>
      </c>
      <c r="L170">
        <v>8.875</v>
      </c>
      <c r="M170" t="s">
        <v>31</v>
      </c>
      <c r="N170" t="s">
        <v>33</v>
      </c>
      <c r="O170" t="s">
        <v>43</v>
      </c>
      <c r="P170" t="s">
        <v>43</v>
      </c>
      <c r="Q170">
        <v>59</v>
      </c>
      <c r="S170">
        <v>2.0925000000000002</v>
      </c>
      <c r="T170">
        <v>1.7824999999999998</v>
      </c>
      <c r="U170">
        <v>0.35000000000000003</v>
      </c>
      <c r="V170">
        <v>0</v>
      </c>
      <c r="W170">
        <v>0.35000000000000003</v>
      </c>
      <c r="X170">
        <v>2.0925000000000002</v>
      </c>
      <c r="Y170">
        <v>0.41850000000000009</v>
      </c>
      <c r="Z170">
        <v>3.25</v>
      </c>
      <c r="AA170">
        <v>1.7824999999999998</v>
      </c>
      <c r="AI170">
        <f t="shared" si="30"/>
        <v>0.35000000000000003</v>
      </c>
      <c r="AJ170">
        <f t="shared" si="31"/>
        <v>0</v>
      </c>
      <c r="AK170">
        <f t="shared" si="32"/>
        <v>0.35000000000000003</v>
      </c>
      <c r="AL170">
        <f t="shared" si="33"/>
        <v>2.0925000000000002</v>
      </c>
      <c r="AM170">
        <f t="shared" si="34"/>
        <v>0.41850000000000009</v>
      </c>
      <c r="AN170">
        <f t="shared" si="35"/>
        <v>3.25</v>
      </c>
      <c r="AO170">
        <f t="shared" si="36"/>
        <v>1.7824999999999998</v>
      </c>
      <c r="AQ170" t="str">
        <f t="shared" si="37"/>
        <v>44_1_1</v>
      </c>
      <c r="AR170">
        <f t="shared" si="38"/>
        <v>1.75</v>
      </c>
      <c r="AS170">
        <f t="shared" si="39"/>
        <v>0.35000000000000003</v>
      </c>
      <c r="AT170">
        <f t="shared" si="40"/>
        <v>3.25</v>
      </c>
      <c r="AU170">
        <f t="shared" si="41"/>
        <v>3.25</v>
      </c>
      <c r="AV170">
        <f t="shared" si="42"/>
        <v>1.7824999999999998</v>
      </c>
    </row>
    <row r="171" spans="1:48">
      <c r="A171">
        <v>44</v>
      </c>
      <c r="B171">
        <v>1</v>
      </c>
      <c r="C171">
        <v>2</v>
      </c>
      <c r="D171" t="str">
        <f t="shared" si="29"/>
        <v>44_1_2</v>
      </c>
      <c r="E171">
        <v>0</v>
      </c>
      <c r="F171">
        <v>1.125</v>
      </c>
      <c r="G171">
        <v>2.125</v>
      </c>
      <c r="H171">
        <v>2.125</v>
      </c>
      <c r="I171">
        <v>0.375</v>
      </c>
      <c r="J171">
        <v>1.35</v>
      </c>
      <c r="K171">
        <v>1.1499999999999999</v>
      </c>
      <c r="L171">
        <v>5.75</v>
      </c>
      <c r="M171" t="s">
        <v>31</v>
      </c>
      <c r="N171" t="s">
        <v>33</v>
      </c>
      <c r="O171" t="s">
        <v>43</v>
      </c>
      <c r="P171" t="s">
        <v>43</v>
      </c>
      <c r="Q171">
        <v>59</v>
      </c>
      <c r="S171">
        <v>1.35</v>
      </c>
      <c r="T171">
        <v>1.1499999999999999</v>
      </c>
      <c r="U171">
        <v>0.22500000000000001</v>
      </c>
      <c r="V171">
        <v>0</v>
      </c>
      <c r="W171">
        <v>0.22500000000000001</v>
      </c>
      <c r="X171">
        <v>1.35</v>
      </c>
      <c r="Y171">
        <v>0.27</v>
      </c>
      <c r="Z171">
        <v>2.125</v>
      </c>
      <c r="AA171">
        <v>1.1499999999999999</v>
      </c>
      <c r="AI171">
        <f t="shared" si="30"/>
        <v>0.22500000000000001</v>
      </c>
      <c r="AJ171">
        <f t="shared" si="31"/>
        <v>0</v>
      </c>
      <c r="AK171">
        <f t="shared" si="32"/>
        <v>0.22500000000000001</v>
      </c>
      <c r="AL171">
        <f t="shared" si="33"/>
        <v>1.35</v>
      </c>
      <c r="AM171">
        <f t="shared" si="34"/>
        <v>0.27</v>
      </c>
      <c r="AN171">
        <f t="shared" si="35"/>
        <v>2.125</v>
      </c>
      <c r="AO171">
        <f t="shared" si="36"/>
        <v>1.1499999999999999</v>
      </c>
      <c r="AQ171" t="str">
        <f t="shared" si="37"/>
        <v>44_1_2</v>
      </c>
      <c r="AR171">
        <f t="shared" si="38"/>
        <v>1.125</v>
      </c>
      <c r="AS171">
        <f t="shared" si="39"/>
        <v>0.22500000000000001</v>
      </c>
      <c r="AT171">
        <f t="shared" si="40"/>
        <v>2.125</v>
      </c>
      <c r="AU171">
        <f t="shared" si="41"/>
        <v>2.125</v>
      </c>
      <c r="AV171">
        <f t="shared" si="42"/>
        <v>1.1499999999999999</v>
      </c>
    </row>
    <row r="172" spans="1:48">
      <c r="A172">
        <v>44</v>
      </c>
      <c r="B172">
        <v>2</v>
      </c>
      <c r="D172" t="str">
        <f t="shared" si="29"/>
        <v>44_2</v>
      </c>
      <c r="E172">
        <v>0</v>
      </c>
      <c r="F172">
        <v>0</v>
      </c>
      <c r="G172">
        <v>0</v>
      </c>
      <c r="H172">
        <v>2.375</v>
      </c>
      <c r="I172">
        <v>0.5</v>
      </c>
      <c r="J172">
        <v>1.5525000000000002</v>
      </c>
      <c r="K172">
        <v>1.3224999999999998</v>
      </c>
      <c r="L172">
        <v>2.875</v>
      </c>
      <c r="M172" t="s">
        <v>31</v>
      </c>
      <c r="N172" t="s">
        <v>36</v>
      </c>
      <c r="O172" t="s">
        <v>36</v>
      </c>
      <c r="P172" t="s">
        <v>43</v>
      </c>
      <c r="Q172">
        <v>59</v>
      </c>
      <c r="S172">
        <v>1.5525000000000002</v>
      </c>
      <c r="T172">
        <v>1.3224999999999998</v>
      </c>
      <c r="U172">
        <v>0</v>
      </c>
      <c r="V172">
        <v>0</v>
      </c>
      <c r="W172">
        <v>0</v>
      </c>
      <c r="X172">
        <v>1.5525000000000002</v>
      </c>
      <c r="Y172">
        <v>0.31050000000000005</v>
      </c>
      <c r="Z172">
        <v>0</v>
      </c>
      <c r="AA172">
        <v>1.3224999999999998</v>
      </c>
      <c r="AI172">
        <f t="shared" si="30"/>
        <v>0</v>
      </c>
      <c r="AJ172">
        <f t="shared" si="31"/>
        <v>0</v>
      </c>
      <c r="AK172">
        <f t="shared" si="32"/>
        <v>0</v>
      </c>
      <c r="AL172">
        <f t="shared" si="33"/>
        <v>1.5525000000000002</v>
      </c>
      <c r="AM172">
        <f t="shared" si="34"/>
        <v>0.31050000000000005</v>
      </c>
      <c r="AN172">
        <f t="shared" si="35"/>
        <v>0</v>
      </c>
      <c r="AO172">
        <f t="shared" si="36"/>
        <v>1.3224999999999998</v>
      </c>
      <c r="AQ172" t="str">
        <f t="shared" si="37"/>
        <v>44_2</v>
      </c>
      <c r="AR172">
        <f t="shared" si="38"/>
        <v>0</v>
      </c>
      <c r="AS172">
        <f t="shared" si="39"/>
        <v>0</v>
      </c>
      <c r="AT172">
        <f t="shared" si="40"/>
        <v>0</v>
      </c>
      <c r="AU172">
        <f t="shared" si="41"/>
        <v>0</v>
      </c>
      <c r="AV172">
        <f t="shared" si="42"/>
        <v>1.3224999999999998</v>
      </c>
    </row>
    <row r="173" spans="1:48">
      <c r="A173">
        <v>44</v>
      </c>
      <c r="B173">
        <v>3</v>
      </c>
      <c r="D173" t="str">
        <f t="shared" si="29"/>
        <v>44_3</v>
      </c>
      <c r="E173">
        <v>0</v>
      </c>
      <c r="F173">
        <v>0</v>
      </c>
      <c r="G173">
        <v>0</v>
      </c>
      <c r="H173">
        <v>1.25</v>
      </c>
      <c r="I173">
        <v>0.25</v>
      </c>
      <c r="J173">
        <v>0.81</v>
      </c>
      <c r="K173">
        <v>0.69</v>
      </c>
      <c r="L173">
        <v>1.5</v>
      </c>
      <c r="M173" t="s">
        <v>31</v>
      </c>
      <c r="N173" t="s">
        <v>36</v>
      </c>
      <c r="O173" t="s">
        <v>36</v>
      </c>
      <c r="P173" t="s">
        <v>43</v>
      </c>
      <c r="Q173">
        <v>59</v>
      </c>
      <c r="S173">
        <v>0.81</v>
      </c>
      <c r="T173">
        <v>0.69</v>
      </c>
      <c r="U173">
        <v>0</v>
      </c>
      <c r="V173">
        <v>0</v>
      </c>
      <c r="W173">
        <v>0</v>
      </c>
      <c r="X173">
        <v>0.81</v>
      </c>
      <c r="Y173">
        <v>0.16200000000000003</v>
      </c>
      <c r="Z173">
        <v>0</v>
      </c>
      <c r="AA173">
        <v>0.69</v>
      </c>
      <c r="AI173">
        <f t="shared" si="30"/>
        <v>0</v>
      </c>
      <c r="AJ173">
        <f t="shared" si="31"/>
        <v>0</v>
      </c>
      <c r="AK173">
        <f t="shared" si="32"/>
        <v>0</v>
      </c>
      <c r="AL173">
        <f t="shared" si="33"/>
        <v>0.81</v>
      </c>
      <c r="AM173">
        <f t="shared" si="34"/>
        <v>0.16200000000000003</v>
      </c>
      <c r="AN173">
        <f t="shared" si="35"/>
        <v>0</v>
      </c>
      <c r="AO173">
        <f t="shared" si="36"/>
        <v>0.69</v>
      </c>
      <c r="AQ173" t="str">
        <f t="shared" si="37"/>
        <v>44_3</v>
      </c>
      <c r="AR173">
        <f t="shared" si="38"/>
        <v>0</v>
      </c>
      <c r="AS173">
        <f t="shared" si="39"/>
        <v>0</v>
      </c>
      <c r="AT173">
        <f t="shared" si="40"/>
        <v>0</v>
      </c>
      <c r="AU173">
        <f t="shared" si="41"/>
        <v>0</v>
      </c>
      <c r="AV173">
        <f t="shared" si="42"/>
        <v>0.69</v>
      </c>
    </row>
    <row r="174" spans="1:48">
      <c r="A174">
        <v>45</v>
      </c>
      <c r="B174" t="s">
        <v>10</v>
      </c>
      <c r="C174" t="s">
        <v>10</v>
      </c>
      <c r="D174" t="str">
        <f t="shared" si="29"/>
        <v>45</v>
      </c>
      <c r="E174" t="s">
        <v>10</v>
      </c>
      <c r="F174" t="s">
        <v>10</v>
      </c>
      <c r="G174" t="s">
        <v>10</v>
      </c>
      <c r="H174" t="s">
        <v>10</v>
      </c>
      <c r="I174" t="s">
        <v>10</v>
      </c>
      <c r="L174">
        <v>0</v>
      </c>
      <c r="M174" t="s">
        <v>11</v>
      </c>
      <c r="N174" t="s">
        <v>11</v>
      </c>
      <c r="O174" t="s">
        <v>11</v>
      </c>
      <c r="P174" t="s">
        <v>11</v>
      </c>
      <c r="Q174">
        <v>34</v>
      </c>
      <c r="R174" t="s">
        <v>30</v>
      </c>
      <c r="AI174">
        <f t="shared" si="30"/>
        <v>0</v>
      </c>
      <c r="AJ174">
        <f t="shared" si="31"/>
        <v>0</v>
      </c>
      <c r="AK174">
        <f t="shared" si="32"/>
        <v>0</v>
      </c>
      <c r="AL174">
        <f t="shared" si="33"/>
        <v>0</v>
      </c>
      <c r="AM174">
        <f t="shared" si="34"/>
        <v>0</v>
      </c>
      <c r="AN174">
        <f t="shared" si="35"/>
        <v>0</v>
      </c>
      <c r="AO174">
        <f t="shared" si="36"/>
        <v>0</v>
      </c>
      <c r="AQ174" t="str">
        <f t="shared" si="37"/>
        <v>45</v>
      </c>
      <c r="AR174" t="str">
        <f t="shared" si="38"/>
        <v/>
      </c>
      <c r="AS174">
        <f t="shared" si="39"/>
        <v>0</v>
      </c>
      <c r="AT174" t="str">
        <f t="shared" si="40"/>
        <v/>
      </c>
      <c r="AU174">
        <f t="shared" si="41"/>
        <v>0</v>
      </c>
      <c r="AV174">
        <f t="shared" si="42"/>
        <v>0</v>
      </c>
    </row>
    <row r="175" spans="1:48">
      <c r="A175">
        <v>45</v>
      </c>
      <c r="B175">
        <v>1</v>
      </c>
      <c r="C175">
        <v>1</v>
      </c>
      <c r="D175" t="str">
        <f t="shared" si="29"/>
        <v>45_1_1</v>
      </c>
      <c r="E175">
        <v>0</v>
      </c>
      <c r="F175">
        <v>1.125</v>
      </c>
      <c r="G175">
        <v>2.125</v>
      </c>
      <c r="H175">
        <v>2.125</v>
      </c>
      <c r="I175">
        <v>0.375</v>
      </c>
      <c r="J175">
        <v>1.35</v>
      </c>
      <c r="K175">
        <v>1.1499999999999999</v>
      </c>
      <c r="L175">
        <v>5.75</v>
      </c>
      <c r="M175" t="s">
        <v>31</v>
      </c>
      <c r="N175" t="s">
        <v>33</v>
      </c>
      <c r="O175" t="s">
        <v>37</v>
      </c>
      <c r="P175" t="s">
        <v>33</v>
      </c>
      <c r="Q175">
        <v>34</v>
      </c>
      <c r="S175">
        <v>1.35</v>
      </c>
      <c r="T175">
        <v>1.1499999999999999</v>
      </c>
      <c r="U175">
        <v>0.22500000000000001</v>
      </c>
      <c r="V175">
        <v>0</v>
      </c>
      <c r="W175">
        <v>0.22500000000000001</v>
      </c>
      <c r="X175">
        <v>0.27</v>
      </c>
      <c r="Y175">
        <v>0.27</v>
      </c>
      <c r="Z175">
        <v>2.125</v>
      </c>
      <c r="AA175">
        <v>1.1499999999999999</v>
      </c>
      <c r="AI175">
        <f t="shared" si="30"/>
        <v>0.22500000000000001</v>
      </c>
      <c r="AJ175">
        <f t="shared" si="31"/>
        <v>0</v>
      </c>
      <c r="AK175">
        <f t="shared" si="32"/>
        <v>0.22500000000000001</v>
      </c>
      <c r="AL175">
        <f t="shared" si="33"/>
        <v>0.27</v>
      </c>
      <c r="AM175">
        <f t="shared" si="34"/>
        <v>0.27</v>
      </c>
      <c r="AN175">
        <f t="shared" si="35"/>
        <v>2.125</v>
      </c>
      <c r="AO175">
        <f t="shared" si="36"/>
        <v>1.1499999999999999</v>
      </c>
      <c r="AQ175" t="str">
        <f t="shared" si="37"/>
        <v>45_1_1</v>
      </c>
      <c r="AR175">
        <f t="shared" si="38"/>
        <v>1.125</v>
      </c>
      <c r="AS175">
        <f t="shared" si="39"/>
        <v>0.22500000000000001</v>
      </c>
      <c r="AT175">
        <f t="shared" si="40"/>
        <v>2.125</v>
      </c>
      <c r="AU175">
        <f t="shared" si="41"/>
        <v>2.125</v>
      </c>
      <c r="AV175">
        <f t="shared" si="42"/>
        <v>1.1499999999999999</v>
      </c>
    </row>
    <row r="176" spans="1:48">
      <c r="A176">
        <v>45</v>
      </c>
      <c r="B176">
        <v>1</v>
      </c>
      <c r="C176">
        <v>2</v>
      </c>
      <c r="D176" t="str">
        <f t="shared" si="29"/>
        <v>45_1_2</v>
      </c>
      <c r="E176">
        <v>0</v>
      </c>
      <c r="F176">
        <v>1.375</v>
      </c>
      <c r="G176">
        <v>2.375</v>
      </c>
      <c r="H176">
        <v>2.375</v>
      </c>
      <c r="I176">
        <v>0.5</v>
      </c>
      <c r="J176">
        <v>1.5525000000000002</v>
      </c>
      <c r="K176">
        <v>1.3224999999999998</v>
      </c>
      <c r="L176">
        <v>6.625</v>
      </c>
      <c r="M176" t="s">
        <v>31</v>
      </c>
      <c r="N176" t="s">
        <v>11</v>
      </c>
      <c r="O176" t="s">
        <v>11</v>
      </c>
      <c r="P176" t="s">
        <v>11</v>
      </c>
      <c r="Q176" t="s">
        <v>34</v>
      </c>
      <c r="S176">
        <v>1.5525000000000002</v>
      </c>
      <c r="T176">
        <v>1.3224999999999998</v>
      </c>
      <c r="AB176">
        <v>1.375</v>
      </c>
      <c r="AD176">
        <v>0.27500000000000002</v>
      </c>
      <c r="AE176">
        <v>1.5525000000000002</v>
      </c>
      <c r="AF176">
        <v>0.31050000000000005</v>
      </c>
      <c r="AG176">
        <v>2.375</v>
      </c>
      <c r="AH176">
        <v>1.3224999999999998</v>
      </c>
      <c r="AI176">
        <f t="shared" si="30"/>
        <v>1.375</v>
      </c>
      <c r="AJ176">
        <f t="shared" si="31"/>
        <v>0</v>
      </c>
      <c r="AK176">
        <f t="shared" si="32"/>
        <v>0.27500000000000002</v>
      </c>
      <c r="AL176">
        <f t="shared" si="33"/>
        <v>1.5525000000000002</v>
      </c>
      <c r="AM176">
        <f t="shared" si="34"/>
        <v>0.31050000000000005</v>
      </c>
      <c r="AN176">
        <f t="shared" si="35"/>
        <v>2.375</v>
      </c>
      <c r="AO176">
        <f t="shared" si="36"/>
        <v>1.3224999999999998</v>
      </c>
      <c r="AQ176" t="str">
        <f t="shared" si="37"/>
        <v>45_1_2</v>
      </c>
      <c r="AR176">
        <f t="shared" si="38"/>
        <v>1.375</v>
      </c>
      <c r="AS176">
        <f t="shared" si="39"/>
        <v>1.375</v>
      </c>
      <c r="AT176">
        <f t="shared" si="40"/>
        <v>2.375</v>
      </c>
      <c r="AU176">
        <f t="shared" si="41"/>
        <v>2.375</v>
      </c>
      <c r="AV176">
        <f t="shared" si="42"/>
        <v>1.3224999999999998</v>
      </c>
    </row>
    <row r="177" spans="1:48">
      <c r="A177">
        <v>45</v>
      </c>
      <c r="B177">
        <v>2</v>
      </c>
      <c r="C177">
        <v>1</v>
      </c>
      <c r="D177" t="str">
        <f t="shared" si="29"/>
        <v>45_2_1</v>
      </c>
      <c r="E177">
        <v>0</v>
      </c>
      <c r="F177">
        <v>0.75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0.75</v>
      </c>
      <c r="M177" t="s">
        <v>31</v>
      </c>
      <c r="N177" t="s">
        <v>33</v>
      </c>
      <c r="O177" t="s">
        <v>36</v>
      </c>
      <c r="P177" t="s">
        <v>36</v>
      </c>
      <c r="Q177">
        <v>34</v>
      </c>
      <c r="S177">
        <v>0</v>
      </c>
      <c r="T177">
        <v>0</v>
      </c>
      <c r="U177">
        <v>0.15000000000000002</v>
      </c>
      <c r="V177">
        <v>0</v>
      </c>
      <c r="W177">
        <v>0.15000000000000002</v>
      </c>
      <c r="X177">
        <v>0</v>
      </c>
      <c r="Y177">
        <v>0</v>
      </c>
      <c r="Z177">
        <v>0</v>
      </c>
      <c r="AA177">
        <v>0</v>
      </c>
      <c r="AI177">
        <f t="shared" si="30"/>
        <v>0.15000000000000002</v>
      </c>
      <c r="AJ177">
        <f t="shared" si="31"/>
        <v>0</v>
      </c>
      <c r="AK177">
        <f t="shared" si="32"/>
        <v>0.15000000000000002</v>
      </c>
      <c r="AL177">
        <f t="shared" si="33"/>
        <v>0</v>
      </c>
      <c r="AM177">
        <f t="shared" si="34"/>
        <v>0</v>
      </c>
      <c r="AN177">
        <f t="shared" si="35"/>
        <v>0</v>
      </c>
      <c r="AO177">
        <f t="shared" si="36"/>
        <v>0</v>
      </c>
      <c r="AQ177" t="str">
        <f t="shared" si="37"/>
        <v>45_2_1</v>
      </c>
      <c r="AR177">
        <f t="shared" si="38"/>
        <v>0.75</v>
      </c>
      <c r="AS177">
        <f t="shared" si="39"/>
        <v>0.15000000000000002</v>
      </c>
      <c r="AT177">
        <f t="shared" si="40"/>
        <v>0</v>
      </c>
      <c r="AU177">
        <f t="shared" si="41"/>
        <v>0</v>
      </c>
      <c r="AV177">
        <f t="shared" si="42"/>
        <v>0</v>
      </c>
    </row>
    <row r="178" spans="1:48">
      <c r="A178">
        <v>45</v>
      </c>
      <c r="B178">
        <v>2</v>
      </c>
      <c r="C178">
        <v>1</v>
      </c>
      <c r="D178" t="str">
        <f t="shared" si="29"/>
        <v>45_2_1</v>
      </c>
      <c r="E178">
        <v>0</v>
      </c>
      <c r="F178">
        <v>0.375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0.375</v>
      </c>
      <c r="M178" t="s">
        <v>31</v>
      </c>
      <c r="N178" t="s">
        <v>33</v>
      </c>
      <c r="O178" t="s">
        <v>36</v>
      </c>
      <c r="P178" t="s">
        <v>36</v>
      </c>
      <c r="Q178">
        <v>34</v>
      </c>
      <c r="S178">
        <v>0</v>
      </c>
      <c r="T178">
        <v>0</v>
      </c>
      <c r="U178">
        <v>7.5000000000000011E-2</v>
      </c>
      <c r="V178">
        <v>0</v>
      </c>
      <c r="W178">
        <v>7.5000000000000011E-2</v>
      </c>
      <c r="X178">
        <v>0</v>
      </c>
      <c r="Y178">
        <v>0</v>
      </c>
      <c r="Z178">
        <v>0</v>
      </c>
      <c r="AA178">
        <v>0</v>
      </c>
      <c r="AI178">
        <f t="shared" si="30"/>
        <v>7.5000000000000011E-2</v>
      </c>
      <c r="AJ178">
        <f t="shared" si="31"/>
        <v>0</v>
      </c>
      <c r="AK178">
        <f t="shared" si="32"/>
        <v>7.5000000000000011E-2</v>
      </c>
      <c r="AL178">
        <f t="shared" si="33"/>
        <v>0</v>
      </c>
      <c r="AM178">
        <f t="shared" si="34"/>
        <v>0</v>
      </c>
      <c r="AN178">
        <f t="shared" si="35"/>
        <v>0</v>
      </c>
      <c r="AO178">
        <f t="shared" si="36"/>
        <v>0</v>
      </c>
      <c r="AQ178" t="str">
        <f t="shared" si="37"/>
        <v>45_2_1</v>
      </c>
      <c r="AR178">
        <f t="shared" si="38"/>
        <v>0.375</v>
      </c>
      <c r="AS178">
        <f t="shared" si="39"/>
        <v>7.5000000000000011E-2</v>
      </c>
      <c r="AT178">
        <f t="shared" si="40"/>
        <v>0</v>
      </c>
      <c r="AU178">
        <f t="shared" si="41"/>
        <v>0</v>
      </c>
      <c r="AV178">
        <f t="shared" si="42"/>
        <v>0</v>
      </c>
    </row>
    <row r="179" spans="1:48">
      <c r="A179">
        <v>45</v>
      </c>
      <c r="B179">
        <v>2</v>
      </c>
      <c r="C179">
        <v>2</v>
      </c>
      <c r="D179" t="str">
        <f t="shared" si="29"/>
        <v>45_2_2</v>
      </c>
      <c r="E179">
        <v>0</v>
      </c>
      <c r="F179">
        <v>0.625</v>
      </c>
      <c r="G179">
        <v>0</v>
      </c>
      <c r="H179">
        <v>1.125</v>
      </c>
      <c r="I179">
        <v>0.25</v>
      </c>
      <c r="J179">
        <v>0.74250000000000005</v>
      </c>
      <c r="K179">
        <v>0.63249999999999995</v>
      </c>
      <c r="L179">
        <v>2</v>
      </c>
      <c r="M179" t="s">
        <v>31</v>
      </c>
      <c r="N179" t="s">
        <v>11</v>
      </c>
      <c r="O179" t="s">
        <v>11</v>
      </c>
      <c r="P179" t="s">
        <v>11</v>
      </c>
      <c r="Q179" t="s">
        <v>34</v>
      </c>
      <c r="S179">
        <v>0.74250000000000005</v>
      </c>
      <c r="T179">
        <v>0.63249999999999995</v>
      </c>
      <c r="Y179">
        <v>0</v>
      </c>
      <c r="AB179">
        <v>0.625</v>
      </c>
      <c r="AD179">
        <v>0.125</v>
      </c>
      <c r="AE179">
        <v>0.74250000000000005</v>
      </c>
      <c r="AF179">
        <v>0.14850000000000002</v>
      </c>
      <c r="AG179">
        <v>0</v>
      </c>
      <c r="AH179">
        <v>0.63249999999999995</v>
      </c>
      <c r="AI179">
        <f t="shared" si="30"/>
        <v>0.625</v>
      </c>
      <c r="AJ179">
        <f t="shared" si="31"/>
        <v>0</v>
      </c>
      <c r="AK179">
        <f t="shared" si="32"/>
        <v>0.125</v>
      </c>
      <c r="AL179">
        <f t="shared" si="33"/>
        <v>0.74250000000000005</v>
      </c>
      <c r="AM179">
        <f t="shared" si="34"/>
        <v>0.14850000000000002</v>
      </c>
      <c r="AN179">
        <f t="shared" si="35"/>
        <v>0</v>
      </c>
      <c r="AO179">
        <f t="shared" si="36"/>
        <v>0.63249999999999995</v>
      </c>
      <c r="AQ179" t="str">
        <f t="shared" si="37"/>
        <v>45_2_2</v>
      </c>
      <c r="AR179">
        <f t="shared" si="38"/>
        <v>0.625</v>
      </c>
      <c r="AS179">
        <f t="shared" si="39"/>
        <v>0.625</v>
      </c>
      <c r="AT179">
        <f t="shared" si="40"/>
        <v>0</v>
      </c>
      <c r="AU179">
        <f t="shared" si="41"/>
        <v>0</v>
      </c>
      <c r="AV179">
        <f t="shared" si="42"/>
        <v>0.63249999999999995</v>
      </c>
    </row>
    <row r="180" spans="1:48">
      <c r="A180">
        <v>46</v>
      </c>
      <c r="B180" t="s">
        <v>10</v>
      </c>
      <c r="C180" t="s">
        <v>10</v>
      </c>
      <c r="D180" t="str">
        <f t="shared" si="29"/>
        <v>46</v>
      </c>
      <c r="E180" t="s">
        <v>10</v>
      </c>
      <c r="F180" t="s">
        <v>10</v>
      </c>
      <c r="G180" t="s">
        <v>10</v>
      </c>
      <c r="H180" t="s">
        <v>10</v>
      </c>
      <c r="I180" t="s">
        <v>10</v>
      </c>
      <c r="L180">
        <v>0</v>
      </c>
      <c r="M180" t="s">
        <v>11</v>
      </c>
      <c r="N180" t="s">
        <v>11</v>
      </c>
      <c r="O180" t="s">
        <v>11</v>
      </c>
      <c r="P180" t="s">
        <v>11</v>
      </c>
      <c r="Q180" t="s">
        <v>34</v>
      </c>
      <c r="R180" t="s">
        <v>38</v>
      </c>
      <c r="AI180">
        <f t="shared" si="30"/>
        <v>0</v>
      </c>
      <c r="AJ180">
        <f t="shared" si="31"/>
        <v>0</v>
      </c>
      <c r="AK180">
        <f t="shared" si="32"/>
        <v>0</v>
      </c>
      <c r="AL180">
        <f t="shared" si="33"/>
        <v>0</v>
      </c>
      <c r="AM180">
        <f t="shared" si="34"/>
        <v>0</v>
      </c>
      <c r="AN180">
        <f t="shared" si="35"/>
        <v>0</v>
      </c>
      <c r="AO180">
        <f t="shared" si="36"/>
        <v>0</v>
      </c>
      <c r="AQ180" t="str">
        <f t="shared" si="37"/>
        <v>46</v>
      </c>
      <c r="AR180" t="str">
        <f t="shared" si="38"/>
        <v/>
      </c>
      <c r="AS180">
        <f t="shared" si="39"/>
        <v>0</v>
      </c>
      <c r="AT180" t="str">
        <f t="shared" si="40"/>
        <v/>
      </c>
      <c r="AU180">
        <f t="shared" si="41"/>
        <v>0</v>
      </c>
      <c r="AV180">
        <f t="shared" si="42"/>
        <v>0</v>
      </c>
    </row>
    <row r="181" spans="1:48">
      <c r="A181">
        <v>46</v>
      </c>
      <c r="B181">
        <v>1</v>
      </c>
      <c r="C181" t="s">
        <v>10</v>
      </c>
      <c r="D181" t="str">
        <f t="shared" si="29"/>
        <v>46_1</v>
      </c>
      <c r="E181">
        <v>0</v>
      </c>
      <c r="F181">
        <v>1.125</v>
      </c>
      <c r="G181">
        <v>2.125</v>
      </c>
      <c r="H181">
        <v>2.125</v>
      </c>
      <c r="I181">
        <v>0.375</v>
      </c>
      <c r="J181">
        <v>1.35</v>
      </c>
      <c r="K181">
        <v>1.1499999999999999</v>
      </c>
      <c r="L181">
        <v>5.75</v>
      </c>
      <c r="M181" t="s">
        <v>31</v>
      </c>
      <c r="N181" t="s">
        <v>11</v>
      </c>
      <c r="O181" t="s">
        <v>11</v>
      </c>
      <c r="P181" t="s">
        <v>11</v>
      </c>
      <c r="Q181" t="s">
        <v>34</v>
      </c>
      <c r="S181">
        <v>1.35</v>
      </c>
      <c r="T181">
        <v>1.1499999999999999</v>
      </c>
      <c r="AB181">
        <v>1.125</v>
      </c>
      <c r="AD181">
        <v>0.22500000000000001</v>
      </c>
      <c r="AE181">
        <v>1.35</v>
      </c>
      <c r="AF181">
        <v>0.27</v>
      </c>
      <c r="AG181">
        <v>2.125</v>
      </c>
      <c r="AH181">
        <v>1.1499999999999999</v>
      </c>
      <c r="AI181">
        <f t="shared" si="30"/>
        <v>1.125</v>
      </c>
      <c r="AJ181">
        <f t="shared" si="31"/>
        <v>0</v>
      </c>
      <c r="AK181">
        <f t="shared" si="32"/>
        <v>0.22500000000000001</v>
      </c>
      <c r="AL181">
        <f t="shared" si="33"/>
        <v>1.35</v>
      </c>
      <c r="AM181">
        <f t="shared" si="34"/>
        <v>0.27</v>
      </c>
      <c r="AN181">
        <f t="shared" si="35"/>
        <v>2.125</v>
      </c>
      <c r="AO181">
        <f t="shared" si="36"/>
        <v>1.1499999999999999</v>
      </c>
      <c r="AQ181" t="str">
        <f t="shared" si="37"/>
        <v>46_1</v>
      </c>
      <c r="AR181">
        <f t="shared" si="38"/>
        <v>1.125</v>
      </c>
      <c r="AS181">
        <f t="shared" si="39"/>
        <v>1.125</v>
      </c>
      <c r="AT181">
        <f t="shared" si="40"/>
        <v>2.125</v>
      </c>
      <c r="AU181">
        <f t="shared" si="41"/>
        <v>2.125</v>
      </c>
      <c r="AV181">
        <f t="shared" si="42"/>
        <v>1.1499999999999999</v>
      </c>
    </row>
    <row r="182" spans="1:48">
      <c r="A182">
        <v>47</v>
      </c>
      <c r="B182" t="s">
        <v>10</v>
      </c>
      <c r="C182" t="s">
        <v>10</v>
      </c>
      <c r="D182" t="str">
        <f t="shared" si="29"/>
        <v>47</v>
      </c>
      <c r="E182" t="s">
        <v>10</v>
      </c>
      <c r="F182" t="s">
        <v>10</v>
      </c>
      <c r="G182" t="s">
        <v>10</v>
      </c>
      <c r="H182" t="s">
        <v>10</v>
      </c>
      <c r="I182" t="s">
        <v>10</v>
      </c>
      <c r="L182">
        <v>0</v>
      </c>
      <c r="M182" t="s">
        <v>11</v>
      </c>
      <c r="N182" t="s">
        <v>11</v>
      </c>
      <c r="O182" t="s">
        <v>11</v>
      </c>
      <c r="P182" t="s">
        <v>11</v>
      </c>
      <c r="Q182" t="s">
        <v>34</v>
      </c>
      <c r="R182" t="s">
        <v>38</v>
      </c>
      <c r="AI182">
        <f t="shared" si="30"/>
        <v>0</v>
      </c>
      <c r="AJ182">
        <f t="shared" si="31"/>
        <v>0</v>
      </c>
      <c r="AK182">
        <f t="shared" si="32"/>
        <v>0</v>
      </c>
      <c r="AL182">
        <f t="shared" si="33"/>
        <v>0</v>
      </c>
      <c r="AM182">
        <f t="shared" si="34"/>
        <v>0</v>
      </c>
      <c r="AN182">
        <f t="shared" si="35"/>
        <v>0</v>
      </c>
      <c r="AO182">
        <f t="shared" si="36"/>
        <v>0</v>
      </c>
      <c r="AQ182" t="str">
        <f t="shared" si="37"/>
        <v>47</v>
      </c>
      <c r="AR182" t="str">
        <f t="shared" si="38"/>
        <v/>
      </c>
      <c r="AS182">
        <f t="shared" si="39"/>
        <v>0</v>
      </c>
      <c r="AT182" t="str">
        <f t="shared" si="40"/>
        <v/>
      </c>
      <c r="AU182">
        <f t="shared" si="41"/>
        <v>0</v>
      </c>
      <c r="AV182">
        <f t="shared" si="42"/>
        <v>0</v>
      </c>
    </row>
    <row r="183" spans="1:48">
      <c r="A183">
        <v>47</v>
      </c>
      <c r="B183">
        <v>1</v>
      </c>
      <c r="C183" t="s">
        <v>10</v>
      </c>
      <c r="D183" t="str">
        <f t="shared" si="29"/>
        <v>47_1</v>
      </c>
      <c r="E183">
        <v>0</v>
      </c>
      <c r="F183">
        <v>1.125</v>
      </c>
      <c r="G183">
        <v>2.125</v>
      </c>
      <c r="H183">
        <v>2.125</v>
      </c>
      <c r="I183">
        <v>0.375</v>
      </c>
      <c r="J183">
        <v>1.35</v>
      </c>
      <c r="K183">
        <v>1.1499999999999999</v>
      </c>
      <c r="L183">
        <v>5.75</v>
      </c>
      <c r="M183" t="s">
        <v>31</v>
      </c>
      <c r="N183" t="s">
        <v>11</v>
      </c>
      <c r="O183" t="s">
        <v>11</v>
      </c>
      <c r="P183" t="s">
        <v>11</v>
      </c>
      <c r="Q183" t="s">
        <v>34</v>
      </c>
      <c r="S183">
        <v>1.35</v>
      </c>
      <c r="T183">
        <v>1.1499999999999999</v>
      </c>
      <c r="AB183">
        <v>1.125</v>
      </c>
      <c r="AD183">
        <v>0.22500000000000001</v>
      </c>
      <c r="AE183">
        <v>1.35</v>
      </c>
      <c r="AF183">
        <v>0.27</v>
      </c>
      <c r="AG183">
        <v>2.125</v>
      </c>
      <c r="AH183">
        <v>1.1499999999999999</v>
      </c>
      <c r="AI183">
        <f t="shared" si="30"/>
        <v>1.125</v>
      </c>
      <c r="AJ183">
        <f t="shared" si="31"/>
        <v>0</v>
      </c>
      <c r="AK183">
        <f t="shared" si="32"/>
        <v>0.22500000000000001</v>
      </c>
      <c r="AL183">
        <f t="shared" si="33"/>
        <v>1.35</v>
      </c>
      <c r="AM183">
        <f t="shared" si="34"/>
        <v>0.27</v>
      </c>
      <c r="AN183">
        <f t="shared" si="35"/>
        <v>2.125</v>
      </c>
      <c r="AO183">
        <f t="shared" si="36"/>
        <v>1.1499999999999999</v>
      </c>
      <c r="AQ183" t="str">
        <f t="shared" si="37"/>
        <v>47_1</v>
      </c>
      <c r="AR183">
        <f t="shared" si="38"/>
        <v>1.125</v>
      </c>
      <c r="AS183">
        <f t="shared" si="39"/>
        <v>1.125</v>
      </c>
      <c r="AT183">
        <f t="shared" si="40"/>
        <v>2.125</v>
      </c>
      <c r="AU183">
        <f t="shared" si="41"/>
        <v>2.125</v>
      </c>
      <c r="AV183">
        <f t="shared" si="42"/>
        <v>1.1499999999999999</v>
      </c>
    </row>
    <row r="184" spans="1:48">
      <c r="A184">
        <v>48</v>
      </c>
      <c r="B184" t="s">
        <v>10</v>
      </c>
      <c r="C184" t="s">
        <v>10</v>
      </c>
      <c r="D184" t="str">
        <f t="shared" si="29"/>
        <v>48</v>
      </c>
      <c r="E184" t="s">
        <v>10</v>
      </c>
      <c r="F184" t="s">
        <v>10</v>
      </c>
      <c r="G184" t="s">
        <v>10</v>
      </c>
      <c r="H184" t="s">
        <v>10</v>
      </c>
      <c r="I184" t="s">
        <v>10</v>
      </c>
      <c r="L184">
        <v>0</v>
      </c>
      <c r="M184" t="s">
        <v>11</v>
      </c>
      <c r="Q184">
        <v>33</v>
      </c>
      <c r="R184" t="s">
        <v>35</v>
      </c>
      <c r="AI184">
        <f t="shared" si="30"/>
        <v>0</v>
      </c>
      <c r="AJ184">
        <f t="shared" si="31"/>
        <v>0</v>
      </c>
      <c r="AK184">
        <f t="shared" si="32"/>
        <v>0</v>
      </c>
      <c r="AL184">
        <f t="shared" si="33"/>
        <v>0</v>
      </c>
      <c r="AM184">
        <f t="shared" si="34"/>
        <v>0</v>
      </c>
      <c r="AN184">
        <f t="shared" si="35"/>
        <v>0</v>
      </c>
      <c r="AO184">
        <f t="shared" si="36"/>
        <v>0</v>
      </c>
      <c r="AQ184" t="str">
        <f t="shared" si="37"/>
        <v>48</v>
      </c>
      <c r="AR184" t="str">
        <f t="shared" si="38"/>
        <v/>
      </c>
      <c r="AS184">
        <f t="shared" si="39"/>
        <v>0</v>
      </c>
      <c r="AT184" t="str">
        <f t="shared" si="40"/>
        <v/>
      </c>
      <c r="AU184">
        <f t="shared" si="41"/>
        <v>0</v>
      </c>
      <c r="AV184">
        <f t="shared" si="42"/>
        <v>0</v>
      </c>
    </row>
    <row r="185" spans="1:48">
      <c r="A185">
        <v>48</v>
      </c>
      <c r="B185">
        <v>1</v>
      </c>
      <c r="C185" t="s">
        <v>10</v>
      </c>
      <c r="D185" t="str">
        <f t="shared" si="29"/>
        <v>48_1</v>
      </c>
      <c r="E185">
        <v>0</v>
      </c>
      <c r="F185">
        <v>1.125</v>
      </c>
      <c r="G185">
        <v>2.125</v>
      </c>
      <c r="H185">
        <v>2.125</v>
      </c>
      <c r="I185">
        <v>0.375</v>
      </c>
      <c r="J185">
        <v>1.35</v>
      </c>
      <c r="K185">
        <v>1.1499999999999999</v>
      </c>
      <c r="L185">
        <v>5.75</v>
      </c>
      <c r="M185" t="s">
        <v>31</v>
      </c>
      <c r="N185" t="s">
        <v>33</v>
      </c>
      <c r="O185" t="s">
        <v>43</v>
      </c>
      <c r="P185" t="s">
        <v>33</v>
      </c>
      <c r="Q185">
        <v>33</v>
      </c>
      <c r="S185">
        <v>1.35</v>
      </c>
      <c r="T185">
        <v>1.1499999999999999</v>
      </c>
      <c r="U185">
        <v>0.22500000000000001</v>
      </c>
      <c r="V185">
        <v>0</v>
      </c>
      <c r="W185">
        <v>0.22500000000000001</v>
      </c>
      <c r="X185">
        <v>0.27</v>
      </c>
      <c r="Y185">
        <v>0.27</v>
      </c>
      <c r="Z185">
        <v>2.125</v>
      </c>
      <c r="AA185">
        <v>1.1499999999999999</v>
      </c>
      <c r="AI185">
        <f t="shared" si="30"/>
        <v>0.22500000000000001</v>
      </c>
      <c r="AJ185">
        <f t="shared" si="31"/>
        <v>0</v>
      </c>
      <c r="AK185">
        <f t="shared" si="32"/>
        <v>0.22500000000000001</v>
      </c>
      <c r="AL185">
        <f t="shared" si="33"/>
        <v>0.27</v>
      </c>
      <c r="AM185">
        <f t="shared" si="34"/>
        <v>0.27</v>
      </c>
      <c r="AN185">
        <f t="shared" si="35"/>
        <v>2.125</v>
      </c>
      <c r="AO185">
        <f t="shared" si="36"/>
        <v>1.1499999999999999</v>
      </c>
      <c r="AQ185" t="str">
        <f t="shared" si="37"/>
        <v>48_1</v>
      </c>
      <c r="AR185">
        <f t="shared" si="38"/>
        <v>1.125</v>
      </c>
      <c r="AS185">
        <f t="shared" si="39"/>
        <v>0.22500000000000001</v>
      </c>
      <c r="AT185">
        <f t="shared" si="40"/>
        <v>2.125</v>
      </c>
      <c r="AU185">
        <f t="shared" si="41"/>
        <v>2.125</v>
      </c>
      <c r="AV185">
        <f t="shared" si="42"/>
        <v>1.1499999999999999</v>
      </c>
    </row>
    <row r="186" spans="1:48">
      <c r="A186">
        <v>49</v>
      </c>
      <c r="B186" t="s">
        <v>10</v>
      </c>
      <c r="C186" t="s">
        <v>10</v>
      </c>
      <c r="D186" t="str">
        <f t="shared" si="29"/>
        <v>49</v>
      </c>
      <c r="E186" t="s">
        <v>10</v>
      </c>
      <c r="F186" t="s">
        <v>10</v>
      </c>
      <c r="G186" t="s">
        <v>10</v>
      </c>
      <c r="H186" t="s">
        <v>10</v>
      </c>
      <c r="I186" t="s">
        <v>10</v>
      </c>
      <c r="L186">
        <v>0</v>
      </c>
      <c r="M186" t="s">
        <v>11</v>
      </c>
      <c r="Q186">
        <v>30</v>
      </c>
      <c r="R186" t="s">
        <v>38</v>
      </c>
      <c r="AI186">
        <f t="shared" si="30"/>
        <v>0</v>
      </c>
      <c r="AJ186">
        <f t="shared" si="31"/>
        <v>0</v>
      </c>
      <c r="AK186">
        <f t="shared" si="32"/>
        <v>0</v>
      </c>
      <c r="AL186">
        <f t="shared" si="33"/>
        <v>0</v>
      </c>
      <c r="AM186">
        <f t="shared" si="34"/>
        <v>0</v>
      </c>
      <c r="AN186">
        <f t="shared" si="35"/>
        <v>0</v>
      </c>
      <c r="AO186">
        <f t="shared" si="36"/>
        <v>0</v>
      </c>
      <c r="AQ186" t="str">
        <f t="shared" si="37"/>
        <v>49</v>
      </c>
      <c r="AR186" t="str">
        <f t="shared" si="38"/>
        <v/>
      </c>
      <c r="AS186">
        <f t="shared" si="39"/>
        <v>0</v>
      </c>
      <c r="AT186" t="str">
        <f t="shared" si="40"/>
        <v/>
      </c>
      <c r="AU186">
        <f t="shared" si="41"/>
        <v>0</v>
      </c>
      <c r="AV186">
        <f t="shared" si="42"/>
        <v>0</v>
      </c>
    </row>
    <row r="187" spans="1:48">
      <c r="A187">
        <v>49</v>
      </c>
      <c r="B187">
        <v>1</v>
      </c>
      <c r="C187" t="s">
        <v>10</v>
      </c>
      <c r="D187" t="str">
        <f t="shared" si="29"/>
        <v>49_1</v>
      </c>
      <c r="E187">
        <v>0</v>
      </c>
      <c r="F187">
        <v>1.625</v>
      </c>
      <c r="G187">
        <v>3.125</v>
      </c>
      <c r="H187">
        <v>3.125</v>
      </c>
      <c r="I187">
        <v>0.5</v>
      </c>
      <c r="J187">
        <v>1.9575</v>
      </c>
      <c r="K187">
        <v>1.6675</v>
      </c>
      <c r="L187">
        <v>8.375</v>
      </c>
      <c r="M187" t="s">
        <v>31</v>
      </c>
      <c r="N187" t="s">
        <v>43</v>
      </c>
      <c r="O187" t="s">
        <v>43</v>
      </c>
      <c r="P187" t="s">
        <v>43</v>
      </c>
      <c r="Q187">
        <v>30</v>
      </c>
      <c r="S187">
        <v>1.9575</v>
      </c>
      <c r="T187">
        <v>1.6675</v>
      </c>
      <c r="AB187">
        <v>1.625</v>
      </c>
      <c r="AD187">
        <v>0.32500000000000001</v>
      </c>
      <c r="AE187">
        <v>1.9575</v>
      </c>
      <c r="AF187">
        <v>0.39150000000000001</v>
      </c>
      <c r="AG187">
        <v>3.125</v>
      </c>
      <c r="AH187">
        <v>1.6675</v>
      </c>
      <c r="AI187">
        <f t="shared" si="30"/>
        <v>1.625</v>
      </c>
      <c r="AJ187">
        <f t="shared" si="31"/>
        <v>0</v>
      </c>
      <c r="AK187">
        <f t="shared" si="32"/>
        <v>0.32500000000000001</v>
      </c>
      <c r="AL187">
        <f t="shared" si="33"/>
        <v>1.9575</v>
      </c>
      <c r="AM187">
        <f t="shared" si="34"/>
        <v>0.39150000000000001</v>
      </c>
      <c r="AN187">
        <f t="shared" si="35"/>
        <v>3.125</v>
      </c>
      <c r="AO187">
        <f t="shared" si="36"/>
        <v>1.6675</v>
      </c>
      <c r="AQ187" t="str">
        <f t="shared" si="37"/>
        <v>49_1</v>
      </c>
      <c r="AR187">
        <f t="shared" si="38"/>
        <v>1.625</v>
      </c>
      <c r="AS187">
        <f t="shared" si="39"/>
        <v>1.625</v>
      </c>
      <c r="AT187">
        <f t="shared" si="40"/>
        <v>3.125</v>
      </c>
      <c r="AU187">
        <f t="shared" si="41"/>
        <v>3.125</v>
      </c>
      <c r="AV187">
        <f t="shared" si="42"/>
        <v>1.6675</v>
      </c>
    </row>
    <row r="188" spans="1:48">
      <c r="A188">
        <v>50</v>
      </c>
      <c r="B188" t="s">
        <v>10</v>
      </c>
      <c r="C188" t="s">
        <v>10</v>
      </c>
      <c r="D188" t="str">
        <f t="shared" si="29"/>
        <v>50</v>
      </c>
      <c r="E188" t="s">
        <v>10</v>
      </c>
      <c r="F188" t="s">
        <v>10</v>
      </c>
      <c r="G188" t="s">
        <v>10</v>
      </c>
      <c r="H188" t="s">
        <v>10</v>
      </c>
      <c r="I188" t="s">
        <v>10</v>
      </c>
      <c r="L188">
        <v>0</v>
      </c>
      <c r="M188" t="s">
        <v>11</v>
      </c>
      <c r="Q188">
        <v>55</v>
      </c>
      <c r="R188" t="s">
        <v>35</v>
      </c>
      <c r="AI188">
        <f t="shared" si="30"/>
        <v>0</v>
      </c>
      <c r="AJ188">
        <f t="shared" si="31"/>
        <v>0</v>
      </c>
      <c r="AK188">
        <f t="shared" si="32"/>
        <v>0</v>
      </c>
      <c r="AL188">
        <f t="shared" si="33"/>
        <v>0</v>
      </c>
      <c r="AM188">
        <f t="shared" si="34"/>
        <v>0</v>
      </c>
      <c r="AN188">
        <f t="shared" si="35"/>
        <v>0</v>
      </c>
      <c r="AO188">
        <f t="shared" si="36"/>
        <v>0</v>
      </c>
      <c r="AQ188" t="str">
        <f t="shared" si="37"/>
        <v>50</v>
      </c>
      <c r="AR188" t="str">
        <f t="shared" si="38"/>
        <v/>
      </c>
      <c r="AS188">
        <f t="shared" si="39"/>
        <v>0</v>
      </c>
      <c r="AT188" t="str">
        <f t="shared" si="40"/>
        <v/>
      </c>
      <c r="AU188">
        <f t="shared" si="41"/>
        <v>0</v>
      </c>
      <c r="AV188">
        <f t="shared" si="42"/>
        <v>0</v>
      </c>
    </row>
    <row r="189" spans="1:48">
      <c r="A189">
        <v>50</v>
      </c>
      <c r="B189">
        <v>1</v>
      </c>
      <c r="C189" t="s">
        <v>10</v>
      </c>
      <c r="D189" t="str">
        <f t="shared" si="29"/>
        <v>50_1</v>
      </c>
      <c r="E189">
        <v>0</v>
      </c>
      <c r="F189">
        <v>1.125</v>
      </c>
      <c r="G189">
        <v>2.125</v>
      </c>
      <c r="H189">
        <v>2.125</v>
      </c>
      <c r="I189">
        <v>0.375</v>
      </c>
      <c r="J189">
        <v>1.35</v>
      </c>
      <c r="K189">
        <v>1.1499999999999999</v>
      </c>
      <c r="L189">
        <v>5.75</v>
      </c>
      <c r="M189" t="s">
        <v>31</v>
      </c>
      <c r="N189" t="s">
        <v>33</v>
      </c>
      <c r="O189" t="s">
        <v>43</v>
      </c>
      <c r="P189" t="s">
        <v>43</v>
      </c>
      <c r="Q189">
        <v>55</v>
      </c>
      <c r="S189">
        <v>1.35</v>
      </c>
      <c r="T189">
        <v>1.1499999999999999</v>
      </c>
      <c r="U189">
        <v>0.22500000000000001</v>
      </c>
      <c r="V189">
        <v>0</v>
      </c>
      <c r="W189">
        <v>0.22500000000000001</v>
      </c>
      <c r="X189">
        <v>1.35</v>
      </c>
      <c r="Y189">
        <v>0.27</v>
      </c>
      <c r="Z189">
        <v>2.125</v>
      </c>
      <c r="AA189">
        <v>1.1499999999999999</v>
      </c>
      <c r="AI189">
        <f t="shared" si="30"/>
        <v>0.22500000000000001</v>
      </c>
      <c r="AJ189">
        <f t="shared" si="31"/>
        <v>0</v>
      </c>
      <c r="AK189">
        <f t="shared" si="32"/>
        <v>0.22500000000000001</v>
      </c>
      <c r="AL189">
        <f t="shared" si="33"/>
        <v>1.35</v>
      </c>
      <c r="AM189">
        <f t="shared" si="34"/>
        <v>0.27</v>
      </c>
      <c r="AN189">
        <f t="shared" si="35"/>
        <v>2.125</v>
      </c>
      <c r="AO189">
        <f t="shared" si="36"/>
        <v>1.1499999999999999</v>
      </c>
      <c r="AQ189" t="str">
        <f t="shared" si="37"/>
        <v>50_1</v>
      </c>
      <c r="AR189">
        <f t="shared" si="38"/>
        <v>1.125</v>
      </c>
      <c r="AS189">
        <f t="shared" si="39"/>
        <v>0.22500000000000001</v>
      </c>
      <c r="AT189">
        <f t="shared" si="40"/>
        <v>2.125</v>
      </c>
      <c r="AU189">
        <f t="shared" si="41"/>
        <v>2.125</v>
      </c>
      <c r="AV189">
        <f t="shared" si="42"/>
        <v>1.1499999999999999</v>
      </c>
    </row>
    <row r="190" spans="1:48">
      <c r="A190">
        <v>51</v>
      </c>
      <c r="B190" t="s">
        <v>10</v>
      </c>
      <c r="C190" t="s">
        <v>10</v>
      </c>
      <c r="D190" t="str">
        <f t="shared" si="29"/>
        <v>51</v>
      </c>
      <c r="E190" t="s">
        <v>10</v>
      </c>
      <c r="F190" t="s">
        <v>10</v>
      </c>
      <c r="G190" t="s">
        <v>10</v>
      </c>
      <c r="H190" t="s">
        <v>10</v>
      </c>
      <c r="I190" t="s">
        <v>10</v>
      </c>
      <c r="L190">
        <v>0</v>
      </c>
      <c r="M190" t="s">
        <v>11</v>
      </c>
      <c r="Q190">
        <v>47</v>
      </c>
      <c r="R190" t="s">
        <v>35</v>
      </c>
      <c r="AI190">
        <f t="shared" si="30"/>
        <v>0</v>
      </c>
      <c r="AJ190">
        <f t="shared" si="31"/>
        <v>0</v>
      </c>
      <c r="AK190">
        <f t="shared" si="32"/>
        <v>0</v>
      </c>
      <c r="AL190">
        <f t="shared" si="33"/>
        <v>0</v>
      </c>
      <c r="AM190">
        <f t="shared" si="34"/>
        <v>0</v>
      </c>
      <c r="AN190">
        <f t="shared" si="35"/>
        <v>0</v>
      </c>
      <c r="AO190">
        <f t="shared" si="36"/>
        <v>0</v>
      </c>
      <c r="AQ190" t="str">
        <f t="shared" si="37"/>
        <v>51</v>
      </c>
      <c r="AR190" t="str">
        <f t="shared" si="38"/>
        <v/>
      </c>
      <c r="AS190">
        <f t="shared" si="39"/>
        <v>0</v>
      </c>
      <c r="AT190" t="str">
        <f t="shared" si="40"/>
        <v/>
      </c>
      <c r="AU190">
        <f t="shared" si="41"/>
        <v>0</v>
      </c>
      <c r="AV190">
        <f t="shared" si="42"/>
        <v>0</v>
      </c>
    </row>
    <row r="191" spans="1:48">
      <c r="A191">
        <v>51</v>
      </c>
      <c r="B191">
        <v>1</v>
      </c>
      <c r="C191" t="s">
        <v>10</v>
      </c>
      <c r="D191" t="str">
        <f t="shared" si="29"/>
        <v>51_1</v>
      </c>
      <c r="E191">
        <v>0</v>
      </c>
      <c r="F191">
        <v>1.125</v>
      </c>
      <c r="G191">
        <v>2.125</v>
      </c>
      <c r="H191">
        <v>2.125</v>
      </c>
      <c r="I191">
        <v>0.375</v>
      </c>
      <c r="J191">
        <v>1.35</v>
      </c>
      <c r="K191">
        <v>1.1499999999999999</v>
      </c>
      <c r="L191">
        <v>5.75</v>
      </c>
      <c r="M191" t="s">
        <v>31</v>
      </c>
      <c r="N191" t="s">
        <v>33</v>
      </c>
      <c r="O191" t="s">
        <v>43</v>
      </c>
      <c r="P191" t="s">
        <v>43</v>
      </c>
      <c r="Q191">
        <v>47</v>
      </c>
      <c r="S191">
        <v>1.35</v>
      </c>
      <c r="T191">
        <v>1.1499999999999999</v>
      </c>
      <c r="U191">
        <v>0.22500000000000001</v>
      </c>
      <c r="V191">
        <v>0</v>
      </c>
      <c r="W191">
        <v>0.22500000000000001</v>
      </c>
      <c r="X191">
        <v>1.35</v>
      </c>
      <c r="Y191">
        <v>0.27</v>
      </c>
      <c r="Z191">
        <v>2.125</v>
      </c>
      <c r="AA191">
        <v>1.1499999999999999</v>
      </c>
      <c r="AI191">
        <f t="shared" si="30"/>
        <v>0.22500000000000001</v>
      </c>
      <c r="AJ191">
        <f t="shared" si="31"/>
        <v>0</v>
      </c>
      <c r="AK191">
        <f t="shared" si="32"/>
        <v>0.22500000000000001</v>
      </c>
      <c r="AL191">
        <f t="shared" si="33"/>
        <v>1.35</v>
      </c>
      <c r="AM191">
        <f t="shared" si="34"/>
        <v>0.27</v>
      </c>
      <c r="AN191">
        <f t="shared" si="35"/>
        <v>2.125</v>
      </c>
      <c r="AO191">
        <f t="shared" si="36"/>
        <v>1.1499999999999999</v>
      </c>
      <c r="AQ191" t="str">
        <f t="shared" si="37"/>
        <v>51_1</v>
      </c>
      <c r="AR191">
        <f t="shared" si="38"/>
        <v>1.125</v>
      </c>
      <c r="AS191">
        <f t="shared" si="39"/>
        <v>0.22500000000000001</v>
      </c>
      <c r="AT191">
        <f t="shared" si="40"/>
        <v>2.125</v>
      </c>
      <c r="AU191">
        <f t="shared" si="41"/>
        <v>2.125</v>
      </c>
      <c r="AV191">
        <f t="shared" si="42"/>
        <v>1.1499999999999999</v>
      </c>
    </row>
    <row r="192" spans="1:48">
      <c r="A192">
        <v>51</v>
      </c>
      <c r="B192">
        <v>2</v>
      </c>
      <c r="D192" t="str">
        <f t="shared" si="29"/>
        <v>51_2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11</v>
      </c>
      <c r="N192" t="s">
        <v>11</v>
      </c>
      <c r="O192" t="s">
        <v>11</v>
      </c>
      <c r="P192" t="s">
        <v>11</v>
      </c>
      <c r="Q192" t="s">
        <v>11</v>
      </c>
      <c r="S192">
        <v>0</v>
      </c>
      <c r="T192">
        <v>0</v>
      </c>
      <c r="W192">
        <v>0</v>
      </c>
      <c r="X192">
        <v>0</v>
      </c>
      <c r="Z192">
        <v>0</v>
      </c>
      <c r="AI192">
        <f t="shared" si="30"/>
        <v>0</v>
      </c>
      <c r="AJ192">
        <f t="shared" si="31"/>
        <v>0</v>
      </c>
      <c r="AK192">
        <f t="shared" si="32"/>
        <v>0</v>
      </c>
      <c r="AL192">
        <f t="shared" si="33"/>
        <v>0</v>
      </c>
      <c r="AM192">
        <f t="shared" si="34"/>
        <v>0</v>
      </c>
      <c r="AN192">
        <f t="shared" si="35"/>
        <v>0</v>
      </c>
      <c r="AO192">
        <f t="shared" si="36"/>
        <v>0</v>
      </c>
      <c r="AQ192" t="str">
        <f t="shared" si="37"/>
        <v>51_2</v>
      </c>
      <c r="AR192">
        <f t="shared" si="38"/>
        <v>0</v>
      </c>
      <c r="AS192">
        <f t="shared" si="39"/>
        <v>0</v>
      </c>
      <c r="AT192">
        <f t="shared" si="40"/>
        <v>0</v>
      </c>
      <c r="AU192">
        <f t="shared" si="41"/>
        <v>0</v>
      </c>
      <c r="AV192">
        <f t="shared" si="42"/>
        <v>0</v>
      </c>
    </row>
    <row r="193" spans="1:48">
      <c r="A193">
        <v>52</v>
      </c>
      <c r="B193" t="s">
        <v>10</v>
      </c>
      <c r="C193" t="s">
        <v>10</v>
      </c>
      <c r="D193" t="str">
        <f t="shared" si="29"/>
        <v>52</v>
      </c>
      <c r="E193" t="s">
        <v>10</v>
      </c>
      <c r="F193" t="s">
        <v>10</v>
      </c>
      <c r="G193" t="s">
        <v>10</v>
      </c>
      <c r="H193" t="s">
        <v>10</v>
      </c>
      <c r="I193" t="s">
        <v>10</v>
      </c>
      <c r="L193">
        <v>0</v>
      </c>
      <c r="M193" t="s">
        <v>11</v>
      </c>
      <c r="Q193">
        <v>60</v>
      </c>
      <c r="R193" t="s">
        <v>30</v>
      </c>
      <c r="AI193">
        <f t="shared" si="30"/>
        <v>0</v>
      </c>
      <c r="AJ193">
        <f t="shared" si="31"/>
        <v>0</v>
      </c>
      <c r="AK193">
        <f t="shared" si="32"/>
        <v>0</v>
      </c>
      <c r="AL193">
        <f t="shared" si="33"/>
        <v>0</v>
      </c>
      <c r="AM193">
        <f t="shared" si="34"/>
        <v>0</v>
      </c>
      <c r="AN193">
        <f t="shared" si="35"/>
        <v>0</v>
      </c>
      <c r="AO193">
        <f t="shared" si="36"/>
        <v>0</v>
      </c>
      <c r="AQ193" t="str">
        <f t="shared" si="37"/>
        <v>52</v>
      </c>
      <c r="AR193" t="str">
        <f t="shared" si="38"/>
        <v/>
      </c>
      <c r="AS193">
        <f t="shared" si="39"/>
        <v>0</v>
      </c>
      <c r="AT193" t="str">
        <f t="shared" si="40"/>
        <v/>
      </c>
      <c r="AU193">
        <f t="shared" si="41"/>
        <v>0</v>
      </c>
      <c r="AV193">
        <f t="shared" si="42"/>
        <v>0</v>
      </c>
    </row>
    <row r="194" spans="1:48">
      <c r="A194">
        <v>52</v>
      </c>
      <c r="B194">
        <v>1</v>
      </c>
      <c r="C194">
        <v>1</v>
      </c>
      <c r="D194" t="str">
        <f t="shared" si="29"/>
        <v>52_1_1</v>
      </c>
      <c r="E194">
        <v>0</v>
      </c>
      <c r="F194">
        <v>1.125</v>
      </c>
      <c r="G194">
        <v>2.125</v>
      </c>
      <c r="H194">
        <v>2.125</v>
      </c>
      <c r="I194">
        <v>0.375</v>
      </c>
      <c r="J194">
        <v>1.35</v>
      </c>
      <c r="K194">
        <v>1.1499999999999999</v>
      </c>
      <c r="L194">
        <v>5.75</v>
      </c>
      <c r="M194" t="s">
        <v>31</v>
      </c>
      <c r="N194" t="s">
        <v>33</v>
      </c>
      <c r="O194" t="s">
        <v>43</v>
      </c>
      <c r="P194" t="s">
        <v>43</v>
      </c>
      <c r="Q194">
        <v>60</v>
      </c>
      <c r="S194">
        <v>1.35</v>
      </c>
      <c r="T194">
        <v>1.1499999999999999</v>
      </c>
      <c r="U194">
        <v>0.22500000000000001</v>
      </c>
      <c r="V194">
        <v>0</v>
      </c>
      <c r="W194">
        <v>0.22500000000000001</v>
      </c>
      <c r="X194">
        <v>1.35</v>
      </c>
      <c r="Y194">
        <v>0.27</v>
      </c>
      <c r="Z194">
        <v>2.125</v>
      </c>
      <c r="AA194">
        <v>1.1499999999999999</v>
      </c>
      <c r="AI194">
        <f t="shared" si="30"/>
        <v>0.22500000000000001</v>
      </c>
      <c r="AJ194">
        <f t="shared" si="31"/>
        <v>0</v>
      </c>
      <c r="AK194">
        <f t="shared" si="32"/>
        <v>0.22500000000000001</v>
      </c>
      <c r="AL194">
        <f t="shared" si="33"/>
        <v>1.35</v>
      </c>
      <c r="AM194">
        <f t="shared" si="34"/>
        <v>0.27</v>
      </c>
      <c r="AN194">
        <f t="shared" si="35"/>
        <v>2.125</v>
      </c>
      <c r="AO194">
        <f t="shared" si="36"/>
        <v>1.1499999999999999</v>
      </c>
      <c r="AQ194" t="str">
        <f t="shared" si="37"/>
        <v>52_1_1</v>
      </c>
      <c r="AR194">
        <f t="shared" si="38"/>
        <v>1.125</v>
      </c>
      <c r="AS194">
        <f t="shared" si="39"/>
        <v>0.22500000000000001</v>
      </c>
      <c r="AT194">
        <f t="shared" si="40"/>
        <v>2.125</v>
      </c>
      <c r="AU194">
        <f t="shared" si="41"/>
        <v>2.125</v>
      </c>
      <c r="AV194">
        <f t="shared" si="42"/>
        <v>1.1499999999999999</v>
      </c>
    </row>
    <row r="195" spans="1:48">
      <c r="A195">
        <v>52</v>
      </c>
      <c r="B195">
        <v>1</v>
      </c>
      <c r="C195">
        <v>2</v>
      </c>
      <c r="D195" t="str">
        <f t="shared" si="29"/>
        <v>52_1_2</v>
      </c>
      <c r="E195">
        <v>0</v>
      </c>
      <c r="F195">
        <v>1.125</v>
      </c>
      <c r="G195">
        <v>2.125</v>
      </c>
      <c r="H195">
        <v>2.125</v>
      </c>
      <c r="I195">
        <v>0.375</v>
      </c>
      <c r="J195">
        <v>1.35</v>
      </c>
      <c r="K195">
        <v>1.1499999999999999</v>
      </c>
      <c r="L195">
        <v>5.75</v>
      </c>
      <c r="M195" t="s">
        <v>31</v>
      </c>
      <c r="N195" t="s">
        <v>11</v>
      </c>
      <c r="O195" t="s">
        <v>11</v>
      </c>
      <c r="P195" t="s">
        <v>11</v>
      </c>
      <c r="Q195" t="s">
        <v>34</v>
      </c>
      <c r="S195">
        <v>1.35</v>
      </c>
      <c r="T195">
        <v>1.1499999999999999</v>
      </c>
      <c r="AB195">
        <v>1.125</v>
      </c>
      <c r="AD195">
        <v>0.22500000000000001</v>
      </c>
      <c r="AE195">
        <v>1.35</v>
      </c>
      <c r="AF195">
        <v>0.27</v>
      </c>
      <c r="AG195">
        <v>2.125</v>
      </c>
      <c r="AH195">
        <v>1.1499999999999999</v>
      </c>
      <c r="AI195">
        <f t="shared" si="30"/>
        <v>1.125</v>
      </c>
      <c r="AJ195">
        <f t="shared" si="31"/>
        <v>0</v>
      </c>
      <c r="AK195">
        <f t="shared" si="32"/>
        <v>0.22500000000000001</v>
      </c>
      <c r="AL195">
        <f t="shared" si="33"/>
        <v>1.35</v>
      </c>
      <c r="AM195">
        <f t="shared" si="34"/>
        <v>0.27</v>
      </c>
      <c r="AN195">
        <f t="shared" si="35"/>
        <v>2.125</v>
      </c>
      <c r="AO195">
        <f t="shared" si="36"/>
        <v>1.1499999999999999</v>
      </c>
      <c r="AQ195" t="str">
        <f t="shared" si="37"/>
        <v>52_1_2</v>
      </c>
      <c r="AR195">
        <f t="shared" si="38"/>
        <v>1.125</v>
      </c>
      <c r="AS195">
        <f t="shared" si="39"/>
        <v>1.125</v>
      </c>
      <c r="AT195">
        <f t="shared" si="40"/>
        <v>2.125</v>
      </c>
      <c r="AU195">
        <f t="shared" si="41"/>
        <v>2.125</v>
      </c>
      <c r="AV195">
        <f t="shared" si="42"/>
        <v>1.1499999999999999</v>
      </c>
    </row>
    <row r="196" spans="1:48">
      <c r="A196">
        <v>52</v>
      </c>
      <c r="B196">
        <v>2</v>
      </c>
      <c r="C196">
        <v>1</v>
      </c>
      <c r="D196" t="str">
        <f t="shared" si="29"/>
        <v>52_2_1</v>
      </c>
      <c r="E196">
        <v>0</v>
      </c>
      <c r="F196">
        <v>0.625</v>
      </c>
      <c r="G196">
        <v>0</v>
      </c>
      <c r="H196">
        <v>1.125</v>
      </c>
      <c r="I196">
        <v>0.25</v>
      </c>
      <c r="J196">
        <v>0.74250000000000005</v>
      </c>
      <c r="K196">
        <v>0.63249999999999995</v>
      </c>
      <c r="L196">
        <v>2</v>
      </c>
      <c r="M196" t="s">
        <v>31</v>
      </c>
      <c r="N196" t="s">
        <v>36</v>
      </c>
      <c r="O196" t="s">
        <v>36</v>
      </c>
      <c r="P196" t="s">
        <v>33</v>
      </c>
      <c r="Q196">
        <v>60</v>
      </c>
      <c r="S196">
        <v>0.74250000000000005</v>
      </c>
      <c r="T196">
        <v>0.63249999999999995</v>
      </c>
      <c r="U196">
        <v>0</v>
      </c>
      <c r="V196">
        <v>0</v>
      </c>
      <c r="W196">
        <v>0</v>
      </c>
      <c r="X196">
        <v>0.14850000000000002</v>
      </c>
      <c r="Y196">
        <v>0.14850000000000002</v>
      </c>
      <c r="Z196">
        <v>0</v>
      </c>
      <c r="AA196">
        <v>0.63249999999999995</v>
      </c>
      <c r="AI196">
        <f t="shared" si="30"/>
        <v>0</v>
      </c>
      <c r="AJ196">
        <f t="shared" si="31"/>
        <v>0</v>
      </c>
      <c r="AK196">
        <f t="shared" si="32"/>
        <v>0</v>
      </c>
      <c r="AL196">
        <f t="shared" si="33"/>
        <v>0.14850000000000002</v>
      </c>
      <c r="AM196">
        <f t="shared" si="34"/>
        <v>0.14850000000000002</v>
      </c>
      <c r="AN196">
        <f t="shared" si="35"/>
        <v>0</v>
      </c>
      <c r="AO196">
        <f t="shared" si="36"/>
        <v>0.63249999999999995</v>
      </c>
      <c r="AQ196" t="str">
        <f t="shared" si="37"/>
        <v>52_2_1</v>
      </c>
      <c r="AR196">
        <f t="shared" si="38"/>
        <v>0.625</v>
      </c>
      <c r="AS196">
        <f t="shared" si="39"/>
        <v>0</v>
      </c>
      <c r="AT196">
        <f t="shared" si="40"/>
        <v>0</v>
      </c>
      <c r="AU196">
        <f t="shared" si="41"/>
        <v>0</v>
      </c>
      <c r="AV196">
        <f t="shared" si="42"/>
        <v>0.63249999999999995</v>
      </c>
    </row>
    <row r="197" spans="1:48">
      <c r="A197">
        <v>52</v>
      </c>
      <c r="B197">
        <v>2</v>
      </c>
      <c r="C197">
        <v>2</v>
      </c>
      <c r="D197" t="str">
        <f t="shared" ref="D197:D260" si="43">A197&amp;IF(B197="","","_")&amp;B197&amp;IF(C197="","","_")&amp;C197</f>
        <v>52_2_2</v>
      </c>
      <c r="E197">
        <v>0</v>
      </c>
      <c r="F197">
        <v>0.625</v>
      </c>
      <c r="G197">
        <v>0</v>
      </c>
      <c r="H197">
        <v>1.125</v>
      </c>
      <c r="I197">
        <v>0.25</v>
      </c>
      <c r="J197">
        <v>0.74250000000000005</v>
      </c>
      <c r="K197">
        <v>0.63249999999999995</v>
      </c>
      <c r="L197">
        <v>2</v>
      </c>
      <c r="M197" t="s">
        <v>31</v>
      </c>
      <c r="N197" t="s">
        <v>11</v>
      </c>
      <c r="O197" t="s">
        <v>11</v>
      </c>
      <c r="P197" t="s">
        <v>11</v>
      </c>
      <c r="Q197" t="s">
        <v>34</v>
      </c>
      <c r="S197">
        <v>0.74250000000000005</v>
      </c>
      <c r="T197">
        <v>0.63249999999999995</v>
      </c>
      <c r="AB197">
        <v>0.625</v>
      </c>
      <c r="AD197">
        <v>0.125</v>
      </c>
      <c r="AE197">
        <v>0.74250000000000005</v>
      </c>
      <c r="AF197">
        <v>0.14850000000000002</v>
      </c>
      <c r="AG197">
        <v>0</v>
      </c>
      <c r="AH197">
        <v>0.63249999999999995</v>
      </c>
      <c r="AI197">
        <f t="shared" ref="AI197:AI260" si="44">U197+AB197</f>
        <v>0.625</v>
      </c>
      <c r="AJ197">
        <f t="shared" ref="AJ197:AJ260" si="45">V197+AC197</f>
        <v>0</v>
      </c>
      <c r="AK197">
        <f t="shared" ref="AK197:AK260" si="46">W197+AD197</f>
        <v>0.125</v>
      </c>
      <c r="AL197">
        <f t="shared" ref="AL197:AL260" si="47">X197+AE197</f>
        <v>0.74250000000000005</v>
      </c>
      <c r="AM197">
        <f t="shared" ref="AM197:AM260" si="48">Y197+AF197</f>
        <v>0.14850000000000002</v>
      </c>
      <c r="AN197">
        <f t="shared" ref="AN197:AN260" si="49">Z197+AG197</f>
        <v>0</v>
      </c>
      <c r="AO197">
        <f t="shared" ref="AO197:AO260" si="50">AA197+AH197</f>
        <v>0.63249999999999995</v>
      </c>
      <c r="AQ197" t="str">
        <f t="shared" ref="AQ197:AQ260" si="51">D197</f>
        <v>52_2_2</v>
      </c>
      <c r="AR197">
        <f t="shared" ref="AR197:AR260" si="52">F197</f>
        <v>0.625</v>
      </c>
      <c r="AS197">
        <f t="shared" ref="AS197:AS260" si="53">AI197</f>
        <v>0.625</v>
      </c>
      <c r="AT197">
        <f t="shared" ref="AT197:AT260" si="54">G197</f>
        <v>0</v>
      </c>
      <c r="AU197">
        <f t="shared" ref="AU197:AU260" si="55">AN197</f>
        <v>0</v>
      </c>
      <c r="AV197">
        <f t="shared" ref="AV197:AV260" si="56">AO197</f>
        <v>0.63249999999999995</v>
      </c>
    </row>
    <row r="198" spans="1:48">
      <c r="A198">
        <v>53</v>
      </c>
      <c r="B198" t="s">
        <v>10</v>
      </c>
      <c r="C198" t="s">
        <v>10</v>
      </c>
      <c r="D198" t="str">
        <f t="shared" si="43"/>
        <v>53</v>
      </c>
      <c r="E198" t="s">
        <v>10</v>
      </c>
      <c r="F198" t="s">
        <v>10</v>
      </c>
      <c r="G198" t="s">
        <v>10</v>
      </c>
      <c r="H198" t="s">
        <v>10</v>
      </c>
      <c r="I198" t="s">
        <v>10</v>
      </c>
      <c r="L198">
        <v>0</v>
      </c>
      <c r="M198" t="s">
        <v>11</v>
      </c>
      <c r="Q198">
        <v>36</v>
      </c>
      <c r="R198" t="s">
        <v>35</v>
      </c>
      <c r="AI198">
        <f t="shared" si="44"/>
        <v>0</v>
      </c>
      <c r="AJ198">
        <f t="shared" si="45"/>
        <v>0</v>
      </c>
      <c r="AK198">
        <f t="shared" si="46"/>
        <v>0</v>
      </c>
      <c r="AL198">
        <f t="shared" si="47"/>
        <v>0</v>
      </c>
      <c r="AM198">
        <f t="shared" si="48"/>
        <v>0</v>
      </c>
      <c r="AN198">
        <f t="shared" si="49"/>
        <v>0</v>
      </c>
      <c r="AO198">
        <f t="shared" si="50"/>
        <v>0</v>
      </c>
      <c r="AQ198" t="str">
        <f t="shared" si="51"/>
        <v>53</v>
      </c>
      <c r="AR198" t="str">
        <f t="shared" si="52"/>
        <v/>
      </c>
      <c r="AS198">
        <f t="shared" si="53"/>
        <v>0</v>
      </c>
      <c r="AT198" t="str">
        <f t="shared" si="54"/>
        <v/>
      </c>
      <c r="AU198">
        <f t="shared" si="55"/>
        <v>0</v>
      </c>
      <c r="AV198">
        <f t="shared" si="56"/>
        <v>0</v>
      </c>
    </row>
    <row r="199" spans="1:48">
      <c r="A199">
        <v>53</v>
      </c>
      <c r="B199">
        <v>1</v>
      </c>
      <c r="C199" t="s">
        <v>10</v>
      </c>
      <c r="D199" t="str">
        <f t="shared" si="43"/>
        <v>53_1</v>
      </c>
      <c r="E199">
        <v>0</v>
      </c>
      <c r="F199">
        <v>3.5</v>
      </c>
      <c r="G199">
        <v>6.5</v>
      </c>
      <c r="H199">
        <v>6.5</v>
      </c>
      <c r="I199">
        <v>1.125</v>
      </c>
      <c r="J199">
        <v>4.1175000000000006</v>
      </c>
      <c r="K199">
        <v>3.5074999999999998</v>
      </c>
      <c r="L199">
        <v>17.625</v>
      </c>
      <c r="M199" t="s">
        <v>31</v>
      </c>
      <c r="N199" t="s">
        <v>33</v>
      </c>
      <c r="O199" t="s">
        <v>43</v>
      </c>
      <c r="P199" t="s">
        <v>33</v>
      </c>
      <c r="Q199">
        <v>36</v>
      </c>
      <c r="S199">
        <v>4.1175000000000006</v>
      </c>
      <c r="T199">
        <v>3.5074999999999998</v>
      </c>
      <c r="U199">
        <v>0.70000000000000007</v>
      </c>
      <c r="V199">
        <v>0</v>
      </c>
      <c r="W199">
        <v>0.70000000000000007</v>
      </c>
      <c r="X199">
        <v>0.82350000000000012</v>
      </c>
      <c r="Y199">
        <v>0.82350000000000012</v>
      </c>
      <c r="Z199">
        <v>6.5</v>
      </c>
      <c r="AA199">
        <v>3.5074999999999998</v>
      </c>
      <c r="AI199">
        <f t="shared" si="44"/>
        <v>0.70000000000000007</v>
      </c>
      <c r="AJ199">
        <f t="shared" si="45"/>
        <v>0</v>
      </c>
      <c r="AK199">
        <f t="shared" si="46"/>
        <v>0.70000000000000007</v>
      </c>
      <c r="AL199">
        <f t="shared" si="47"/>
        <v>0.82350000000000012</v>
      </c>
      <c r="AM199">
        <f t="shared" si="48"/>
        <v>0.82350000000000012</v>
      </c>
      <c r="AN199">
        <f t="shared" si="49"/>
        <v>6.5</v>
      </c>
      <c r="AO199">
        <f t="shared" si="50"/>
        <v>3.5074999999999998</v>
      </c>
      <c r="AQ199" t="str">
        <f t="shared" si="51"/>
        <v>53_1</v>
      </c>
      <c r="AR199">
        <f t="shared" si="52"/>
        <v>3.5</v>
      </c>
      <c r="AS199">
        <f t="shared" si="53"/>
        <v>0.70000000000000007</v>
      </c>
      <c r="AT199">
        <f t="shared" si="54"/>
        <v>6.5</v>
      </c>
      <c r="AU199">
        <f t="shared" si="55"/>
        <v>6.5</v>
      </c>
      <c r="AV199">
        <f t="shared" si="56"/>
        <v>3.5074999999999998</v>
      </c>
    </row>
    <row r="200" spans="1:48">
      <c r="A200">
        <v>54</v>
      </c>
      <c r="B200" t="s">
        <v>10</v>
      </c>
      <c r="C200" t="s">
        <v>10</v>
      </c>
      <c r="D200" t="str">
        <f t="shared" si="43"/>
        <v>54</v>
      </c>
      <c r="E200" t="s">
        <v>10</v>
      </c>
      <c r="F200" t="s">
        <v>10</v>
      </c>
      <c r="G200" t="s">
        <v>10</v>
      </c>
      <c r="H200" t="s">
        <v>10</v>
      </c>
      <c r="I200" t="s">
        <v>10</v>
      </c>
      <c r="L200">
        <v>0</v>
      </c>
      <c r="M200" t="s">
        <v>11</v>
      </c>
      <c r="Q200">
        <v>46</v>
      </c>
      <c r="R200" t="s">
        <v>35</v>
      </c>
      <c r="AI200">
        <f t="shared" si="44"/>
        <v>0</v>
      </c>
      <c r="AJ200">
        <f t="shared" si="45"/>
        <v>0</v>
      </c>
      <c r="AK200">
        <f t="shared" si="46"/>
        <v>0</v>
      </c>
      <c r="AL200">
        <f t="shared" si="47"/>
        <v>0</v>
      </c>
      <c r="AM200">
        <f t="shared" si="48"/>
        <v>0</v>
      </c>
      <c r="AN200">
        <f t="shared" si="49"/>
        <v>0</v>
      </c>
      <c r="AO200">
        <f t="shared" si="50"/>
        <v>0</v>
      </c>
      <c r="AQ200" t="str">
        <f t="shared" si="51"/>
        <v>54</v>
      </c>
      <c r="AR200" t="str">
        <f t="shared" si="52"/>
        <v/>
      </c>
      <c r="AS200">
        <f t="shared" si="53"/>
        <v>0</v>
      </c>
      <c r="AT200" t="str">
        <f t="shared" si="54"/>
        <v/>
      </c>
      <c r="AU200">
        <f t="shared" si="55"/>
        <v>0</v>
      </c>
      <c r="AV200">
        <f t="shared" si="56"/>
        <v>0</v>
      </c>
    </row>
    <row r="201" spans="1:48">
      <c r="A201">
        <v>54</v>
      </c>
      <c r="B201">
        <v>1</v>
      </c>
      <c r="C201" t="s">
        <v>10</v>
      </c>
      <c r="D201" t="str">
        <f t="shared" si="43"/>
        <v>54_1</v>
      </c>
      <c r="E201">
        <v>0</v>
      </c>
      <c r="F201">
        <v>3.5</v>
      </c>
      <c r="G201">
        <v>6.5</v>
      </c>
      <c r="H201">
        <v>6.5</v>
      </c>
      <c r="I201">
        <v>1.125</v>
      </c>
      <c r="J201">
        <v>4.1175000000000006</v>
      </c>
      <c r="K201">
        <v>3.5074999999999998</v>
      </c>
      <c r="L201">
        <v>17.625</v>
      </c>
      <c r="M201" t="s">
        <v>31</v>
      </c>
      <c r="N201" t="s">
        <v>32</v>
      </c>
      <c r="O201" t="s">
        <v>43</v>
      </c>
      <c r="P201" t="s">
        <v>43</v>
      </c>
      <c r="Q201">
        <v>46</v>
      </c>
      <c r="S201">
        <v>4.1175000000000006</v>
      </c>
      <c r="T201">
        <v>3.5074999999999998</v>
      </c>
      <c r="U201">
        <v>0</v>
      </c>
      <c r="V201">
        <v>0</v>
      </c>
      <c r="W201">
        <v>0</v>
      </c>
      <c r="X201">
        <v>4.1175000000000006</v>
      </c>
      <c r="Y201">
        <v>0.82350000000000012</v>
      </c>
      <c r="Z201">
        <v>6.5</v>
      </c>
      <c r="AA201">
        <v>3.5074999999999998</v>
      </c>
      <c r="AI201">
        <f t="shared" si="44"/>
        <v>0</v>
      </c>
      <c r="AJ201">
        <f t="shared" si="45"/>
        <v>0</v>
      </c>
      <c r="AK201">
        <f t="shared" si="46"/>
        <v>0</v>
      </c>
      <c r="AL201">
        <f t="shared" si="47"/>
        <v>4.1175000000000006</v>
      </c>
      <c r="AM201">
        <f t="shared" si="48"/>
        <v>0.82350000000000012</v>
      </c>
      <c r="AN201">
        <f t="shared" si="49"/>
        <v>6.5</v>
      </c>
      <c r="AO201">
        <f t="shared" si="50"/>
        <v>3.5074999999999998</v>
      </c>
      <c r="AQ201" t="str">
        <f t="shared" si="51"/>
        <v>54_1</v>
      </c>
      <c r="AR201">
        <f t="shared" si="52"/>
        <v>3.5</v>
      </c>
      <c r="AS201">
        <f t="shared" si="53"/>
        <v>0</v>
      </c>
      <c r="AT201">
        <f t="shared" si="54"/>
        <v>6.5</v>
      </c>
      <c r="AU201">
        <f t="shared" si="55"/>
        <v>6.5</v>
      </c>
      <c r="AV201">
        <f t="shared" si="56"/>
        <v>3.5074999999999998</v>
      </c>
    </row>
    <row r="202" spans="1:48">
      <c r="A202">
        <v>54</v>
      </c>
      <c r="B202">
        <v>2</v>
      </c>
      <c r="D202" t="str">
        <f t="shared" si="43"/>
        <v>54_2</v>
      </c>
      <c r="E202">
        <v>0</v>
      </c>
      <c r="F202">
        <v>1.875</v>
      </c>
      <c r="G202">
        <v>3.375</v>
      </c>
      <c r="H202">
        <v>3.375</v>
      </c>
      <c r="I202">
        <v>0.625</v>
      </c>
      <c r="J202">
        <v>2.16</v>
      </c>
      <c r="K202">
        <v>1.8399999999999999</v>
      </c>
      <c r="L202">
        <v>9.25</v>
      </c>
      <c r="M202" t="s">
        <v>31</v>
      </c>
      <c r="N202" t="s">
        <v>32</v>
      </c>
      <c r="O202" t="s">
        <v>43</v>
      </c>
      <c r="P202" t="s">
        <v>32</v>
      </c>
      <c r="Q202">
        <v>46</v>
      </c>
      <c r="S202">
        <v>2.16</v>
      </c>
      <c r="T202">
        <v>1.8399999999999999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3.375</v>
      </c>
      <c r="AA202">
        <v>1.8399999999999999</v>
      </c>
      <c r="AI202">
        <f t="shared" si="44"/>
        <v>0</v>
      </c>
      <c r="AJ202">
        <f t="shared" si="45"/>
        <v>0</v>
      </c>
      <c r="AK202">
        <f t="shared" si="46"/>
        <v>0</v>
      </c>
      <c r="AL202">
        <f t="shared" si="47"/>
        <v>0</v>
      </c>
      <c r="AM202">
        <f t="shared" si="48"/>
        <v>0</v>
      </c>
      <c r="AN202">
        <f t="shared" si="49"/>
        <v>3.375</v>
      </c>
      <c r="AO202">
        <f t="shared" si="50"/>
        <v>1.8399999999999999</v>
      </c>
      <c r="AQ202" t="str">
        <f t="shared" si="51"/>
        <v>54_2</v>
      </c>
      <c r="AR202">
        <f t="shared" si="52"/>
        <v>1.875</v>
      </c>
      <c r="AS202">
        <f t="shared" si="53"/>
        <v>0</v>
      </c>
      <c r="AT202">
        <f t="shared" si="54"/>
        <v>3.375</v>
      </c>
      <c r="AU202">
        <f t="shared" si="55"/>
        <v>3.375</v>
      </c>
      <c r="AV202">
        <f t="shared" si="56"/>
        <v>1.8399999999999999</v>
      </c>
    </row>
    <row r="203" spans="1:48">
      <c r="A203">
        <v>55</v>
      </c>
      <c r="B203" t="s">
        <v>10</v>
      </c>
      <c r="C203" t="s">
        <v>10</v>
      </c>
      <c r="D203" t="str">
        <f t="shared" si="43"/>
        <v>55</v>
      </c>
      <c r="E203" t="s">
        <v>10</v>
      </c>
      <c r="F203" t="s">
        <v>10</v>
      </c>
      <c r="G203" t="s">
        <v>10</v>
      </c>
      <c r="H203" t="s">
        <v>10</v>
      </c>
      <c r="I203" t="s">
        <v>10</v>
      </c>
      <c r="L203">
        <v>0</v>
      </c>
      <c r="M203" t="s">
        <v>11</v>
      </c>
      <c r="Q203">
        <v>56</v>
      </c>
      <c r="R203" t="s">
        <v>35</v>
      </c>
      <c r="AI203">
        <f t="shared" si="44"/>
        <v>0</v>
      </c>
      <c r="AJ203">
        <f t="shared" si="45"/>
        <v>0</v>
      </c>
      <c r="AK203">
        <f t="shared" si="46"/>
        <v>0</v>
      </c>
      <c r="AL203">
        <f t="shared" si="47"/>
        <v>0</v>
      </c>
      <c r="AM203">
        <f t="shared" si="48"/>
        <v>0</v>
      </c>
      <c r="AN203">
        <f t="shared" si="49"/>
        <v>0</v>
      </c>
      <c r="AO203">
        <f t="shared" si="50"/>
        <v>0</v>
      </c>
      <c r="AQ203" t="str">
        <f t="shared" si="51"/>
        <v>55</v>
      </c>
      <c r="AR203" t="str">
        <f t="shared" si="52"/>
        <v/>
      </c>
      <c r="AS203">
        <f t="shared" si="53"/>
        <v>0</v>
      </c>
      <c r="AT203" t="str">
        <f t="shared" si="54"/>
        <v/>
      </c>
      <c r="AU203">
        <f t="shared" si="55"/>
        <v>0</v>
      </c>
      <c r="AV203">
        <f t="shared" si="56"/>
        <v>0</v>
      </c>
    </row>
    <row r="204" spans="1:48">
      <c r="A204">
        <v>55</v>
      </c>
      <c r="B204">
        <v>1</v>
      </c>
      <c r="C204" t="s">
        <v>10</v>
      </c>
      <c r="D204" t="str">
        <f t="shared" si="43"/>
        <v>55_1</v>
      </c>
      <c r="E204">
        <v>0</v>
      </c>
      <c r="F204">
        <v>0.625</v>
      </c>
      <c r="G204">
        <v>1.125</v>
      </c>
      <c r="H204">
        <v>1.125</v>
      </c>
      <c r="I204">
        <v>0.25</v>
      </c>
      <c r="J204">
        <v>0.74250000000000005</v>
      </c>
      <c r="K204">
        <v>0.63249999999999995</v>
      </c>
      <c r="L204">
        <v>3.125</v>
      </c>
      <c r="M204" t="s">
        <v>31</v>
      </c>
      <c r="N204" t="s">
        <v>33</v>
      </c>
      <c r="O204" t="s">
        <v>43</v>
      </c>
      <c r="P204" t="s">
        <v>43</v>
      </c>
      <c r="Q204">
        <v>56</v>
      </c>
      <c r="S204">
        <v>0.74250000000000005</v>
      </c>
      <c r="T204">
        <v>0.63249999999999995</v>
      </c>
      <c r="U204">
        <v>0.125</v>
      </c>
      <c r="V204">
        <v>0</v>
      </c>
      <c r="W204">
        <v>0.125</v>
      </c>
      <c r="X204">
        <v>0.74250000000000005</v>
      </c>
      <c r="Y204">
        <v>0.14850000000000002</v>
      </c>
      <c r="Z204">
        <v>1.125</v>
      </c>
      <c r="AA204">
        <v>0.63249999999999995</v>
      </c>
      <c r="AI204">
        <f t="shared" si="44"/>
        <v>0.125</v>
      </c>
      <c r="AJ204">
        <f t="shared" si="45"/>
        <v>0</v>
      </c>
      <c r="AK204">
        <f t="shared" si="46"/>
        <v>0.125</v>
      </c>
      <c r="AL204">
        <f t="shared" si="47"/>
        <v>0.74250000000000005</v>
      </c>
      <c r="AM204">
        <f t="shared" si="48"/>
        <v>0.14850000000000002</v>
      </c>
      <c r="AN204">
        <f t="shared" si="49"/>
        <v>1.125</v>
      </c>
      <c r="AO204">
        <f t="shared" si="50"/>
        <v>0.63249999999999995</v>
      </c>
      <c r="AQ204" t="str">
        <f t="shared" si="51"/>
        <v>55_1</v>
      </c>
      <c r="AR204">
        <f t="shared" si="52"/>
        <v>0.625</v>
      </c>
      <c r="AS204">
        <f t="shared" si="53"/>
        <v>0.125</v>
      </c>
      <c r="AT204">
        <f t="shared" si="54"/>
        <v>1.125</v>
      </c>
      <c r="AU204">
        <f t="shared" si="55"/>
        <v>1.125</v>
      </c>
      <c r="AV204">
        <f t="shared" si="56"/>
        <v>0.63249999999999995</v>
      </c>
    </row>
    <row r="205" spans="1:48">
      <c r="A205">
        <v>56</v>
      </c>
      <c r="B205" t="s">
        <v>10</v>
      </c>
      <c r="C205" t="s">
        <v>10</v>
      </c>
      <c r="D205" t="str">
        <f t="shared" si="43"/>
        <v>56</v>
      </c>
      <c r="E205" t="s">
        <v>10</v>
      </c>
      <c r="F205" t="s">
        <v>10</v>
      </c>
      <c r="G205" t="s">
        <v>10</v>
      </c>
      <c r="H205" t="s">
        <v>10</v>
      </c>
      <c r="I205" t="s">
        <v>10</v>
      </c>
      <c r="L205">
        <v>0</v>
      </c>
      <c r="M205" t="s">
        <v>11</v>
      </c>
      <c r="Q205">
        <v>71</v>
      </c>
      <c r="R205" t="s">
        <v>35</v>
      </c>
      <c r="AI205">
        <f t="shared" si="44"/>
        <v>0</v>
      </c>
      <c r="AJ205">
        <f t="shared" si="45"/>
        <v>0</v>
      </c>
      <c r="AK205">
        <f t="shared" si="46"/>
        <v>0</v>
      </c>
      <c r="AL205">
        <f t="shared" si="47"/>
        <v>0</v>
      </c>
      <c r="AM205">
        <f t="shared" si="48"/>
        <v>0</v>
      </c>
      <c r="AN205">
        <f t="shared" si="49"/>
        <v>0</v>
      </c>
      <c r="AO205">
        <f t="shared" si="50"/>
        <v>0</v>
      </c>
      <c r="AQ205" t="str">
        <f t="shared" si="51"/>
        <v>56</v>
      </c>
      <c r="AR205" t="str">
        <f t="shared" si="52"/>
        <v/>
      </c>
      <c r="AS205">
        <f t="shared" si="53"/>
        <v>0</v>
      </c>
      <c r="AT205" t="str">
        <f t="shared" si="54"/>
        <v/>
      </c>
      <c r="AU205">
        <f t="shared" si="55"/>
        <v>0</v>
      </c>
      <c r="AV205">
        <f t="shared" si="56"/>
        <v>0</v>
      </c>
    </row>
    <row r="206" spans="1:48">
      <c r="A206">
        <v>56</v>
      </c>
      <c r="B206">
        <v>1</v>
      </c>
      <c r="C206" t="s">
        <v>10</v>
      </c>
      <c r="D206" t="str">
        <f t="shared" si="43"/>
        <v>56_1</v>
      </c>
      <c r="E206">
        <v>0</v>
      </c>
      <c r="F206">
        <v>1.875</v>
      </c>
      <c r="G206">
        <v>3.375</v>
      </c>
      <c r="H206">
        <v>3.375</v>
      </c>
      <c r="I206">
        <v>0.625</v>
      </c>
      <c r="J206">
        <v>2.16</v>
      </c>
      <c r="K206">
        <v>1.8399999999999999</v>
      </c>
      <c r="L206">
        <v>9.25</v>
      </c>
      <c r="M206" t="s">
        <v>31</v>
      </c>
      <c r="N206" t="s">
        <v>33</v>
      </c>
      <c r="O206" t="s">
        <v>43</v>
      </c>
      <c r="P206" t="s">
        <v>43</v>
      </c>
      <c r="Q206">
        <v>71</v>
      </c>
      <c r="S206">
        <v>2.16</v>
      </c>
      <c r="T206">
        <v>1.8399999999999999</v>
      </c>
      <c r="U206">
        <v>0.375</v>
      </c>
      <c r="V206">
        <v>0</v>
      </c>
      <c r="W206">
        <v>0.375</v>
      </c>
      <c r="X206">
        <v>2.16</v>
      </c>
      <c r="Y206">
        <v>0.43200000000000005</v>
      </c>
      <c r="Z206">
        <v>3.375</v>
      </c>
      <c r="AA206">
        <v>1.8399999999999999</v>
      </c>
      <c r="AI206">
        <f t="shared" si="44"/>
        <v>0.375</v>
      </c>
      <c r="AJ206">
        <f t="shared" si="45"/>
        <v>0</v>
      </c>
      <c r="AK206">
        <f t="shared" si="46"/>
        <v>0.375</v>
      </c>
      <c r="AL206">
        <f t="shared" si="47"/>
        <v>2.16</v>
      </c>
      <c r="AM206">
        <f t="shared" si="48"/>
        <v>0.43200000000000005</v>
      </c>
      <c r="AN206">
        <f t="shared" si="49"/>
        <v>3.375</v>
      </c>
      <c r="AO206">
        <f t="shared" si="50"/>
        <v>1.8399999999999999</v>
      </c>
      <c r="AQ206" t="str">
        <f t="shared" si="51"/>
        <v>56_1</v>
      </c>
      <c r="AR206">
        <f t="shared" si="52"/>
        <v>1.875</v>
      </c>
      <c r="AS206">
        <f t="shared" si="53"/>
        <v>0.375</v>
      </c>
      <c r="AT206">
        <f t="shared" si="54"/>
        <v>3.375</v>
      </c>
      <c r="AU206">
        <f t="shared" si="55"/>
        <v>3.375</v>
      </c>
      <c r="AV206">
        <f t="shared" si="56"/>
        <v>1.8399999999999999</v>
      </c>
    </row>
    <row r="207" spans="1:48">
      <c r="A207">
        <v>56</v>
      </c>
      <c r="B207">
        <v>2</v>
      </c>
      <c r="D207" t="str">
        <f t="shared" si="43"/>
        <v>56_2</v>
      </c>
      <c r="E207">
        <v>0</v>
      </c>
      <c r="F207">
        <v>1.25</v>
      </c>
      <c r="G207">
        <v>2.25</v>
      </c>
      <c r="H207">
        <v>2.25</v>
      </c>
      <c r="I207">
        <v>0.375</v>
      </c>
      <c r="J207">
        <v>1.4175</v>
      </c>
      <c r="K207">
        <v>1.2075</v>
      </c>
      <c r="L207">
        <v>6.125</v>
      </c>
      <c r="M207" t="s">
        <v>31</v>
      </c>
      <c r="N207" t="s">
        <v>32</v>
      </c>
      <c r="O207" t="s">
        <v>32</v>
      </c>
      <c r="P207" t="s">
        <v>33</v>
      </c>
      <c r="Q207">
        <v>71</v>
      </c>
      <c r="S207">
        <v>1.4175</v>
      </c>
      <c r="T207">
        <v>1.2075</v>
      </c>
      <c r="U207">
        <v>0</v>
      </c>
      <c r="V207">
        <v>0</v>
      </c>
      <c r="W207">
        <v>0</v>
      </c>
      <c r="X207">
        <v>0.28350000000000003</v>
      </c>
      <c r="Y207">
        <v>0.28350000000000003</v>
      </c>
      <c r="Z207">
        <v>0</v>
      </c>
      <c r="AA207">
        <v>1.2075</v>
      </c>
      <c r="AI207">
        <f t="shared" si="44"/>
        <v>0</v>
      </c>
      <c r="AJ207">
        <f t="shared" si="45"/>
        <v>0</v>
      </c>
      <c r="AK207">
        <f t="shared" si="46"/>
        <v>0</v>
      </c>
      <c r="AL207">
        <f t="shared" si="47"/>
        <v>0.28350000000000003</v>
      </c>
      <c r="AM207">
        <f t="shared" si="48"/>
        <v>0.28350000000000003</v>
      </c>
      <c r="AN207">
        <f t="shared" si="49"/>
        <v>0</v>
      </c>
      <c r="AO207">
        <f t="shared" si="50"/>
        <v>1.2075</v>
      </c>
      <c r="AQ207" t="str">
        <f t="shared" si="51"/>
        <v>56_2</v>
      </c>
      <c r="AR207">
        <f t="shared" si="52"/>
        <v>1.25</v>
      </c>
      <c r="AS207">
        <f t="shared" si="53"/>
        <v>0</v>
      </c>
      <c r="AT207">
        <f t="shared" si="54"/>
        <v>2.25</v>
      </c>
      <c r="AU207">
        <f t="shared" si="55"/>
        <v>0</v>
      </c>
      <c r="AV207">
        <f t="shared" si="56"/>
        <v>1.2075</v>
      </c>
    </row>
    <row r="208" spans="1:48">
      <c r="A208">
        <v>57</v>
      </c>
      <c r="B208" t="s">
        <v>10</v>
      </c>
      <c r="C208" t="s">
        <v>10</v>
      </c>
      <c r="D208" t="str">
        <f t="shared" si="43"/>
        <v>57</v>
      </c>
      <c r="E208" t="s">
        <v>10</v>
      </c>
      <c r="F208" t="s">
        <v>10</v>
      </c>
      <c r="G208" t="s">
        <v>10</v>
      </c>
      <c r="H208" t="s">
        <v>10</v>
      </c>
      <c r="I208" t="s">
        <v>10</v>
      </c>
      <c r="L208">
        <v>0</v>
      </c>
      <c r="M208" t="s">
        <v>11</v>
      </c>
      <c r="Q208">
        <v>43</v>
      </c>
      <c r="R208" t="s">
        <v>30</v>
      </c>
      <c r="AI208">
        <f t="shared" si="44"/>
        <v>0</v>
      </c>
      <c r="AJ208">
        <f t="shared" si="45"/>
        <v>0</v>
      </c>
      <c r="AK208">
        <f t="shared" si="46"/>
        <v>0</v>
      </c>
      <c r="AL208">
        <f t="shared" si="47"/>
        <v>0</v>
      </c>
      <c r="AM208">
        <f t="shared" si="48"/>
        <v>0</v>
      </c>
      <c r="AN208">
        <f t="shared" si="49"/>
        <v>0</v>
      </c>
      <c r="AO208">
        <f t="shared" si="50"/>
        <v>0</v>
      </c>
      <c r="AQ208" t="str">
        <f t="shared" si="51"/>
        <v>57</v>
      </c>
      <c r="AR208" t="str">
        <f t="shared" si="52"/>
        <v/>
      </c>
      <c r="AS208">
        <f t="shared" si="53"/>
        <v>0</v>
      </c>
      <c r="AT208" t="str">
        <f t="shared" si="54"/>
        <v/>
      </c>
      <c r="AU208">
        <f t="shared" si="55"/>
        <v>0</v>
      </c>
      <c r="AV208">
        <f t="shared" si="56"/>
        <v>0</v>
      </c>
    </row>
    <row r="209" spans="1:48">
      <c r="A209">
        <v>57</v>
      </c>
      <c r="B209">
        <v>1</v>
      </c>
      <c r="C209">
        <v>1</v>
      </c>
      <c r="D209" t="str">
        <f t="shared" si="43"/>
        <v>57_1_1</v>
      </c>
      <c r="E209">
        <v>0</v>
      </c>
      <c r="F209">
        <v>3.5</v>
      </c>
      <c r="G209">
        <v>6.5</v>
      </c>
      <c r="H209">
        <v>6.5</v>
      </c>
      <c r="I209">
        <v>1.125</v>
      </c>
      <c r="J209">
        <v>4.1175000000000006</v>
      </c>
      <c r="K209">
        <v>3.5074999999999998</v>
      </c>
      <c r="L209">
        <v>17.625</v>
      </c>
      <c r="M209" t="s">
        <v>31</v>
      </c>
      <c r="N209" t="s">
        <v>33</v>
      </c>
      <c r="O209" t="s">
        <v>43</v>
      </c>
      <c r="P209" t="s">
        <v>37</v>
      </c>
      <c r="Q209">
        <v>43</v>
      </c>
      <c r="S209">
        <v>4.1175000000000006</v>
      </c>
      <c r="T209">
        <v>3.5074999999999998</v>
      </c>
      <c r="U209">
        <v>0.70000000000000007</v>
      </c>
      <c r="V209">
        <v>0</v>
      </c>
      <c r="W209">
        <v>0.70000000000000007</v>
      </c>
      <c r="X209">
        <v>4.1175000000000006</v>
      </c>
      <c r="Y209">
        <v>0.82350000000000012</v>
      </c>
      <c r="Z209">
        <v>6.5</v>
      </c>
      <c r="AA209">
        <v>3.5074999999999998</v>
      </c>
      <c r="AI209">
        <f t="shared" si="44"/>
        <v>0.70000000000000007</v>
      </c>
      <c r="AJ209">
        <f t="shared" si="45"/>
        <v>0</v>
      </c>
      <c r="AK209">
        <f t="shared" si="46"/>
        <v>0.70000000000000007</v>
      </c>
      <c r="AL209">
        <f t="shared" si="47"/>
        <v>4.1175000000000006</v>
      </c>
      <c r="AM209">
        <f t="shared" si="48"/>
        <v>0.82350000000000012</v>
      </c>
      <c r="AN209">
        <f t="shared" si="49"/>
        <v>6.5</v>
      </c>
      <c r="AO209">
        <f t="shared" si="50"/>
        <v>3.5074999999999998</v>
      </c>
      <c r="AQ209" t="str">
        <f t="shared" si="51"/>
        <v>57_1_1</v>
      </c>
      <c r="AR209">
        <f t="shared" si="52"/>
        <v>3.5</v>
      </c>
      <c r="AS209">
        <f t="shared" si="53"/>
        <v>0.70000000000000007</v>
      </c>
      <c r="AT209">
        <f t="shared" si="54"/>
        <v>6.5</v>
      </c>
      <c r="AU209">
        <f t="shared" si="55"/>
        <v>6.5</v>
      </c>
      <c r="AV209">
        <f t="shared" si="56"/>
        <v>3.5074999999999998</v>
      </c>
    </row>
    <row r="210" spans="1:48">
      <c r="A210">
        <v>57</v>
      </c>
      <c r="B210">
        <v>1</v>
      </c>
      <c r="C210">
        <v>2</v>
      </c>
      <c r="D210" t="str">
        <f t="shared" si="43"/>
        <v>57_1_2</v>
      </c>
      <c r="E210">
        <v>0</v>
      </c>
      <c r="F210">
        <v>1.625</v>
      </c>
      <c r="G210">
        <v>3.125</v>
      </c>
      <c r="H210">
        <v>3.125</v>
      </c>
      <c r="I210">
        <v>0.5</v>
      </c>
      <c r="J210">
        <v>1.9575</v>
      </c>
      <c r="K210">
        <v>1.6675</v>
      </c>
      <c r="L210">
        <v>8.375</v>
      </c>
      <c r="M210" t="s">
        <v>31</v>
      </c>
      <c r="N210" t="s">
        <v>11</v>
      </c>
      <c r="O210" t="s">
        <v>11</v>
      </c>
      <c r="P210" t="s">
        <v>11</v>
      </c>
      <c r="Q210" t="s">
        <v>34</v>
      </c>
      <c r="S210">
        <v>1.9575</v>
      </c>
      <c r="T210">
        <v>1.6675</v>
      </c>
      <c r="AB210">
        <v>1.625</v>
      </c>
      <c r="AD210">
        <v>0.32500000000000001</v>
      </c>
      <c r="AE210">
        <v>1.9575</v>
      </c>
      <c r="AF210">
        <v>0.39150000000000001</v>
      </c>
      <c r="AG210">
        <v>3.125</v>
      </c>
      <c r="AH210">
        <v>1.6675</v>
      </c>
      <c r="AI210">
        <f t="shared" si="44"/>
        <v>1.625</v>
      </c>
      <c r="AJ210">
        <f t="shared" si="45"/>
        <v>0</v>
      </c>
      <c r="AK210">
        <f t="shared" si="46"/>
        <v>0.32500000000000001</v>
      </c>
      <c r="AL210">
        <f t="shared" si="47"/>
        <v>1.9575</v>
      </c>
      <c r="AM210">
        <f t="shared" si="48"/>
        <v>0.39150000000000001</v>
      </c>
      <c r="AN210">
        <f t="shared" si="49"/>
        <v>3.125</v>
      </c>
      <c r="AO210">
        <f t="shared" si="50"/>
        <v>1.6675</v>
      </c>
      <c r="AQ210" t="str">
        <f t="shared" si="51"/>
        <v>57_1_2</v>
      </c>
      <c r="AR210">
        <f t="shared" si="52"/>
        <v>1.625</v>
      </c>
      <c r="AS210">
        <f t="shared" si="53"/>
        <v>1.625</v>
      </c>
      <c r="AT210">
        <f t="shared" si="54"/>
        <v>3.125</v>
      </c>
      <c r="AU210">
        <f t="shared" si="55"/>
        <v>3.125</v>
      </c>
      <c r="AV210">
        <f t="shared" si="56"/>
        <v>1.6675</v>
      </c>
    </row>
    <row r="211" spans="1:48">
      <c r="A211">
        <v>57</v>
      </c>
      <c r="B211">
        <v>2</v>
      </c>
      <c r="C211">
        <v>1</v>
      </c>
      <c r="D211" t="str">
        <f t="shared" si="43"/>
        <v>57_2_1</v>
      </c>
      <c r="E211">
        <v>0</v>
      </c>
      <c r="F211">
        <v>2.375</v>
      </c>
      <c r="G211">
        <v>4.375</v>
      </c>
      <c r="H211">
        <v>4.375</v>
      </c>
      <c r="I211">
        <v>0.75</v>
      </c>
      <c r="J211">
        <v>2.7675000000000001</v>
      </c>
      <c r="K211">
        <v>2.3574999999999999</v>
      </c>
      <c r="L211">
        <v>11.875</v>
      </c>
      <c r="M211" t="s">
        <v>31</v>
      </c>
      <c r="N211" t="s">
        <v>32</v>
      </c>
      <c r="O211" t="s">
        <v>32</v>
      </c>
      <c r="P211" t="s">
        <v>32</v>
      </c>
      <c r="Q211">
        <v>43</v>
      </c>
      <c r="S211">
        <v>2.7675000000000001</v>
      </c>
      <c r="T211">
        <v>2.3574999999999999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2.3574999999999999</v>
      </c>
      <c r="AI211">
        <f t="shared" si="44"/>
        <v>0</v>
      </c>
      <c r="AJ211">
        <f t="shared" si="45"/>
        <v>0</v>
      </c>
      <c r="AK211">
        <f t="shared" si="46"/>
        <v>0</v>
      </c>
      <c r="AL211">
        <f t="shared" si="47"/>
        <v>0</v>
      </c>
      <c r="AM211">
        <f t="shared" si="48"/>
        <v>0</v>
      </c>
      <c r="AN211">
        <f t="shared" si="49"/>
        <v>0</v>
      </c>
      <c r="AO211">
        <f t="shared" si="50"/>
        <v>2.3574999999999999</v>
      </c>
      <c r="AQ211" t="str">
        <f t="shared" si="51"/>
        <v>57_2_1</v>
      </c>
      <c r="AR211">
        <f t="shared" si="52"/>
        <v>2.375</v>
      </c>
      <c r="AS211">
        <f t="shared" si="53"/>
        <v>0</v>
      </c>
      <c r="AT211">
        <f t="shared" si="54"/>
        <v>4.375</v>
      </c>
      <c r="AU211">
        <f t="shared" si="55"/>
        <v>0</v>
      </c>
      <c r="AV211">
        <f t="shared" si="56"/>
        <v>2.3574999999999999</v>
      </c>
    </row>
    <row r="212" spans="1:48">
      <c r="A212">
        <v>57</v>
      </c>
      <c r="B212">
        <v>2</v>
      </c>
      <c r="C212">
        <v>2</v>
      </c>
      <c r="D212" t="str">
        <f t="shared" si="43"/>
        <v>57_2_2</v>
      </c>
      <c r="E212">
        <v>0</v>
      </c>
      <c r="F212">
        <v>1.125</v>
      </c>
      <c r="G212">
        <v>2.125</v>
      </c>
      <c r="H212">
        <v>2.125</v>
      </c>
      <c r="I212">
        <v>0.375</v>
      </c>
      <c r="J212">
        <v>1.35</v>
      </c>
      <c r="K212">
        <v>1.1499999999999999</v>
      </c>
      <c r="L212">
        <v>5.75</v>
      </c>
      <c r="M212" t="s">
        <v>31</v>
      </c>
      <c r="N212" t="s">
        <v>11</v>
      </c>
      <c r="O212" t="s">
        <v>11</v>
      </c>
      <c r="P212" t="s">
        <v>11</v>
      </c>
      <c r="Q212" t="s">
        <v>34</v>
      </c>
      <c r="S212">
        <v>1.35</v>
      </c>
      <c r="T212">
        <v>1.1499999999999999</v>
      </c>
      <c r="AB212">
        <v>1.125</v>
      </c>
      <c r="AD212">
        <v>0.22500000000000001</v>
      </c>
      <c r="AE212">
        <v>1.35</v>
      </c>
      <c r="AF212">
        <v>0.27</v>
      </c>
      <c r="AG212">
        <v>2.125</v>
      </c>
      <c r="AH212">
        <v>1.1499999999999999</v>
      </c>
      <c r="AI212">
        <f t="shared" si="44"/>
        <v>1.125</v>
      </c>
      <c r="AJ212">
        <f t="shared" si="45"/>
        <v>0</v>
      </c>
      <c r="AK212">
        <f t="shared" si="46"/>
        <v>0.22500000000000001</v>
      </c>
      <c r="AL212">
        <f t="shared" si="47"/>
        <v>1.35</v>
      </c>
      <c r="AM212">
        <f t="shared" si="48"/>
        <v>0.27</v>
      </c>
      <c r="AN212">
        <f t="shared" si="49"/>
        <v>2.125</v>
      </c>
      <c r="AO212">
        <f t="shared" si="50"/>
        <v>1.1499999999999999</v>
      </c>
      <c r="AQ212" t="str">
        <f t="shared" si="51"/>
        <v>57_2_2</v>
      </c>
      <c r="AR212">
        <f t="shared" si="52"/>
        <v>1.125</v>
      </c>
      <c r="AS212">
        <f t="shared" si="53"/>
        <v>1.125</v>
      </c>
      <c r="AT212">
        <f t="shared" si="54"/>
        <v>2.125</v>
      </c>
      <c r="AU212">
        <f t="shared" si="55"/>
        <v>2.125</v>
      </c>
      <c r="AV212">
        <f t="shared" si="56"/>
        <v>1.1499999999999999</v>
      </c>
    </row>
    <row r="213" spans="1:48">
      <c r="A213">
        <v>58</v>
      </c>
      <c r="B213" t="s">
        <v>10</v>
      </c>
      <c r="C213" t="s">
        <v>10</v>
      </c>
      <c r="D213" t="str">
        <f t="shared" si="43"/>
        <v>58</v>
      </c>
      <c r="E213" t="s">
        <v>10</v>
      </c>
      <c r="F213" t="s">
        <v>10</v>
      </c>
      <c r="G213" t="s">
        <v>10</v>
      </c>
      <c r="H213" t="s">
        <v>10</v>
      </c>
      <c r="I213" t="s">
        <v>10</v>
      </c>
      <c r="L213">
        <v>0</v>
      </c>
      <c r="M213" t="s">
        <v>11</v>
      </c>
      <c r="Q213">
        <v>38</v>
      </c>
      <c r="R213" t="s">
        <v>35</v>
      </c>
      <c r="AI213">
        <f t="shared" si="44"/>
        <v>0</v>
      </c>
      <c r="AJ213">
        <f t="shared" si="45"/>
        <v>0</v>
      </c>
      <c r="AK213">
        <f t="shared" si="46"/>
        <v>0</v>
      </c>
      <c r="AL213">
        <f t="shared" si="47"/>
        <v>0</v>
      </c>
      <c r="AM213">
        <f t="shared" si="48"/>
        <v>0</v>
      </c>
      <c r="AN213">
        <f t="shared" si="49"/>
        <v>0</v>
      </c>
      <c r="AO213">
        <f t="shared" si="50"/>
        <v>0</v>
      </c>
      <c r="AQ213" t="str">
        <f t="shared" si="51"/>
        <v>58</v>
      </c>
      <c r="AR213" t="str">
        <f t="shared" si="52"/>
        <v/>
      </c>
      <c r="AS213">
        <f t="shared" si="53"/>
        <v>0</v>
      </c>
      <c r="AT213" t="str">
        <f t="shared" si="54"/>
        <v/>
      </c>
      <c r="AU213">
        <f t="shared" si="55"/>
        <v>0</v>
      </c>
      <c r="AV213">
        <f t="shared" si="56"/>
        <v>0</v>
      </c>
    </row>
    <row r="214" spans="1:48">
      <c r="A214">
        <v>58</v>
      </c>
      <c r="B214">
        <v>1</v>
      </c>
      <c r="C214" t="s">
        <v>10</v>
      </c>
      <c r="D214" t="str">
        <f t="shared" si="43"/>
        <v>58_1</v>
      </c>
      <c r="E214">
        <v>0</v>
      </c>
      <c r="F214">
        <v>1.5</v>
      </c>
      <c r="G214">
        <v>2.75</v>
      </c>
      <c r="H214">
        <v>2.75</v>
      </c>
      <c r="I214">
        <v>0.5</v>
      </c>
      <c r="J214">
        <v>1.7550000000000001</v>
      </c>
      <c r="K214">
        <v>1.4949999999999999</v>
      </c>
      <c r="L214">
        <v>7.5</v>
      </c>
      <c r="M214" t="s">
        <v>31</v>
      </c>
      <c r="N214" t="s">
        <v>33</v>
      </c>
      <c r="O214" t="s">
        <v>43</v>
      </c>
      <c r="P214" t="s">
        <v>33</v>
      </c>
      <c r="Q214">
        <v>38</v>
      </c>
      <c r="S214">
        <v>1.7550000000000001</v>
      </c>
      <c r="T214">
        <v>1.4949999999999999</v>
      </c>
      <c r="U214">
        <v>0.30000000000000004</v>
      </c>
      <c r="V214">
        <v>0</v>
      </c>
      <c r="W214">
        <v>0.30000000000000004</v>
      </c>
      <c r="X214">
        <v>0.35100000000000003</v>
      </c>
      <c r="Y214">
        <v>0.35100000000000003</v>
      </c>
      <c r="Z214">
        <v>2.75</v>
      </c>
      <c r="AA214">
        <v>1.4949999999999999</v>
      </c>
      <c r="AI214">
        <f t="shared" si="44"/>
        <v>0.30000000000000004</v>
      </c>
      <c r="AJ214">
        <f t="shared" si="45"/>
        <v>0</v>
      </c>
      <c r="AK214">
        <f t="shared" si="46"/>
        <v>0.30000000000000004</v>
      </c>
      <c r="AL214">
        <f t="shared" si="47"/>
        <v>0.35100000000000003</v>
      </c>
      <c r="AM214">
        <f t="shared" si="48"/>
        <v>0.35100000000000003</v>
      </c>
      <c r="AN214">
        <f t="shared" si="49"/>
        <v>2.75</v>
      </c>
      <c r="AO214">
        <f t="shared" si="50"/>
        <v>1.4949999999999999</v>
      </c>
      <c r="AQ214" t="str">
        <f t="shared" si="51"/>
        <v>58_1</v>
      </c>
      <c r="AR214">
        <f t="shared" si="52"/>
        <v>1.5</v>
      </c>
      <c r="AS214">
        <f t="shared" si="53"/>
        <v>0.30000000000000004</v>
      </c>
      <c r="AT214">
        <f t="shared" si="54"/>
        <v>2.75</v>
      </c>
      <c r="AU214">
        <f t="shared" si="55"/>
        <v>2.75</v>
      </c>
      <c r="AV214">
        <f t="shared" si="56"/>
        <v>1.4949999999999999</v>
      </c>
    </row>
    <row r="215" spans="1:48">
      <c r="A215">
        <v>59</v>
      </c>
      <c r="B215" t="s">
        <v>10</v>
      </c>
      <c r="C215" t="s">
        <v>10</v>
      </c>
      <c r="D215" t="str">
        <f t="shared" si="43"/>
        <v>59</v>
      </c>
      <c r="E215" t="s">
        <v>10</v>
      </c>
      <c r="F215" t="s">
        <v>10</v>
      </c>
      <c r="G215" t="s">
        <v>10</v>
      </c>
      <c r="H215" t="s">
        <v>10</v>
      </c>
      <c r="I215" t="s">
        <v>10</v>
      </c>
      <c r="L215">
        <v>0</v>
      </c>
      <c r="M215" t="s">
        <v>11</v>
      </c>
      <c r="Q215">
        <v>63</v>
      </c>
      <c r="R215" t="s">
        <v>35</v>
      </c>
      <c r="AI215">
        <f t="shared" si="44"/>
        <v>0</v>
      </c>
      <c r="AJ215">
        <f t="shared" si="45"/>
        <v>0</v>
      </c>
      <c r="AK215">
        <f t="shared" si="46"/>
        <v>0</v>
      </c>
      <c r="AL215">
        <f t="shared" si="47"/>
        <v>0</v>
      </c>
      <c r="AM215">
        <f t="shared" si="48"/>
        <v>0</v>
      </c>
      <c r="AN215">
        <f t="shared" si="49"/>
        <v>0</v>
      </c>
      <c r="AO215">
        <f t="shared" si="50"/>
        <v>0</v>
      </c>
      <c r="AQ215" t="str">
        <f t="shared" si="51"/>
        <v>59</v>
      </c>
      <c r="AR215" t="str">
        <f t="shared" si="52"/>
        <v/>
      </c>
      <c r="AS215">
        <f t="shared" si="53"/>
        <v>0</v>
      </c>
      <c r="AT215" t="str">
        <f t="shared" si="54"/>
        <v/>
      </c>
      <c r="AU215">
        <f t="shared" si="55"/>
        <v>0</v>
      </c>
      <c r="AV215">
        <f t="shared" si="56"/>
        <v>0</v>
      </c>
    </row>
    <row r="216" spans="1:48">
      <c r="A216">
        <v>59</v>
      </c>
      <c r="B216">
        <v>1</v>
      </c>
      <c r="C216" t="s">
        <v>10</v>
      </c>
      <c r="D216" t="str">
        <f t="shared" si="43"/>
        <v>59_1</v>
      </c>
      <c r="E216">
        <v>0</v>
      </c>
      <c r="F216">
        <v>6.5</v>
      </c>
      <c r="G216">
        <v>12.125</v>
      </c>
      <c r="H216">
        <v>12.125</v>
      </c>
      <c r="I216">
        <v>2</v>
      </c>
      <c r="J216">
        <v>7.6275000000000004</v>
      </c>
      <c r="K216">
        <v>6.4974999999999996</v>
      </c>
      <c r="L216">
        <v>32.75</v>
      </c>
      <c r="M216" t="s">
        <v>31</v>
      </c>
      <c r="N216" t="s">
        <v>33</v>
      </c>
      <c r="O216" t="s">
        <v>43</v>
      </c>
      <c r="P216" t="s">
        <v>43</v>
      </c>
      <c r="Q216">
        <v>63</v>
      </c>
      <c r="S216">
        <v>7.6275000000000004</v>
      </c>
      <c r="T216">
        <v>6.4974999999999996</v>
      </c>
      <c r="U216">
        <v>1.3</v>
      </c>
      <c r="V216">
        <v>0</v>
      </c>
      <c r="W216">
        <v>1.3</v>
      </c>
      <c r="X216">
        <v>7.6275000000000004</v>
      </c>
      <c r="Y216">
        <v>1.5255000000000001</v>
      </c>
      <c r="Z216">
        <v>12.125</v>
      </c>
      <c r="AA216">
        <v>6.4974999999999996</v>
      </c>
      <c r="AI216">
        <f t="shared" si="44"/>
        <v>1.3</v>
      </c>
      <c r="AJ216">
        <f t="shared" si="45"/>
        <v>0</v>
      </c>
      <c r="AK216">
        <f t="shared" si="46"/>
        <v>1.3</v>
      </c>
      <c r="AL216">
        <f t="shared" si="47"/>
        <v>7.6275000000000004</v>
      </c>
      <c r="AM216">
        <f t="shared" si="48"/>
        <v>1.5255000000000001</v>
      </c>
      <c r="AN216">
        <f t="shared" si="49"/>
        <v>12.125</v>
      </c>
      <c r="AO216">
        <f t="shared" si="50"/>
        <v>6.4974999999999996</v>
      </c>
      <c r="AQ216" t="str">
        <f t="shared" si="51"/>
        <v>59_1</v>
      </c>
      <c r="AR216">
        <f t="shared" si="52"/>
        <v>6.5</v>
      </c>
      <c r="AS216">
        <f t="shared" si="53"/>
        <v>1.3</v>
      </c>
      <c r="AT216">
        <f t="shared" si="54"/>
        <v>12.125</v>
      </c>
      <c r="AU216">
        <f t="shared" si="55"/>
        <v>12.125</v>
      </c>
      <c r="AV216">
        <f t="shared" si="56"/>
        <v>6.4974999999999996</v>
      </c>
    </row>
    <row r="217" spans="1:48">
      <c r="A217">
        <v>59</v>
      </c>
      <c r="B217">
        <v>2</v>
      </c>
      <c r="D217" t="str">
        <f t="shared" si="43"/>
        <v>59_2</v>
      </c>
      <c r="E217">
        <v>0</v>
      </c>
      <c r="F217">
        <v>2.625</v>
      </c>
      <c r="G217">
        <v>4.875</v>
      </c>
      <c r="H217">
        <v>4.875</v>
      </c>
      <c r="I217">
        <v>0.875</v>
      </c>
      <c r="J217">
        <v>3.1050000000000004</v>
      </c>
      <c r="K217">
        <v>2.6449999999999996</v>
      </c>
      <c r="L217">
        <v>13.25</v>
      </c>
      <c r="M217" t="s">
        <v>31</v>
      </c>
      <c r="N217" t="s">
        <v>32</v>
      </c>
      <c r="O217" t="s">
        <v>32</v>
      </c>
      <c r="P217" t="s">
        <v>43</v>
      </c>
      <c r="Q217">
        <v>63</v>
      </c>
      <c r="S217">
        <v>3.1050000000000004</v>
      </c>
      <c r="T217">
        <v>2.6449999999999996</v>
      </c>
      <c r="U217">
        <v>0</v>
      </c>
      <c r="V217">
        <v>0</v>
      </c>
      <c r="W217">
        <v>0</v>
      </c>
      <c r="X217">
        <v>3.1050000000000004</v>
      </c>
      <c r="Y217">
        <v>0.62100000000000011</v>
      </c>
      <c r="Z217">
        <v>0</v>
      </c>
      <c r="AA217">
        <v>2.6449999999999996</v>
      </c>
      <c r="AI217">
        <f t="shared" si="44"/>
        <v>0</v>
      </c>
      <c r="AJ217">
        <f t="shared" si="45"/>
        <v>0</v>
      </c>
      <c r="AK217">
        <f t="shared" si="46"/>
        <v>0</v>
      </c>
      <c r="AL217">
        <f t="shared" si="47"/>
        <v>3.1050000000000004</v>
      </c>
      <c r="AM217">
        <f t="shared" si="48"/>
        <v>0.62100000000000011</v>
      </c>
      <c r="AN217">
        <f t="shared" si="49"/>
        <v>0</v>
      </c>
      <c r="AO217">
        <f t="shared" si="50"/>
        <v>2.6449999999999996</v>
      </c>
      <c r="AQ217" t="str">
        <f t="shared" si="51"/>
        <v>59_2</v>
      </c>
      <c r="AR217">
        <f t="shared" si="52"/>
        <v>2.625</v>
      </c>
      <c r="AS217">
        <f t="shared" si="53"/>
        <v>0</v>
      </c>
      <c r="AT217">
        <f t="shared" si="54"/>
        <v>4.875</v>
      </c>
      <c r="AU217">
        <f t="shared" si="55"/>
        <v>0</v>
      </c>
      <c r="AV217">
        <f t="shared" si="56"/>
        <v>2.6449999999999996</v>
      </c>
    </row>
    <row r="218" spans="1:48">
      <c r="A218">
        <v>60</v>
      </c>
      <c r="B218" t="s">
        <v>10</v>
      </c>
      <c r="C218" t="s">
        <v>10</v>
      </c>
      <c r="D218" t="str">
        <f t="shared" si="43"/>
        <v>60</v>
      </c>
      <c r="E218" t="s">
        <v>10</v>
      </c>
      <c r="F218" t="s">
        <v>10</v>
      </c>
      <c r="G218" t="s">
        <v>10</v>
      </c>
      <c r="H218" t="s">
        <v>10</v>
      </c>
      <c r="I218" t="s">
        <v>10</v>
      </c>
      <c r="L218">
        <v>0</v>
      </c>
      <c r="M218" t="s">
        <v>11</v>
      </c>
      <c r="N218" t="s">
        <v>11</v>
      </c>
      <c r="O218" t="s">
        <v>11</v>
      </c>
      <c r="P218" t="s">
        <v>11</v>
      </c>
      <c r="Q218" t="s">
        <v>34</v>
      </c>
      <c r="R218" t="s">
        <v>38</v>
      </c>
      <c r="AI218">
        <f t="shared" si="44"/>
        <v>0</v>
      </c>
      <c r="AJ218">
        <f t="shared" si="45"/>
        <v>0</v>
      </c>
      <c r="AK218">
        <f t="shared" si="46"/>
        <v>0</v>
      </c>
      <c r="AL218">
        <f t="shared" si="47"/>
        <v>0</v>
      </c>
      <c r="AM218">
        <f t="shared" si="48"/>
        <v>0</v>
      </c>
      <c r="AN218">
        <f t="shared" si="49"/>
        <v>0</v>
      </c>
      <c r="AO218">
        <f t="shared" si="50"/>
        <v>0</v>
      </c>
      <c r="AQ218" t="str">
        <f t="shared" si="51"/>
        <v>60</v>
      </c>
      <c r="AR218" t="str">
        <f t="shared" si="52"/>
        <v/>
      </c>
      <c r="AS218">
        <f t="shared" si="53"/>
        <v>0</v>
      </c>
      <c r="AT218" t="str">
        <f t="shared" si="54"/>
        <v/>
      </c>
      <c r="AU218">
        <f t="shared" si="55"/>
        <v>0</v>
      </c>
      <c r="AV218">
        <f t="shared" si="56"/>
        <v>0</v>
      </c>
    </row>
    <row r="219" spans="1:48">
      <c r="A219">
        <v>60</v>
      </c>
      <c r="B219">
        <v>1</v>
      </c>
      <c r="C219" t="s">
        <v>10</v>
      </c>
      <c r="D219" t="str">
        <f t="shared" si="43"/>
        <v>60_1</v>
      </c>
      <c r="E219">
        <v>0</v>
      </c>
      <c r="F219">
        <v>1.375</v>
      </c>
      <c r="G219">
        <v>2.375</v>
      </c>
      <c r="H219">
        <v>2.375</v>
      </c>
      <c r="I219">
        <v>0.5</v>
      </c>
      <c r="J219">
        <v>1.5525000000000002</v>
      </c>
      <c r="K219">
        <v>1.3224999999999998</v>
      </c>
      <c r="L219">
        <v>6.625</v>
      </c>
      <c r="M219" t="s">
        <v>31</v>
      </c>
      <c r="N219" t="s">
        <v>11</v>
      </c>
      <c r="O219" t="s">
        <v>11</v>
      </c>
      <c r="P219" t="s">
        <v>11</v>
      </c>
      <c r="Q219" t="s">
        <v>34</v>
      </c>
      <c r="S219">
        <v>1.5525000000000002</v>
      </c>
      <c r="T219">
        <v>1.3224999999999998</v>
      </c>
      <c r="AB219">
        <v>1.375</v>
      </c>
      <c r="AD219">
        <v>0.27500000000000002</v>
      </c>
      <c r="AE219">
        <v>1.5525000000000002</v>
      </c>
      <c r="AF219">
        <v>0.31050000000000005</v>
      </c>
      <c r="AG219">
        <v>2.375</v>
      </c>
      <c r="AH219">
        <v>1.3224999999999998</v>
      </c>
      <c r="AI219">
        <f t="shared" si="44"/>
        <v>1.375</v>
      </c>
      <c r="AJ219">
        <f t="shared" si="45"/>
        <v>0</v>
      </c>
      <c r="AK219">
        <f t="shared" si="46"/>
        <v>0.27500000000000002</v>
      </c>
      <c r="AL219">
        <f t="shared" si="47"/>
        <v>1.5525000000000002</v>
      </c>
      <c r="AM219">
        <f t="shared" si="48"/>
        <v>0.31050000000000005</v>
      </c>
      <c r="AN219">
        <f t="shared" si="49"/>
        <v>2.375</v>
      </c>
      <c r="AO219">
        <f t="shared" si="50"/>
        <v>1.3224999999999998</v>
      </c>
      <c r="AQ219" t="str">
        <f t="shared" si="51"/>
        <v>60_1</v>
      </c>
      <c r="AR219">
        <f t="shared" si="52"/>
        <v>1.375</v>
      </c>
      <c r="AS219">
        <f t="shared" si="53"/>
        <v>1.375</v>
      </c>
      <c r="AT219">
        <f t="shared" si="54"/>
        <v>2.375</v>
      </c>
      <c r="AU219">
        <f t="shared" si="55"/>
        <v>2.375</v>
      </c>
      <c r="AV219">
        <f t="shared" si="56"/>
        <v>1.3224999999999998</v>
      </c>
    </row>
    <row r="220" spans="1:48">
      <c r="A220">
        <v>61</v>
      </c>
      <c r="B220" t="s">
        <v>10</v>
      </c>
      <c r="C220" t="s">
        <v>10</v>
      </c>
      <c r="D220" t="str">
        <f t="shared" si="43"/>
        <v>61</v>
      </c>
      <c r="E220" t="s">
        <v>10</v>
      </c>
      <c r="F220" t="s">
        <v>10</v>
      </c>
      <c r="G220" t="s">
        <v>10</v>
      </c>
      <c r="H220" t="s">
        <v>10</v>
      </c>
      <c r="I220" t="s">
        <v>10</v>
      </c>
      <c r="L220">
        <v>0</v>
      </c>
      <c r="M220" t="s">
        <v>11</v>
      </c>
      <c r="N220" t="s">
        <v>11</v>
      </c>
      <c r="O220" t="s">
        <v>11</v>
      </c>
      <c r="P220" t="s">
        <v>11</v>
      </c>
      <c r="Q220" t="s">
        <v>11</v>
      </c>
      <c r="AI220">
        <f t="shared" si="44"/>
        <v>0</v>
      </c>
      <c r="AJ220">
        <f t="shared" si="45"/>
        <v>0</v>
      </c>
      <c r="AK220">
        <f t="shared" si="46"/>
        <v>0</v>
      </c>
      <c r="AL220">
        <f t="shared" si="47"/>
        <v>0</v>
      </c>
      <c r="AM220">
        <f t="shared" si="48"/>
        <v>0</v>
      </c>
      <c r="AN220">
        <f t="shared" si="49"/>
        <v>0</v>
      </c>
      <c r="AO220">
        <f t="shared" si="50"/>
        <v>0</v>
      </c>
      <c r="AQ220" t="str">
        <f t="shared" si="51"/>
        <v>61</v>
      </c>
      <c r="AR220" t="str">
        <f t="shared" si="52"/>
        <v/>
      </c>
      <c r="AS220">
        <f t="shared" si="53"/>
        <v>0</v>
      </c>
      <c r="AT220" t="str">
        <f t="shared" si="54"/>
        <v/>
      </c>
      <c r="AU220">
        <f t="shared" si="55"/>
        <v>0</v>
      </c>
      <c r="AV220">
        <f t="shared" si="56"/>
        <v>0</v>
      </c>
    </row>
    <row r="221" spans="1:48">
      <c r="A221">
        <v>62</v>
      </c>
      <c r="B221" t="s">
        <v>10</v>
      </c>
      <c r="C221" t="s">
        <v>10</v>
      </c>
      <c r="D221" t="str">
        <f t="shared" si="43"/>
        <v>62</v>
      </c>
      <c r="E221" t="s">
        <v>10</v>
      </c>
      <c r="F221" t="s">
        <v>10</v>
      </c>
      <c r="G221" t="s">
        <v>10</v>
      </c>
      <c r="H221" t="s">
        <v>10</v>
      </c>
      <c r="I221" t="s">
        <v>10</v>
      </c>
      <c r="L221">
        <v>0</v>
      </c>
      <c r="M221" t="s">
        <v>11</v>
      </c>
      <c r="Q221">
        <v>53</v>
      </c>
      <c r="R221" t="s">
        <v>35</v>
      </c>
      <c r="AI221">
        <f t="shared" si="44"/>
        <v>0</v>
      </c>
      <c r="AJ221">
        <f t="shared" si="45"/>
        <v>0</v>
      </c>
      <c r="AK221">
        <f t="shared" si="46"/>
        <v>0</v>
      </c>
      <c r="AL221">
        <f t="shared" si="47"/>
        <v>0</v>
      </c>
      <c r="AM221">
        <f t="shared" si="48"/>
        <v>0</v>
      </c>
      <c r="AN221">
        <f t="shared" si="49"/>
        <v>0</v>
      </c>
      <c r="AO221">
        <f t="shared" si="50"/>
        <v>0</v>
      </c>
      <c r="AQ221" t="str">
        <f t="shared" si="51"/>
        <v>62</v>
      </c>
      <c r="AR221" t="str">
        <f t="shared" si="52"/>
        <v/>
      </c>
      <c r="AS221">
        <f t="shared" si="53"/>
        <v>0</v>
      </c>
      <c r="AT221" t="str">
        <f t="shared" si="54"/>
        <v/>
      </c>
      <c r="AU221">
        <f t="shared" si="55"/>
        <v>0</v>
      </c>
      <c r="AV221">
        <f t="shared" si="56"/>
        <v>0</v>
      </c>
    </row>
    <row r="222" spans="1:48">
      <c r="A222">
        <v>62</v>
      </c>
      <c r="B222">
        <v>1</v>
      </c>
      <c r="C222">
        <v>1</v>
      </c>
      <c r="D222" t="str">
        <f t="shared" si="43"/>
        <v>62_1_1</v>
      </c>
      <c r="E222">
        <v>0</v>
      </c>
      <c r="F222">
        <v>0.5</v>
      </c>
      <c r="G222">
        <v>1</v>
      </c>
      <c r="H222">
        <v>1</v>
      </c>
      <c r="I222">
        <v>0.25</v>
      </c>
      <c r="J222">
        <v>0.67500000000000004</v>
      </c>
      <c r="K222">
        <v>0.57499999999999996</v>
      </c>
      <c r="L222">
        <v>2.75</v>
      </c>
      <c r="M222" t="s">
        <v>31</v>
      </c>
      <c r="N222" t="s">
        <v>32</v>
      </c>
      <c r="O222" t="s">
        <v>37</v>
      </c>
      <c r="P222" t="s">
        <v>42</v>
      </c>
      <c r="Q222">
        <v>53</v>
      </c>
      <c r="S222">
        <v>0.67500000000000004</v>
      </c>
      <c r="T222">
        <v>0.57499999999999996</v>
      </c>
      <c r="U222">
        <v>0</v>
      </c>
      <c r="V222">
        <v>0</v>
      </c>
      <c r="W222">
        <v>0</v>
      </c>
      <c r="X222">
        <v>0.13500000000000001</v>
      </c>
      <c r="Y222">
        <v>0.13500000000000001</v>
      </c>
      <c r="Z222">
        <v>1</v>
      </c>
      <c r="AA222">
        <v>0.57499999999999996</v>
      </c>
      <c r="AI222">
        <f t="shared" si="44"/>
        <v>0</v>
      </c>
      <c r="AJ222">
        <f t="shared" si="45"/>
        <v>0</v>
      </c>
      <c r="AK222">
        <f t="shared" si="46"/>
        <v>0</v>
      </c>
      <c r="AL222">
        <f t="shared" si="47"/>
        <v>0.13500000000000001</v>
      </c>
      <c r="AM222">
        <f t="shared" si="48"/>
        <v>0.13500000000000001</v>
      </c>
      <c r="AN222">
        <f t="shared" si="49"/>
        <v>1</v>
      </c>
      <c r="AO222">
        <f t="shared" si="50"/>
        <v>0.57499999999999996</v>
      </c>
      <c r="AQ222" t="str">
        <f t="shared" si="51"/>
        <v>62_1_1</v>
      </c>
      <c r="AR222">
        <f t="shared" si="52"/>
        <v>0.5</v>
      </c>
      <c r="AS222">
        <f t="shared" si="53"/>
        <v>0</v>
      </c>
      <c r="AT222">
        <f t="shared" si="54"/>
        <v>1</v>
      </c>
      <c r="AU222">
        <f t="shared" si="55"/>
        <v>1</v>
      </c>
      <c r="AV222">
        <f t="shared" si="56"/>
        <v>0.57499999999999996</v>
      </c>
    </row>
    <row r="223" spans="1:48">
      <c r="A223">
        <v>62</v>
      </c>
      <c r="B223">
        <v>1</v>
      </c>
      <c r="C223">
        <v>2</v>
      </c>
      <c r="D223" t="str">
        <f t="shared" si="43"/>
        <v>62_1_2</v>
      </c>
      <c r="E223">
        <v>0</v>
      </c>
      <c r="F223">
        <v>0.5</v>
      </c>
      <c r="G223">
        <v>1</v>
      </c>
      <c r="H223">
        <v>1</v>
      </c>
      <c r="I223">
        <v>0.25</v>
      </c>
      <c r="J223">
        <v>0.67500000000000004</v>
      </c>
      <c r="K223">
        <v>0.57499999999999996</v>
      </c>
      <c r="L223">
        <v>2.75</v>
      </c>
      <c r="M223" t="s">
        <v>31</v>
      </c>
      <c r="N223" t="s">
        <v>32</v>
      </c>
      <c r="O223" t="s">
        <v>37</v>
      </c>
      <c r="P223" t="s">
        <v>33</v>
      </c>
      <c r="Q223">
        <v>53</v>
      </c>
      <c r="S223">
        <v>0.67500000000000004</v>
      </c>
      <c r="T223">
        <v>0.57499999999999996</v>
      </c>
      <c r="U223">
        <v>0</v>
      </c>
      <c r="V223">
        <v>0</v>
      </c>
      <c r="W223">
        <v>0</v>
      </c>
      <c r="X223">
        <v>0.13500000000000001</v>
      </c>
      <c r="Y223">
        <v>0.13500000000000001</v>
      </c>
      <c r="Z223">
        <v>1</v>
      </c>
      <c r="AA223">
        <v>0.57499999999999996</v>
      </c>
      <c r="AI223">
        <f t="shared" si="44"/>
        <v>0</v>
      </c>
      <c r="AJ223">
        <f t="shared" si="45"/>
        <v>0</v>
      </c>
      <c r="AK223">
        <f t="shared" si="46"/>
        <v>0</v>
      </c>
      <c r="AL223">
        <f t="shared" si="47"/>
        <v>0.13500000000000001</v>
      </c>
      <c r="AM223">
        <f t="shared" si="48"/>
        <v>0.13500000000000001</v>
      </c>
      <c r="AN223">
        <f t="shared" si="49"/>
        <v>1</v>
      </c>
      <c r="AO223">
        <f t="shared" si="50"/>
        <v>0.57499999999999996</v>
      </c>
      <c r="AQ223" t="str">
        <f t="shared" si="51"/>
        <v>62_1_2</v>
      </c>
      <c r="AR223">
        <f t="shared" si="52"/>
        <v>0.5</v>
      </c>
      <c r="AS223">
        <f t="shared" si="53"/>
        <v>0</v>
      </c>
      <c r="AT223">
        <f t="shared" si="54"/>
        <v>1</v>
      </c>
      <c r="AU223">
        <f t="shared" si="55"/>
        <v>1</v>
      </c>
      <c r="AV223">
        <f t="shared" si="56"/>
        <v>0.57499999999999996</v>
      </c>
    </row>
    <row r="224" spans="1:48">
      <c r="A224">
        <v>62</v>
      </c>
      <c r="B224">
        <v>1</v>
      </c>
      <c r="C224">
        <v>3</v>
      </c>
      <c r="D224" t="str">
        <f t="shared" si="43"/>
        <v>62_1_3</v>
      </c>
      <c r="E224">
        <v>0</v>
      </c>
      <c r="F224">
        <v>0.5</v>
      </c>
      <c r="G224">
        <v>1</v>
      </c>
      <c r="H224">
        <v>1</v>
      </c>
      <c r="I224">
        <v>0.25</v>
      </c>
      <c r="J224">
        <v>0.67500000000000004</v>
      </c>
      <c r="K224">
        <v>0.57499999999999996</v>
      </c>
      <c r="L224">
        <v>2.75</v>
      </c>
      <c r="M224" t="s">
        <v>31</v>
      </c>
      <c r="N224" t="s">
        <v>33</v>
      </c>
      <c r="O224" t="s">
        <v>37</v>
      </c>
      <c r="P224" t="s">
        <v>33</v>
      </c>
      <c r="Q224">
        <v>53</v>
      </c>
      <c r="S224">
        <v>0.67500000000000004</v>
      </c>
      <c r="T224">
        <v>0.57499999999999996</v>
      </c>
      <c r="U224">
        <v>0.1</v>
      </c>
      <c r="V224">
        <v>0</v>
      </c>
      <c r="W224">
        <v>0.1</v>
      </c>
      <c r="X224">
        <v>0.13500000000000001</v>
      </c>
      <c r="Y224">
        <v>0.13500000000000001</v>
      </c>
      <c r="Z224">
        <v>1</v>
      </c>
      <c r="AA224">
        <v>0.57499999999999996</v>
      </c>
      <c r="AI224">
        <f t="shared" si="44"/>
        <v>0.1</v>
      </c>
      <c r="AJ224">
        <f t="shared" si="45"/>
        <v>0</v>
      </c>
      <c r="AK224">
        <f t="shared" si="46"/>
        <v>0.1</v>
      </c>
      <c r="AL224">
        <f t="shared" si="47"/>
        <v>0.13500000000000001</v>
      </c>
      <c r="AM224">
        <f t="shared" si="48"/>
        <v>0.13500000000000001</v>
      </c>
      <c r="AN224">
        <f t="shared" si="49"/>
        <v>1</v>
      </c>
      <c r="AO224">
        <f t="shared" si="50"/>
        <v>0.57499999999999996</v>
      </c>
      <c r="AQ224" t="str">
        <f t="shared" si="51"/>
        <v>62_1_3</v>
      </c>
      <c r="AR224">
        <f t="shared" si="52"/>
        <v>0.5</v>
      </c>
      <c r="AS224">
        <f t="shared" si="53"/>
        <v>0.1</v>
      </c>
      <c r="AT224">
        <f t="shared" si="54"/>
        <v>1</v>
      </c>
      <c r="AU224">
        <f t="shared" si="55"/>
        <v>1</v>
      </c>
      <c r="AV224">
        <f t="shared" si="56"/>
        <v>0.57499999999999996</v>
      </c>
    </row>
    <row r="225" spans="1:48">
      <c r="A225">
        <v>62</v>
      </c>
      <c r="B225">
        <v>2</v>
      </c>
      <c r="C225">
        <v>1</v>
      </c>
      <c r="D225" t="str">
        <f t="shared" si="43"/>
        <v>62_2_1</v>
      </c>
      <c r="E225">
        <v>0</v>
      </c>
      <c r="F225">
        <v>2.75</v>
      </c>
      <c r="G225">
        <v>5.125</v>
      </c>
      <c r="H225">
        <v>5.125</v>
      </c>
      <c r="I225">
        <v>0.875</v>
      </c>
      <c r="J225">
        <v>3.24</v>
      </c>
      <c r="K225">
        <v>2.76</v>
      </c>
      <c r="L225">
        <v>13.875</v>
      </c>
      <c r="M225" t="s">
        <v>31</v>
      </c>
      <c r="N225" t="s">
        <v>32</v>
      </c>
      <c r="O225" t="s">
        <v>32</v>
      </c>
      <c r="P225" t="s">
        <v>42</v>
      </c>
      <c r="Q225">
        <v>53</v>
      </c>
      <c r="S225">
        <v>3.24</v>
      </c>
      <c r="T225">
        <v>2.76</v>
      </c>
      <c r="U225">
        <v>0</v>
      </c>
      <c r="V225">
        <v>0</v>
      </c>
      <c r="W225">
        <v>0</v>
      </c>
      <c r="X225">
        <v>0.64800000000000013</v>
      </c>
      <c r="Y225">
        <v>0.64800000000000013</v>
      </c>
      <c r="Z225">
        <v>0</v>
      </c>
      <c r="AA225">
        <v>2.76</v>
      </c>
      <c r="AI225">
        <f t="shared" si="44"/>
        <v>0</v>
      </c>
      <c r="AJ225">
        <f t="shared" si="45"/>
        <v>0</v>
      </c>
      <c r="AK225">
        <f t="shared" si="46"/>
        <v>0</v>
      </c>
      <c r="AL225">
        <f t="shared" si="47"/>
        <v>0.64800000000000013</v>
      </c>
      <c r="AM225">
        <f t="shared" si="48"/>
        <v>0.64800000000000013</v>
      </c>
      <c r="AN225">
        <f t="shared" si="49"/>
        <v>0</v>
      </c>
      <c r="AO225">
        <f t="shared" si="50"/>
        <v>2.76</v>
      </c>
      <c r="AQ225" t="str">
        <f t="shared" si="51"/>
        <v>62_2_1</v>
      </c>
      <c r="AR225">
        <f t="shared" si="52"/>
        <v>2.75</v>
      </c>
      <c r="AS225">
        <f t="shared" si="53"/>
        <v>0</v>
      </c>
      <c r="AT225">
        <f t="shared" si="54"/>
        <v>5.125</v>
      </c>
      <c r="AU225">
        <f t="shared" si="55"/>
        <v>0</v>
      </c>
      <c r="AV225">
        <f t="shared" si="56"/>
        <v>2.76</v>
      </c>
    </row>
    <row r="226" spans="1:48">
      <c r="A226">
        <v>62</v>
      </c>
      <c r="B226">
        <v>2</v>
      </c>
      <c r="C226">
        <v>2</v>
      </c>
      <c r="D226" t="str">
        <f t="shared" si="43"/>
        <v>62_2_2</v>
      </c>
      <c r="E226">
        <v>0</v>
      </c>
      <c r="F226">
        <v>2.75</v>
      </c>
      <c r="G226">
        <v>5.125</v>
      </c>
      <c r="H226">
        <v>5.125</v>
      </c>
      <c r="I226">
        <v>0.875</v>
      </c>
      <c r="J226">
        <v>3.24</v>
      </c>
      <c r="K226">
        <v>2.76</v>
      </c>
      <c r="L226">
        <v>13.875</v>
      </c>
      <c r="M226" t="s">
        <v>31</v>
      </c>
      <c r="N226" t="s">
        <v>32</v>
      </c>
      <c r="O226" t="s">
        <v>32</v>
      </c>
      <c r="P226" t="s">
        <v>33</v>
      </c>
      <c r="Q226">
        <v>53</v>
      </c>
      <c r="S226">
        <v>3.24</v>
      </c>
      <c r="T226">
        <v>2.76</v>
      </c>
      <c r="U226">
        <v>0</v>
      </c>
      <c r="V226">
        <v>0</v>
      </c>
      <c r="W226">
        <v>0</v>
      </c>
      <c r="X226">
        <v>0.64800000000000013</v>
      </c>
      <c r="Y226">
        <v>0.64800000000000013</v>
      </c>
      <c r="Z226">
        <v>0</v>
      </c>
      <c r="AA226">
        <v>2.76</v>
      </c>
      <c r="AI226">
        <f t="shared" si="44"/>
        <v>0</v>
      </c>
      <c r="AJ226">
        <f t="shared" si="45"/>
        <v>0</v>
      </c>
      <c r="AK226">
        <f t="shared" si="46"/>
        <v>0</v>
      </c>
      <c r="AL226">
        <f t="shared" si="47"/>
        <v>0.64800000000000013</v>
      </c>
      <c r="AM226">
        <f t="shared" si="48"/>
        <v>0.64800000000000013</v>
      </c>
      <c r="AN226">
        <f t="shared" si="49"/>
        <v>0</v>
      </c>
      <c r="AO226">
        <f t="shared" si="50"/>
        <v>2.76</v>
      </c>
      <c r="AQ226" t="str">
        <f t="shared" si="51"/>
        <v>62_2_2</v>
      </c>
      <c r="AR226">
        <f t="shared" si="52"/>
        <v>2.75</v>
      </c>
      <c r="AS226">
        <f t="shared" si="53"/>
        <v>0</v>
      </c>
      <c r="AT226">
        <f t="shared" si="54"/>
        <v>5.125</v>
      </c>
      <c r="AU226">
        <f t="shared" si="55"/>
        <v>0</v>
      </c>
      <c r="AV226">
        <f t="shared" si="56"/>
        <v>2.76</v>
      </c>
    </row>
    <row r="227" spans="1:48">
      <c r="A227">
        <v>62</v>
      </c>
      <c r="B227">
        <v>2</v>
      </c>
      <c r="C227">
        <v>3</v>
      </c>
      <c r="D227" t="str">
        <f t="shared" si="43"/>
        <v>62_2_3</v>
      </c>
      <c r="E227">
        <v>0</v>
      </c>
      <c r="F227">
        <v>2.75</v>
      </c>
      <c r="G227">
        <v>5.125</v>
      </c>
      <c r="H227">
        <v>5.125</v>
      </c>
      <c r="I227">
        <v>0.875</v>
      </c>
      <c r="J227">
        <v>3.24</v>
      </c>
      <c r="K227">
        <v>2.76</v>
      </c>
      <c r="L227">
        <v>13.875</v>
      </c>
      <c r="M227" t="s">
        <v>31</v>
      </c>
      <c r="N227" t="s">
        <v>32</v>
      </c>
      <c r="O227" t="s">
        <v>32</v>
      </c>
      <c r="P227" t="s">
        <v>33</v>
      </c>
      <c r="Q227">
        <v>53</v>
      </c>
      <c r="S227">
        <v>3.24</v>
      </c>
      <c r="T227">
        <v>2.76</v>
      </c>
      <c r="U227">
        <v>0</v>
      </c>
      <c r="V227">
        <v>0</v>
      </c>
      <c r="W227">
        <v>0</v>
      </c>
      <c r="X227">
        <v>0.64800000000000013</v>
      </c>
      <c r="Y227">
        <v>0.64800000000000013</v>
      </c>
      <c r="Z227">
        <v>0</v>
      </c>
      <c r="AA227">
        <v>2.76</v>
      </c>
      <c r="AI227">
        <f t="shared" si="44"/>
        <v>0</v>
      </c>
      <c r="AJ227">
        <f t="shared" si="45"/>
        <v>0</v>
      </c>
      <c r="AK227">
        <f t="shared" si="46"/>
        <v>0</v>
      </c>
      <c r="AL227">
        <f t="shared" si="47"/>
        <v>0.64800000000000013</v>
      </c>
      <c r="AM227">
        <f t="shared" si="48"/>
        <v>0.64800000000000013</v>
      </c>
      <c r="AN227">
        <f t="shared" si="49"/>
        <v>0</v>
      </c>
      <c r="AO227">
        <f t="shared" si="50"/>
        <v>2.76</v>
      </c>
      <c r="AQ227" t="str">
        <f t="shared" si="51"/>
        <v>62_2_3</v>
      </c>
      <c r="AR227">
        <f t="shared" si="52"/>
        <v>2.75</v>
      </c>
      <c r="AS227">
        <f t="shared" si="53"/>
        <v>0</v>
      </c>
      <c r="AT227">
        <f t="shared" si="54"/>
        <v>5.125</v>
      </c>
      <c r="AU227">
        <f t="shared" si="55"/>
        <v>0</v>
      </c>
      <c r="AV227">
        <f t="shared" si="56"/>
        <v>2.76</v>
      </c>
    </row>
    <row r="228" spans="1:48">
      <c r="A228">
        <v>62</v>
      </c>
      <c r="B228">
        <v>3</v>
      </c>
      <c r="C228">
        <v>1</v>
      </c>
      <c r="D228" t="str">
        <f t="shared" si="43"/>
        <v>62_3_1</v>
      </c>
      <c r="E228">
        <v>0</v>
      </c>
      <c r="F228">
        <v>0</v>
      </c>
      <c r="G228">
        <v>0</v>
      </c>
      <c r="H228">
        <v>1.375</v>
      </c>
      <c r="I228">
        <v>0.25</v>
      </c>
      <c r="J228">
        <v>0.87750000000000006</v>
      </c>
      <c r="K228">
        <v>0.74749999999999994</v>
      </c>
      <c r="L228">
        <v>1.625</v>
      </c>
      <c r="M228" t="s">
        <v>31</v>
      </c>
      <c r="N228" t="s">
        <v>36</v>
      </c>
      <c r="O228" t="s">
        <v>36</v>
      </c>
      <c r="P228" t="s">
        <v>42</v>
      </c>
      <c r="Q228">
        <v>53</v>
      </c>
      <c r="S228">
        <v>0.87750000000000006</v>
      </c>
      <c r="T228">
        <v>0.74749999999999994</v>
      </c>
      <c r="U228">
        <v>0</v>
      </c>
      <c r="V228">
        <v>0</v>
      </c>
      <c r="W228">
        <v>0</v>
      </c>
      <c r="X228">
        <v>0.17550000000000002</v>
      </c>
      <c r="Y228">
        <v>0.17550000000000002</v>
      </c>
      <c r="Z228">
        <v>0</v>
      </c>
      <c r="AA228">
        <v>0.74749999999999994</v>
      </c>
      <c r="AI228">
        <f t="shared" si="44"/>
        <v>0</v>
      </c>
      <c r="AJ228">
        <f t="shared" si="45"/>
        <v>0</v>
      </c>
      <c r="AK228">
        <f t="shared" si="46"/>
        <v>0</v>
      </c>
      <c r="AL228">
        <f t="shared" si="47"/>
        <v>0.17550000000000002</v>
      </c>
      <c r="AM228">
        <f t="shared" si="48"/>
        <v>0.17550000000000002</v>
      </c>
      <c r="AN228">
        <f t="shared" si="49"/>
        <v>0</v>
      </c>
      <c r="AO228">
        <f t="shared" si="50"/>
        <v>0.74749999999999994</v>
      </c>
      <c r="AQ228" t="str">
        <f t="shared" si="51"/>
        <v>62_3_1</v>
      </c>
      <c r="AR228">
        <f t="shared" si="52"/>
        <v>0</v>
      </c>
      <c r="AS228">
        <f t="shared" si="53"/>
        <v>0</v>
      </c>
      <c r="AT228">
        <f t="shared" si="54"/>
        <v>0</v>
      </c>
      <c r="AU228">
        <f t="shared" si="55"/>
        <v>0</v>
      </c>
      <c r="AV228">
        <f t="shared" si="56"/>
        <v>0.74749999999999994</v>
      </c>
    </row>
    <row r="229" spans="1:48">
      <c r="A229">
        <v>62</v>
      </c>
      <c r="B229">
        <v>3</v>
      </c>
      <c r="C229">
        <v>2</v>
      </c>
      <c r="D229" t="str">
        <f t="shared" si="43"/>
        <v>62_3_2</v>
      </c>
      <c r="E229">
        <v>0</v>
      </c>
      <c r="F229">
        <v>0</v>
      </c>
      <c r="G229">
        <v>0</v>
      </c>
      <c r="H229">
        <v>1.375</v>
      </c>
      <c r="I229">
        <v>0.25</v>
      </c>
      <c r="J229">
        <v>0.87750000000000006</v>
      </c>
      <c r="K229">
        <v>0.74749999999999994</v>
      </c>
      <c r="L229">
        <v>1.625</v>
      </c>
      <c r="M229" t="s">
        <v>31</v>
      </c>
      <c r="N229" t="s">
        <v>36</v>
      </c>
      <c r="O229" t="s">
        <v>36</v>
      </c>
      <c r="P229" t="s">
        <v>33</v>
      </c>
      <c r="Q229">
        <v>53</v>
      </c>
      <c r="S229">
        <v>0.87750000000000006</v>
      </c>
      <c r="T229">
        <v>0.74749999999999994</v>
      </c>
      <c r="U229">
        <v>0</v>
      </c>
      <c r="V229">
        <v>0</v>
      </c>
      <c r="W229">
        <v>0</v>
      </c>
      <c r="X229">
        <v>0.17550000000000002</v>
      </c>
      <c r="Y229">
        <v>0.17550000000000002</v>
      </c>
      <c r="Z229">
        <v>0</v>
      </c>
      <c r="AA229">
        <v>0.74749999999999994</v>
      </c>
      <c r="AI229">
        <f t="shared" si="44"/>
        <v>0</v>
      </c>
      <c r="AJ229">
        <f t="shared" si="45"/>
        <v>0</v>
      </c>
      <c r="AK229">
        <f t="shared" si="46"/>
        <v>0</v>
      </c>
      <c r="AL229">
        <f t="shared" si="47"/>
        <v>0.17550000000000002</v>
      </c>
      <c r="AM229">
        <f t="shared" si="48"/>
        <v>0.17550000000000002</v>
      </c>
      <c r="AN229">
        <f t="shared" si="49"/>
        <v>0</v>
      </c>
      <c r="AO229">
        <f t="shared" si="50"/>
        <v>0.74749999999999994</v>
      </c>
      <c r="AQ229" t="str">
        <f t="shared" si="51"/>
        <v>62_3_2</v>
      </c>
      <c r="AR229">
        <f t="shared" si="52"/>
        <v>0</v>
      </c>
      <c r="AS229">
        <f t="shared" si="53"/>
        <v>0</v>
      </c>
      <c r="AT229">
        <f t="shared" si="54"/>
        <v>0</v>
      </c>
      <c r="AU229">
        <f t="shared" si="55"/>
        <v>0</v>
      </c>
      <c r="AV229">
        <f t="shared" si="56"/>
        <v>0.74749999999999994</v>
      </c>
    </row>
    <row r="230" spans="1:48">
      <c r="A230">
        <v>62</v>
      </c>
      <c r="B230">
        <v>3</v>
      </c>
      <c r="C230">
        <v>3</v>
      </c>
      <c r="D230" t="str">
        <f t="shared" si="43"/>
        <v>62_3_3</v>
      </c>
      <c r="E230">
        <v>0</v>
      </c>
      <c r="F230">
        <v>0</v>
      </c>
      <c r="G230">
        <v>0</v>
      </c>
      <c r="H230">
        <v>1.375</v>
      </c>
      <c r="I230">
        <v>0.25</v>
      </c>
      <c r="J230">
        <v>0.87750000000000006</v>
      </c>
      <c r="K230">
        <v>0.74749999999999994</v>
      </c>
      <c r="L230">
        <v>1.625</v>
      </c>
      <c r="M230" t="s">
        <v>31</v>
      </c>
      <c r="N230" t="s">
        <v>36</v>
      </c>
      <c r="O230" t="s">
        <v>36</v>
      </c>
      <c r="P230" t="s">
        <v>33</v>
      </c>
      <c r="Q230">
        <v>53</v>
      </c>
      <c r="S230">
        <v>0.87750000000000006</v>
      </c>
      <c r="T230">
        <v>0.74749999999999994</v>
      </c>
      <c r="U230">
        <v>0</v>
      </c>
      <c r="V230">
        <v>0</v>
      </c>
      <c r="W230">
        <v>0</v>
      </c>
      <c r="X230">
        <v>0.17550000000000002</v>
      </c>
      <c r="Y230">
        <v>0.17550000000000002</v>
      </c>
      <c r="Z230">
        <v>0</v>
      </c>
      <c r="AA230">
        <v>0.74749999999999994</v>
      </c>
      <c r="AI230">
        <f t="shared" si="44"/>
        <v>0</v>
      </c>
      <c r="AJ230">
        <f t="shared" si="45"/>
        <v>0</v>
      </c>
      <c r="AK230">
        <f t="shared" si="46"/>
        <v>0</v>
      </c>
      <c r="AL230">
        <f t="shared" si="47"/>
        <v>0.17550000000000002</v>
      </c>
      <c r="AM230">
        <f t="shared" si="48"/>
        <v>0.17550000000000002</v>
      </c>
      <c r="AN230">
        <f t="shared" si="49"/>
        <v>0</v>
      </c>
      <c r="AO230">
        <f t="shared" si="50"/>
        <v>0.74749999999999994</v>
      </c>
      <c r="AQ230" t="str">
        <f t="shared" si="51"/>
        <v>62_3_3</v>
      </c>
      <c r="AR230">
        <f t="shared" si="52"/>
        <v>0</v>
      </c>
      <c r="AS230">
        <f t="shared" si="53"/>
        <v>0</v>
      </c>
      <c r="AT230">
        <f t="shared" si="54"/>
        <v>0</v>
      </c>
      <c r="AU230">
        <f t="shared" si="55"/>
        <v>0</v>
      </c>
      <c r="AV230">
        <f t="shared" si="56"/>
        <v>0.74749999999999994</v>
      </c>
    </row>
    <row r="231" spans="1:48">
      <c r="A231">
        <v>63</v>
      </c>
      <c r="B231" t="s">
        <v>10</v>
      </c>
      <c r="C231" t="s">
        <v>10</v>
      </c>
      <c r="D231" t="str">
        <f t="shared" si="43"/>
        <v>63</v>
      </c>
      <c r="E231" t="s">
        <v>10</v>
      </c>
      <c r="F231" t="s">
        <v>10</v>
      </c>
      <c r="G231" t="s">
        <v>10</v>
      </c>
      <c r="H231" t="s">
        <v>10</v>
      </c>
      <c r="I231" t="s">
        <v>10</v>
      </c>
      <c r="L231">
        <v>0</v>
      </c>
      <c r="M231" t="s">
        <v>11</v>
      </c>
      <c r="Q231">
        <v>10</v>
      </c>
      <c r="R231" t="s">
        <v>35</v>
      </c>
      <c r="AI231">
        <f t="shared" si="44"/>
        <v>0</v>
      </c>
      <c r="AJ231">
        <f t="shared" si="45"/>
        <v>0</v>
      </c>
      <c r="AK231">
        <f t="shared" si="46"/>
        <v>0</v>
      </c>
      <c r="AL231">
        <f t="shared" si="47"/>
        <v>0</v>
      </c>
      <c r="AM231">
        <f t="shared" si="48"/>
        <v>0</v>
      </c>
      <c r="AN231">
        <f t="shared" si="49"/>
        <v>0</v>
      </c>
      <c r="AO231">
        <f t="shared" si="50"/>
        <v>0</v>
      </c>
      <c r="AQ231" t="str">
        <f t="shared" si="51"/>
        <v>63</v>
      </c>
      <c r="AR231" t="str">
        <f t="shared" si="52"/>
        <v/>
      </c>
      <c r="AS231">
        <f t="shared" si="53"/>
        <v>0</v>
      </c>
      <c r="AT231" t="str">
        <f t="shared" si="54"/>
        <v/>
      </c>
      <c r="AU231">
        <f t="shared" si="55"/>
        <v>0</v>
      </c>
      <c r="AV231">
        <f t="shared" si="56"/>
        <v>0</v>
      </c>
    </row>
    <row r="232" spans="1:48">
      <c r="A232">
        <v>63</v>
      </c>
      <c r="B232">
        <v>1</v>
      </c>
      <c r="C232">
        <v>1</v>
      </c>
      <c r="D232" t="str">
        <f t="shared" si="43"/>
        <v>63_1_1</v>
      </c>
      <c r="E232">
        <v>0</v>
      </c>
      <c r="F232">
        <v>1.5</v>
      </c>
      <c r="G232">
        <v>2.75</v>
      </c>
      <c r="H232">
        <v>2.75</v>
      </c>
      <c r="I232">
        <v>0.5</v>
      </c>
      <c r="J232">
        <v>1.7550000000000001</v>
      </c>
      <c r="K232">
        <v>1.4949999999999999</v>
      </c>
      <c r="L232">
        <v>7.5</v>
      </c>
      <c r="M232" t="s">
        <v>31</v>
      </c>
      <c r="N232" t="s">
        <v>33</v>
      </c>
      <c r="O232" t="s">
        <v>43</v>
      </c>
      <c r="P232" t="s">
        <v>42</v>
      </c>
      <c r="Q232">
        <v>10</v>
      </c>
      <c r="S232">
        <v>1.7550000000000001</v>
      </c>
      <c r="T232">
        <v>1.4949999999999999</v>
      </c>
      <c r="U232">
        <v>0.30000000000000004</v>
      </c>
      <c r="V232">
        <v>0</v>
      </c>
      <c r="W232">
        <v>0.30000000000000004</v>
      </c>
      <c r="X232">
        <v>0.35100000000000003</v>
      </c>
      <c r="Y232">
        <v>0.35100000000000003</v>
      </c>
      <c r="Z232">
        <v>2.75</v>
      </c>
      <c r="AA232">
        <v>1.4949999999999999</v>
      </c>
      <c r="AI232">
        <f t="shared" si="44"/>
        <v>0.30000000000000004</v>
      </c>
      <c r="AJ232">
        <f t="shared" si="45"/>
        <v>0</v>
      </c>
      <c r="AK232">
        <f t="shared" si="46"/>
        <v>0.30000000000000004</v>
      </c>
      <c r="AL232">
        <f t="shared" si="47"/>
        <v>0.35100000000000003</v>
      </c>
      <c r="AM232">
        <f t="shared" si="48"/>
        <v>0.35100000000000003</v>
      </c>
      <c r="AN232">
        <f t="shared" si="49"/>
        <v>2.75</v>
      </c>
      <c r="AO232">
        <f t="shared" si="50"/>
        <v>1.4949999999999999</v>
      </c>
      <c r="AQ232" t="str">
        <f t="shared" si="51"/>
        <v>63_1_1</v>
      </c>
      <c r="AR232">
        <f t="shared" si="52"/>
        <v>1.5</v>
      </c>
      <c r="AS232">
        <f t="shared" si="53"/>
        <v>0.30000000000000004</v>
      </c>
      <c r="AT232">
        <f t="shared" si="54"/>
        <v>2.75</v>
      </c>
      <c r="AU232">
        <f t="shared" si="55"/>
        <v>2.75</v>
      </c>
      <c r="AV232">
        <f t="shared" si="56"/>
        <v>1.4949999999999999</v>
      </c>
    </row>
    <row r="233" spans="1:48">
      <c r="A233">
        <v>63</v>
      </c>
      <c r="B233">
        <v>1</v>
      </c>
      <c r="C233">
        <v>2</v>
      </c>
      <c r="D233" t="str">
        <f t="shared" si="43"/>
        <v>63_1_2</v>
      </c>
      <c r="E233">
        <v>0</v>
      </c>
      <c r="F233">
        <v>1</v>
      </c>
      <c r="G233">
        <v>1.875</v>
      </c>
      <c r="H233">
        <v>1.875</v>
      </c>
      <c r="I233">
        <v>0.375</v>
      </c>
      <c r="J233">
        <v>1.2150000000000001</v>
      </c>
      <c r="K233">
        <v>1.0349999999999999</v>
      </c>
      <c r="L233">
        <v>5.125</v>
      </c>
      <c r="M233" t="s">
        <v>31</v>
      </c>
      <c r="N233" t="s">
        <v>32</v>
      </c>
      <c r="O233" t="s">
        <v>43</v>
      </c>
      <c r="P233" t="s">
        <v>42</v>
      </c>
      <c r="Q233">
        <v>10</v>
      </c>
      <c r="S233">
        <v>1.2150000000000001</v>
      </c>
      <c r="T233">
        <v>1.0349999999999999</v>
      </c>
      <c r="U233">
        <v>0</v>
      </c>
      <c r="V233">
        <v>0</v>
      </c>
      <c r="W233">
        <v>0</v>
      </c>
      <c r="X233">
        <v>0.24300000000000002</v>
      </c>
      <c r="Y233">
        <v>0.24300000000000002</v>
      </c>
      <c r="Z233">
        <v>1.875</v>
      </c>
      <c r="AA233">
        <v>1.0349999999999999</v>
      </c>
      <c r="AI233">
        <f t="shared" si="44"/>
        <v>0</v>
      </c>
      <c r="AJ233">
        <f t="shared" si="45"/>
        <v>0</v>
      </c>
      <c r="AK233">
        <f t="shared" si="46"/>
        <v>0</v>
      </c>
      <c r="AL233">
        <f t="shared" si="47"/>
        <v>0.24300000000000002</v>
      </c>
      <c r="AM233">
        <f t="shared" si="48"/>
        <v>0.24300000000000002</v>
      </c>
      <c r="AN233">
        <f t="shared" si="49"/>
        <v>1.875</v>
      </c>
      <c r="AO233">
        <f t="shared" si="50"/>
        <v>1.0349999999999999</v>
      </c>
      <c r="AQ233" t="str">
        <f t="shared" si="51"/>
        <v>63_1_2</v>
      </c>
      <c r="AR233">
        <f t="shared" si="52"/>
        <v>1</v>
      </c>
      <c r="AS233">
        <f t="shared" si="53"/>
        <v>0</v>
      </c>
      <c r="AT233">
        <f t="shared" si="54"/>
        <v>1.875</v>
      </c>
      <c r="AU233">
        <f t="shared" si="55"/>
        <v>1.875</v>
      </c>
      <c r="AV233">
        <f t="shared" si="56"/>
        <v>1.0349999999999999</v>
      </c>
    </row>
    <row r="234" spans="1:48">
      <c r="A234">
        <v>63</v>
      </c>
      <c r="B234">
        <v>1</v>
      </c>
      <c r="C234">
        <v>3</v>
      </c>
      <c r="D234" t="str">
        <f t="shared" si="43"/>
        <v>63_1_3</v>
      </c>
      <c r="E234">
        <v>0</v>
      </c>
      <c r="F234">
        <v>1</v>
      </c>
      <c r="G234">
        <v>1.875</v>
      </c>
      <c r="H234">
        <v>1.875</v>
      </c>
      <c r="I234">
        <v>0.375</v>
      </c>
      <c r="J234">
        <v>1.2150000000000001</v>
      </c>
      <c r="K234">
        <v>1.0349999999999999</v>
      </c>
      <c r="L234">
        <v>5.125</v>
      </c>
      <c r="M234" t="s">
        <v>31</v>
      </c>
      <c r="N234" t="s">
        <v>32</v>
      </c>
      <c r="O234" t="s">
        <v>43</v>
      </c>
      <c r="P234" t="s">
        <v>42</v>
      </c>
      <c r="Q234">
        <v>10</v>
      </c>
      <c r="S234">
        <v>1.2150000000000001</v>
      </c>
      <c r="T234">
        <v>1.0349999999999999</v>
      </c>
      <c r="U234">
        <v>0</v>
      </c>
      <c r="V234">
        <v>0</v>
      </c>
      <c r="W234">
        <v>0</v>
      </c>
      <c r="X234">
        <v>0.24300000000000002</v>
      </c>
      <c r="Y234">
        <v>0.24300000000000002</v>
      </c>
      <c r="Z234">
        <v>1.875</v>
      </c>
      <c r="AA234">
        <v>1.0349999999999999</v>
      </c>
      <c r="AI234">
        <f t="shared" si="44"/>
        <v>0</v>
      </c>
      <c r="AJ234">
        <f t="shared" si="45"/>
        <v>0</v>
      </c>
      <c r="AK234">
        <f t="shared" si="46"/>
        <v>0</v>
      </c>
      <c r="AL234">
        <f t="shared" si="47"/>
        <v>0.24300000000000002</v>
      </c>
      <c r="AM234">
        <f t="shared" si="48"/>
        <v>0.24300000000000002</v>
      </c>
      <c r="AN234">
        <f t="shared" si="49"/>
        <v>1.875</v>
      </c>
      <c r="AO234">
        <f t="shared" si="50"/>
        <v>1.0349999999999999</v>
      </c>
      <c r="AQ234" t="str">
        <f t="shared" si="51"/>
        <v>63_1_3</v>
      </c>
      <c r="AR234">
        <f t="shared" si="52"/>
        <v>1</v>
      </c>
      <c r="AS234">
        <f t="shared" si="53"/>
        <v>0</v>
      </c>
      <c r="AT234">
        <f t="shared" si="54"/>
        <v>1.875</v>
      </c>
      <c r="AU234">
        <f t="shared" si="55"/>
        <v>1.875</v>
      </c>
      <c r="AV234">
        <f t="shared" si="56"/>
        <v>1.0349999999999999</v>
      </c>
    </row>
    <row r="235" spans="1:48">
      <c r="A235">
        <v>63</v>
      </c>
      <c r="B235">
        <v>1</v>
      </c>
      <c r="C235">
        <v>4</v>
      </c>
      <c r="D235" t="str">
        <f t="shared" si="43"/>
        <v>63_1_4</v>
      </c>
      <c r="E235">
        <v>0</v>
      </c>
      <c r="F235">
        <v>1</v>
      </c>
      <c r="G235">
        <v>1.875</v>
      </c>
      <c r="H235">
        <v>1.875</v>
      </c>
      <c r="I235">
        <v>0.375</v>
      </c>
      <c r="J235">
        <v>1.2150000000000001</v>
      </c>
      <c r="K235">
        <v>1.0349999999999999</v>
      </c>
      <c r="L235">
        <v>5.125</v>
      </c>
      <c r="M235" t="s">
        <v>31</v>
      </c>
      <c r="N235" t="s">
        <v>32</v>
      </c>
      <c r="O235" t="s">
        <v>43</v>
      </c>
      <c r="P235" t="s">
        <v>42</v>
      </c>
      <c r="Q235">
        <v>10</v>
      </c>
      <c r="S235">
        <v>1.2150000000000001</v>
      </c>
      <c r="T235">
        <v>1.0349999999999999</v>
      </c>
      <c r="U235">
        <v>0</v>
      </c>
      <c r="V235">
        <v>0</v>
      </c>
      <c r="W235">
        <v>0</v>
      </c>
      <c r="X235">
        <v>0.24300000000000002</v>
      </c>
      <c r="Y235">
        <v>0.24300000000000002</v>
      </c>
      <c r="Z235">
        <v>1.875</v>
      </c>
      <c r="AA235">
        <v>1.0349999999999999</v>
      </c>
      <c r="AI235">
        <f t="shared" si="44"/>
        <v>0</v>
      </c>
      <c r="AJ235">
        <f t="shared" si="45"/>
        <v>0</v>
      </c>
      <c r="AK235">
        <f t="shared" si="46"/>
        <v>0</v>
      </c>
      <c r="AL235">
        <f t="shared" si="47"/>
        <v>0.24300000000000002</v>
      </c>
      <c r="AM235">
        <f t="shared" si="48"/>
        <v>0.24300000000000002</v>
      </c>
      <c r="AN235">
        <f t="shared" si="49"/>
        <v>1.875</v>
      </c>
      <c r="AO235">
        <f t="shared" si="50"/>
        <v>1.0349999999999999</v>
      </c>
      <c r="AQ235" t="str">
        <f t="shared" si="51"/>
        <v>63_1_4</v>
      </c>
      <c r="AR235">
        <f t="shared" si="52"/>
        <v>1</v>
      </c>
      <c r="AS235">
        <f t="shared" si="53"/>
        <v>0</v>
      </c>
      <c r="AT235">
        <f t="shared" si="54"/>
        <v>1.875</v>
      </c>
      <c r="AU235">
        <f t="shared" si="55"/>
        <v>1.875</v>
      </c>
      <c r="AV235">
        <f t="shared" si="56"/>
        <v>1.0349999999999999</v>
      </c>
    </row>
    <row r="236" spans="1:48">
      <c r="A236">
        <v>63</v>
      </c>
      <c r="B236">
        <v>1</v>
      </c>
      <c r="C236">
        <v>5</v>
      </c>
      <c r="D236" t="str">
        <f t="shared" si="43"/>
        <v>63_1_5</v>
      </c>
      <c r="E236">
        <v>0</v>
      </c>
      <c r="F236">
        <v>1</v>
      </c>
      <c r="G236">
        <v>1.875</v>
      </c>
      <c r="H236">
        <v>1.875</v>
      </c>
      <c r="I236">
        <v>0.375</v>
      </c>
      <c r="J236">
        <v>1.2150000000000001</v>
      </c>
      <c r="K236">
        <v>1.0349999999999999</v>
      </c>
      <c r="L236">
        <v>5.125</v>
      </c>
      <c r="M236" t="s">
        <v>31</v>
      </c>
      <c r="N236" t="s">
        <v>32</v>
      </c>
      <c r="O236" t="s">
        <v>43</v>
      </c>
      <c r="P236" t="s">
        <v>42</v>
      </c>
      <c r="Q236">
        <v>10</v>
      </c>
      <c r="S236">
        <v>1.2150000000000001</v>
      </c>
      <c r="T236">
        <v>1.0349999999999999</v>
      </c>
      <c r="U236">
        <v>0</v>
      </c>
      <c r="V236">
        <v>0</v>
      </c>
      <c r="W236">
        <v>0</v>
      </c>
      <c r="X236">
        <v>0.24300000000000002</v>
      </c>
      <c r="Y236">
        <v>0.24300000000000002</v>
      </c>
      <c r="Z236">
        <v>1.875</v>
      </c>
      <c r="AA236">
        <v>1.0349999999999999</v>
      </c>
      <c r="AI236">
        <f t="shared" si="44"/>
        <v>0</v>
      </c>
      <c r="AJ236">
        <f t="shared" si="45"/>
        <v>0</v>
      </c>
      <c r="AK236">
        <f t="shared" si="46"/>
        <v>0</v>
      </c>
      <c r="AL236">
        <f t="shared" si="47"/>
        <v>0.24300000000000002</v>
      </c>
      <c r="AM236">
        <f t="shared" si="48"/>
        <v>0.24300000000000002</v>
      </c>
      <c r="AN236">
        <f t="shared" si="49"/>
        <v>1.875</v>
      </c>
      <c r="AO236">
        <f t="shared" si="50"/>
        <v>1.0349999999999999</v>
      </c>
      <c r="AQ236" t="str">
        <f t="shared" si="51"/>
        <v>63_1_5</v>
      </c>
      <c r="AR236">
        <f t="shared" si="52"/>
        <v>1</v>
      </c>
      <c r="AS236">
        <f t="shared" si="53"/>
        <v>0</v>
      </c>
      <c r="AT236">
        <f t="shared" si="54"/>
        <v>1.875</v>
      </c>
      <c r="AU236">
        <f t="shared" si="55"/>
        <v>1.875</v>
      </c>
      <c r="AV236">
        <f t="shared" si="56"/>
        <v>1.0349999999999999</v>
      </c>
    </row>
    <row r="237" spans="1:48">
      <c r="A237">
        <v>64</v>
      </c>
      <c r="B237" t="s">
        <v>10</v>
      </c>
      <c r="C237" t="s">
        <v>10</v>
      </c>
      <c r="D237" t="str">
        <f t="shared" si="43"/>
        <v>64</v>
      </c>
      <c r="E237" t="s">
        <v>10</v>
      </c>
      <c r="F237" t="s">
        <v>10</v>
      </c>
      <c r="G237" t="s">
        <v>10</v>
      </c>
      <c r="H237" t="s">
        <v>10</v>
      </c>
      <c r="I237" t="s">
        <v>10</v>
      </c>
      <c r="L237">
        <v>0</v>
      </c>
      <c r="M237" t="s">
        <v>11</v>
      </c>
      <c r="Q237">
        <v>12</v>
      </c>
      <c r="R237" t="s">
        <v>35</v>
      </c>
      <c r="AI237">
        <f t="shared" si="44"/>
        <v>0</v>
      </c>
      <c r="AJ237">
        <f t="shared" si="45"/>
        <v>0</v>
      </c>
      <c r="AK237">
        <f t="shared" si="46"/>
        <v>0</v>
      </c>
      <c r="AL237">
        <f t="shared" si="47"/>
        <v>0</v>
      </c>
      <c r="AM237">
        <f t="shared" si="48"/>
        <v>0</v>
      </c>
      <c r="AN237">
        <f t="shared" si="49"/>
        <v>0</v>
      </c>
      <c r="AO237">
        <f t="shared" si="50"/>
        <v>0</v>
      </c>
      <c r="AQ237" t="str">
        <f t="shared" si="51"/>
        <v>64</v>
      </c>
      <c r="AR237" t="str">
        <f t="shared" si="52"/>
        <v/>
      </c>
      <c r="AS237">
        <f t="shared" si="53"/>
        <v>0</v>
      </c>
      <c r="AT237" t="str">
        <f t="shared" si="54"/>
        <v/>
      </c>
      <c r="AU237">
        <f t="shared" si="55"/>
        <v>0</v>
      </c>
      <c r="AV237">
        <f t="shared" si="56"/>
        <v>0</v>
      </c>
    </row>
    <row r="238" spans="1:48">
      <c r="A238">
        <v>64</v>
      </c>
      <c r="B238">
        <v>1</v>
      </c>
      <c r="C238" t="s">
        <v>10</v>
      </c>
      <c r="D238" t="str">
        <f t="shared" si="43"/>
        <v>64_1</v>
      </c>
      <c r="E238">
        <v>0</v>
      </c>
      <c r="F238">
        <v>0.75</v>
      </c>
      <c r="G238">
        <v>1.375</v>
      </c>
      <c r="H238">
        <v>1.375</v>
      </c>
      <c r="I238">
        <v>0.25</v>
      </c>
      <c r="J238">
        <v>0.87750000000000006</v>
      </c>
      <c r="K238">
        <v>0.74749999999999994</v>
      </c>
      <c r="L238">
        <v>3.75</v>
      </c>
      <c r="M238" t="s">
        <v>31</v>
      </c>
      <c r="N238" t="s">
        <v>32</v>
      </c>
      <c r="O238" t="s">
        <v>37</v>
      </c>
      <c r="P238" t="s">
        <v>33</v>
      </c>
      <c r="Q238">
        <v>12</v>
      </c>
      <c r="S238">
        <v>0.87750000000000006</v>
      </c>
      <c r="T238">
        <v>0.74749999999999994</v>
      </c>
      <c r="U238">
        <v>0</v>
      </c>
      <c r="V238">
        <v>0</v>
      </c>
      <c r="W238">
        <v>0</v>
      </c>
      <c r="X238">
        <v>0.17550000000000002</v>
      </c>
      <c r="Y238">
        <v>0.17550000000000002</v>
      </c>
      <c r="Z238">
        <v>1.375</v>
      </c>
      <c r="AA238">
        <v>0.74749999999999994</v>
      </c>
      <c r="AI238">
        <f t="shared" si="44"/>
        <v>0</v>
      </c>
      <c r="AJ238">
        <f t="shared" si="45"/>
        <v>0</v>
      </c>
      <c r="AK238">
        <f t="shared" si="46"/>
        <v>0</v>
      </c>
      <c r="AL238">
        <f t="shared" si="47"/>
        <v>0.17550000000000002</v>
      </c>
      <c r="AM238">
        <f t="shared" si="48"/>
        <v>0.17550000000000002</v>
      </c>
      <c r="AN238">
        <f t="shared" si="49"/>
        <v>1.375</v>
      </c>
      <c r="AO238">
        <f t="shared" si="50"/>
        <v>0.74749999999999994</v>
      </c>
      <c r="AQ238" t="str">
        <f t="shared" si="51"/>
        <v>64_1</v>
      </c>
      <c r="AR238">
        <f t="shared" si="52"/>
        <v>0.75</v>
      </c>
      <c r="AS238">
        <f t="shared" si="53"/>
        <v>0</v>
      </c>
      <c r="AT238">
        <f t="shared" si="54"/>
        <v>1.375</v>
      </c>
      <c r="AU238">
        <f t="shared" si="55"/>
        <v>1.375</v>
      </c>
      <c r="AV238">
        <f t="shared" si="56"/>
        <v>0.74749999999999994</v>
      </c>
    </row>
    <row r="239" spans="1:48">
      <c r="A239">
        <v>64</v>
      </c>
      <c r="B239">
        <v>2</v>
      </c>
      <c r="D239" t="str">
        <f t="shared" si="43"/>
        <v>64_2</v>
      </c>
      <c r="E239">
        <v>0</v>
      </c>
      <c r="F239">
        <v>0</v>
      </c>
      <c r="G239">
        <v>0</v>
      </c>
      <c r="H239">
        <v>0</v>
      </c>
      <c r="I239">
        <v>0</v>
      </c>
      <c r="L239">
        <v>0</v>
      </c>
      <c r="M239" t="s">
        <v>11</v>
      </c>
      <c r="N239" t="s">
        <v>36</v>
      </c>
      <c r="O239" t="s">
        <v>36</v>
      </c>
      <c r="P239" t="s">
        <v>36</v>
      </c>
      <c r="Q239">
        <v>12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I239">
        <f t="shared" si="44"/>
        <v>0</v>
      </c>
      <c r="AJ239">
        <f t="shared" si="45"/>
        <v>0</v>
      </c>
      <c r="AK239">
        <f t="shared" si="46"/>
        <v>0</v>
      </c>
      <c r="AL239">
        <f t="shared" si="47"/>
        <v>0</v>
      </c>
      <c r="AM239">
        <f t="shared" si="48"/>
        <v>0</v>
      </c>
      <c r="AN239">
        <f t="shared" si="49"/>
        <v>0</v>
      </c>
      <c r="AO239">
        <f t="shared" si="50"/>
        <v>0</v>
      </c>
      <c r="AQ239" t="str">
        <f t="shared" si="51"/>
        <v>64_2</v>
      </c>
      <c r="AR239">
        <f t="shared" si="52"/>
        <v>0</v>
      </c>
      <c r="AS239">
        <f t="shared" si="53"/>
        <v>0</v>
      </c>
      <c r="AT239">
        <f t="shared" si="54"/>
        <v>0</v>
      </c>
      <c r="AU239">
        <f t="shared" si="55"/>
        <v>0</v>
      </c>
      <c r="AV239">
        <f t="shared" si="56"/>
        <v>0</v>
      </c>
    </row>
    <row r="240" spans="1:48">
      <c r="A240">
        <v>64</v>
      </c>
      <c r="B240">
        <v>3</v>
      </c>
      <c r="D240" t="str">
        <f t="shared" si="43"/>
        <v>64_3</v>
      </c>
      <c r="E240">
        <v>0</v>
      </c>
      <c r="F240">
        <v>0.75</v>
      </c>
      <c r="G240">
        <v>1.375</v>
      </c>
      <c r="H240">
        <v>1.375</v>
      </c>
      <c r="I240">
        <v>0.25</v>
      </c>
      <c r="J240">
        <v>0.87750000000000006</v>
      </c>
      <c r="K240">
        <v>0.74749999999999994</v>
      </c>
      <c r="L240">
        <v>3.75</v>
      </c>
      <c r="M240" t="s">
        <v>31</v>
      </c>
      <c r="N240" t="s">
        <v>32</v>
      </c>
      <c r="O240" t="s">
        <v>37</v>
      </c>
      <c r="P240" t="s">
        <v>33</v>
      </c>
      <c r="Q240">
        <v>12</v>
      </c>
      <c r="S240">
        <v>0.87750000000000006</v>
      </c>
      <c r="T240">
        <v>0.74749999999999994</v>
      </c>
      <c r="U240">
        <v>0</v>
      </c>
      <c r="V240">
        <v>0</v>
      </c>
      <c r="W240">
        <v>0</v>
      </c>
      <c r="X240">
        <v>0.17550000000000002</v>
      </c>
      <c r="Y240">
        <v>0.17550000000000002</v>
      </c>
      <c r="Z240">
        <v>1.375</v>
      </c>
      <c r="AA240">
        <v>0.74749999999999994</v>
      </c>
      <c r="AI240">
        <f t="shared" si="44"/>
        <v>0</v>
      </c>
      <c r="AJ240">
        <f t="shared" si="45"/>
        <v>0</v>
      </c>
      <c r="AK240">
        <f t="shared" si="46"/>
        <v>0</v>
      </c>
      <c r="AL240">
        <f t="shared" si="47"/>
        <v>0.17550000000000002</v>
      </c>
      <c r="AM240">
        <f t="shared" si="48"/>
        <v>0.17550000000000002</v>
      </c>
      <c r="AN240">
        <f t="shared" si="49"/>
        <v>1.375</v>
      </c>
      <c r="AO240">
        <f t="shared" si="50"/>
        <v>0.74749999999999994</v>
      </c>
      <c r="AQ240" t="str">
        <f t="shared" si="51"/>
        <v>64_3</v>
      </c>
      <c r="AR240">
        <f t="shared" si="52"/>
        <v>0.75</v>
      </c>
      <c r="AS240">
        <f t="shared" si="53"/>
        <v>0</v>
      </c>
      <c r="AT240">
        <f t="shared" si="54"/>
        <v>1.375</v>
      </c>
      <c r="AU240">
        <f t="shared" si="55"/>
        <v>1.375</v>
      </c>
      <c r="AV240">
        <f t="shared" si="56"/>
        <v>0.74749999999999994</v>
      </c>
    </row>
    <row r="241" spans="1:48">
      <c r="A241">
        <v>65</v>
      </c>
      <c r="B241" t="s">
        <v>10</v>
      </c>
      <c r="C241" t="s">
        <v>10</v>
      </c>
      <c r="D241" t="str">
        <f t="shared" si="43"/>
        <v>65</v>
      </c>
      <c r="E241" t="s">
        <v>10</v>
      </c>
      <c r="F241" t="s">
        <v>10</v>
      </c>
      <c r="G241" t="s">
        <v>10</v>
      </c>
      <c r="H241" t="s">
        <v>10</v>
      </c>
      <c r="I241" t="s">
        <v>10</v>
      </c>
      <c r="L241">
        <v>0</v>
      </c>
      <c r="M241" t="s">
        <v>11</v>
      </c>
      <c r="Q241">
        <v>19</v>
      </c>
      <c r="R241" t="s">
        <v>35</v>
      </c>
      <c r="AI241">
        <f t="shared" si="44"/>
        <v>0</v>
      </c>
      <c r="AJ241">
        <f t="shared" si="45"/>
        <v>0</v>
      </c>
      <c r="AK241">
        <f t="shared" si="46"/>
        <v>0</v>
      </c>
      <c r="AL241">
        <f t="shared" si="47"/>
        <v>0</v>
      </c>
      <c r="AM241">
        <f t="shared" si="48"/>
        <v>0</v>
      </c>
      <c r="AN241">
        <f t="shared" si="49"/>
        <v>0</v>
      </c>
      <c r="AO241">
        <f t="shared" si="50"/>
        <v>0</v>
      </c>
      <c r="AQ241" t="str">
        <f t="shared" si="51"/>
        <v>65</v>
      </c>
      <c r="AR241" t="str">
        <f t="shared" si="52"/>
        <v/>
      </c>
      <c r="AS241">
        <f t="shared" si="53"/>
        <v>0</v>
      </c>
      <c r="AT241" t="str">
        <f t="shared" si="54"/>
        <v/>
      </c>
      <c r="AU241">
        <f t="shared" si="55"/>
        <v>0</v>
      </c>
      <c r="AV241">
        <f t="shared" si="56"/>
        <v>0</v>
      </c>
    </row>
    <row r="242" spans="1:48">
      <c r="A242">
        <v>65</v>
      </c>
      <c r="B242">
        <v>1</v>
      </c>
      <c r="C242" t="s">
        <v>10</v>
      </c>
      <c r="D242" t="str">
        <f t="shared" si="43"/>
        <v>65_1</v>
      </c>
      <c r="E242">
        <v>0</v>
      </c>
      <c r="F242">
        <v>1</v>
      </c>
      <c r="G242">
        <v>1.875</v>
      </c>
      <c r="H242">
        <v>1.875</v>
      </c>
      <c r="I242">
        <v>0.375</v>
      </c>
      <c r="J242">
        <v>1.2150000000000001</v>
      </c>
      <c r="K242">
        <v>1.0349999999999999</v>
      </c>
      <c r="L242">
        <v>5.125</v>
      </c>
      <c r="M242" t="s">
        <v>31</v>
      </c>
      <c r="N242" t="s">
        <v>33</v>
      </c>
      <c r="O242" t="s">
        <v>37</v>
      </c>
      <c r="P242" t="s">
        <v>42</v>
      </c>
      <c r="Q242">
        <v>19</v>
      </c>
      <c r="S242">
        <v>1.2150000000000001</v>
      </c>
      <c r="T242">
        <v>1.0349999999999999</v>
      </c>
      <c r="U242">
        <v>0.2</v>
      </c>
      <c r="V242">
        <v>0</v>
      </c>
      <c r="W242">
        <v>0.2</v>
      </c>
      <c r="X242">
        <v>0.24300000000000002</v>
      </c>
      <c r="Y242">
        <v>0.24300000000000002</v>
      </c>
      <c r="Z242">
        <v>1.875</v>
      </c>
      <c r="AA242">
        <v>1.0349999999999999</v>
      </c>
      <c r="AI242">
        <f t="shared" si="44"/>
        <v>0.2</v>
      </c>
      <c r="AJ242">
        <f t="shared" si="45"/>
        <v>0</v>
      </c>
      <c r="AK242">
        <f t="shared" si="46"/>
        <v>0.2</v>
      </c>
      <c r="AL242">
        <f t="shared" si="47"/>
        <v>0.24300000000000002</v>
      </c>
      <c r="AM242">
        <f t="shared" si="48"/>
        <v>0.24300000000000002</v>
      </c>
      <c r="AN242">
        <f t="shared" si="49"/>
        <v>1.875</v>
      </c>
      <c r="AO242">
        <f t="shared" si="50"/>
        <v>1.0349999999999999</v>
      </c>
      <c r="AQ242" t="str">
        <f t="shared" si="51"/>
        <v>65_1</v>
      </c>
      <c r="AR242">
        <f t="shared" si="52"/>
        <v>1</v>
      </c>
      <c r="AS242">
        <f t="shared" si="53"/>
        <v>0.2</v>
      </c>
      <c r="AT242">
        <f t="shared" si="54"/>
        <v>1.875</v>
      </c>
      <c r="AU242">
        <f t="shared" si="55"/>
        <v>1.875</v>
      </c>
      <c r="AV242">
        <f t="shared" si="56"/>
        <v>1.0349999999999999</v>
      </c>
    </row>
    <row r="243" spans="1:48">
      <c r="A243">
        <v>65</v>
      </c>
      <c r="B243">
        <v>2</v>
      </c>
      <c r="C243" t="s">
        <v>10</v>
      </c>
      <c r="D243" t="str">
        <f t="shared" si="43"/>
        <v>65_2</v>
      </c>
      <c r="E243">
        <v>0</v>
      </c>
      <c r="F243">
        <v>0.25</v>
      </c>
      <c r="G243">
        <v>0.5</v>
      </c>
      <c r="H243">
        <v>0.5</v>
      </c>
      <c r="I243">
        <v>0.125</v>
      </c>
      <c r="J243">
        <v>0.33750000000000002</v>
      </c>
      <c r="K243">
        <v>0.28749999999999998</v>
      </c>
      <c r="L243">
        <v>1.375</v>
      </c>
      <c r="M243" t="s">
        <v>31</v>
      </c>
      <c r="N243" t="s">
        <v>45</v>
      </c>
      <c r="O243" t="s">
        <v>32</v>
      </c>
      <c r="P243" t="s">
        <v>32</v>
      </c>
      <c r="Q243">
        <v>19</v>
      </c>
      <c r="S243">
        <v>0.33750000000000002</v>
      </c>
      <c r="T243">
        <v>0.28749999999999998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0.28749999999999998</v>
      </c>
      <c r="AI243">
        <f t="shared" si="44"/>
        <v>0</v>
      </c>
      <c r="AJ243">
        <f t="shared" si="45"/>
        <v>0</v>
      </c>
      <c r="AK243">
        <f t="shared" si="46"/>
        <v>0</v>
      </c>
      <c r="AL243">
        <f t="shared" si="47"/>
        <v>0</v>
      </c>
      <c r="AM243">
        <f t="shared" si="48"/>
        <v>0</v>
      </c>
      <c r="AN243">
        <f t="shared" si="49"/>
        <v>0</v>
      </c>
      <c r="AO243">
        <f t="shared" si="50"/>
        <v>0.28749999999999998</v>
      </c>
      <c r="AQ243" t="str">
        <f t="shared" si="51"/>
        <v>65_2</v>
      </c>
      <c r="AR243">
        <f t="shared" si="52"/>
        <v>0.25</v>
      </c>
      <c r="AS243">
        <f t="shared" si="53"/>
        <v>0</v>
      </c>
      <c r="AT243">
        <f t="shared" si="54"/>
        <v>0.5</v>
      </c>
      <c r="AU243">
        <f t="shared" si="55"/>
        <v>0</v>
      </c>
      <c r="AV243">
        <f t="shared" si="56"/>
        <v>0.28749999999999998</v>
      </c>
    </row>
    <row r="244" spans="1:48">
      <c r="A244">
        <v>66</v>
      </c>
      <c r="B244" t="s">
        <v>10</v>
      </c>
      <c r="C244" t="s">
        <v>10</v>
      </c>
      <c r="D244" t="str">
        <f t="shared" si="43"/>
        <v>66</v>
      </c>
      <c r="E244" t="s">
        <v>10</v>
      </c>
      <c r="F244" t="s">
        <v>10</v>
      </c>
      <c r="G244" t="s">
        <v>10</v>
      </c>
      <c r="H244" t="s">
        <v>10</v>
      </c>
      <c r="I244" t="s">
        <v>10</v>
      </c>
      <c r="L244">
        <v>0</v>
      </c>
      <c r="M244" t="s">
        <v>11</v>
      </c>
      <c r="N244" t="s">
        <v>11</v>
      </c>
      <c r="O244" t="s">
        <v>11</v>
      </c>
      <c r="P244" t="s">
        <v>11</v>
      </c>
      <c r="Q244" t="s">
        <v>11</v>
      </c>
      <c r="AI244">
        <f t="shared" si="44"/>
        <v>0</v>
      </c>
      <c r="AJ244">
        <f t="shared" si="45"/>
        <v>0</v>
      </c>
      <c r="AK244">
        <f t="shared" si="46"/>
        <v>0</v>
      </c>
      <c r="AL244">
        <f t="shared" si="47"/>
        <v>0</v>
      </c>
      <c r="AM244">
        <f t="shared" si="48"/>
        <v>0</v>
      </c>
      <c r="AN244">
        <f t="shared" si="49"/>
        <v>0</v>
      </c>
      <c r="AO244">
        <f t="shared" si="50"/>
        <v>0</v>
      </c>
      <c r="AQ244" t="str">
        <f t="shared" si="51"/>
        <v>66</v>
      </c>
      <c r="AR244" t="str">
        <f t="shared" si="52"/>
        <v/>
      </c>
      <c r="AS244">
        <f t="shared" si="53"/>
        <v>0</v>
      </c>
      <c r="AT244" t="str">
        <f t="shared" si="54"/>
        <v/>
      </c>
      <c r="AU244">
        <f t="shared" si="55"/>
        <v>0</v>
      </c>
      <c r="AV244">
        <f t="shared" si="56"/>
        <v>0</v>
      </c>
    </row>
    <row r="245" spans="1:48">
      <c r="A245">
        <v>66</v>
      </c>
      <c r="B245">
        <v>1</v>
      </c>
      <c r="C245" t="s">
        <v>10</v>
      </c>
      <c r="D245" t="str">
        <f t="shared" si="43"/>
        <v>66_1</v>
      </c>
      <c r="E245" t="s">
        <v>10</v>
      </c>
      <c r="F245" t="s">
        <v>10</v>
      </c>
      <c r="G245" t="s">
        <v>10</v>
      </c>
      <c r="H245" t="s">
        <v>10</v>
      </c>
      <c r="I245" t="s">
        <v>10</v>
      </c>
      <c r="L245">
        <v>0</v>
      </c>
      <c r="M245" t="s">
        <v>11</v>
      </c>
      <c r="N245" t="s">
        <v>11</v>
      </c>
      <c r="O245" t="s">
        <v>11</v>
      </c>
      <c r="P245" t="s">
        <v>11</v>
      </c>
      <c r="Q245" t="s">
        <v>11</v>
      </c>
      <c r="AA245">
        <v>0</v>
      </c>
      <c r="AI245">
        <f t="shared" si="44"/>
        <v>0</v>
      </c>
      <c r="AJ245">
        <f t="shared" si="45"/>
        <v>0</v>
      </c>
      <c r="AK245">
        <f t="shared" si="46"/>
        <v>0</v>
      </c>
      <c r="AL245">
        <f t="shared" si="47"/>
        <v>0</v>
      </c>
      <c r="AM245">
        <f t="shared" si="48"/>
        <v>0</v>
      </c>
      <c r="AN245">
        <f t="shared" si="49"/>
        <v>0</v>
      </c>
      <c r="AO245">
        <f t="shared" si="50"/>
        <v>0</v>
      </c>
      <c r="AQ245" t="str">
        <f t="shared" si="51"/>
        <v>66_1</v>
      </c>
      <c r="AR245" t="str">
        <f t="shared" si="52"/>
        <v/>
      </c>
      <c r="AS245">
        <f t="shared" si="53"/>
        <v>0</v>
      </c>
      <c r="AT245" t="str">
        <f t="shared" si="54"/>
        <v/>
      </c>
      <c r="AU245">
        <f t="shared" si="55"/>
        <v>0</v>
      </c>
      <c r="AV245">
        <f t="shared" si="56"/>
        <v>0</v>
      </c>
    </row>
    <row r="246" spans="1:48">
      <c r="A246">
        <v>66</v>
      </c>
      <c r="B246">
        <v>2</v>
      </c>
      <c r="D246" t="str">
        <f t="shared" si="43"/>
        <v>66_2</v>
      </c>
      <c r="M246" t="s">
        <v>11</v>
      </c>
      <c r="N246" t="s">
        <v>11</v>
      </c>
      <c r="O246" t="s">
        <v>11</v>
      </c>
      <c r="P246" t="s">
        <v>11</v>
      </c>
      <c r="Q246" t="s">
        <v>11</v>
      </c>
      <c r="S246">
        <v>0</v>
      </c>
      <c r="T246">
        <v>0</v>
      </c>
      <c r="AA246">
        <v>0</v>
      </c>
      <c r="AI246">
        <f t="shared" si="44"/>
        <v>0</v>
      </c>
      <c r="AJ246">
        <f t="shared" si="45"/>
        <v>0</v>
      </c>
      <c r="AK246">
        <f t="shared" si="46"/>
        <v>0</v>
      </c>
      <c r="AL246">
        <f t="shared" si="47"/>
        <v>0</v>
      </c>
      <c r="AM246">
        <f t="shared" si="48"/>
        <v>0</v>
      </c>
      <c r="AN246">
        <f t="shared" si="49"/>
        <v>0</v>
      </c>
      <c r="AO246">
        <f t="shared" si="50"/>
        <v>0</v>
      </c>
      <c r="AQ246" t="str">
        <f t="shared" si="51"/>
        <v>66_2</v>
      </c>
      <c r="AR246">
        <f t="shared" si="52"/>
        <v>0</v>
      </c>
      <c r="AS246">
        <f t="shared" si="53"/>
        <v>0</v>
      </c>
      <c r="AT246">
        <f t="shared" si="54"/>
        <v>0</v>
      </c>
      <c r="AU246">
        <f t="shared" si="55"/>
        <v>0</v>
      </c>
      <c r="AV246">
        <f t="shared" si="56"/>
        <v>0</v>
      </c>
    </row>
    <row r="247" spans="1:48">
      <c r="A247">
        <v>67</v>
      </c>
      <c r="B247" t="s">
        <v>10</v>
      </c>
      <c r="C247" t="s">
        <v>10</v>
      </c>
      <c r="D247" t="str">
        <f t="shared" si="43"/>
        <v>67</v>
      </c>
      <c r="E247" t="s">
        <v>10</v>
      </c>
      <c r="F247" t="s">
        <v>10</v>
      </c>
      <c r="G247" t="s">
        <v>10</v>
      </c>
      <c r="H247" t="s">
        <v>10</v>
      </c>
      <c r="I247" t="s">
        <v>10</v>
      </c>
      <c r="L247">
        <v>0</v>
      </c>
      <c r="M247" t="s">
        <v>11</v>
      </c>
      <c r="Q247">
        <v>29</v>
      </c>
      <c r="R247" t="s">
        <v>35</v>
      </c>
      <c r="AI247">
        <f t="shared" si="44"/>
        <v>0</v>
      </c>
      <c r="AJ247">
        <f t="shared" si="45"/>
        <v>0</v>
      </c>
      <c r="AK247">
        <f t="shared" si="46"/>
        <v>0</v>
      </c>
      <c r="AL247">
        <f t="shared" si="47"/>
        <v>0</v>
      </c>
      <c r="AM247">
        <f t="shared" si="48"/>
        <v>0</v>
      </c>
      <c r="AN247">
        <f t="shared" si="49"/>
        <v>0</v>
      </c>
      <c r="AO247">
        <f t="shared" si="50"/>
        <v>0</v>
      </c>
      <c r="AQ247" t="str">
        <f t="shared" si="51"/>
        <v>67</v>
      </c>
      <c r="AR247" t="str">
        <f t="shared" si="52"/>
        <v/>
      </c>
      <c r="AS247">
        <f t="shared" si="53"/>
        <v>0</v>
      </c>
      <c r="AT247" t="str">
        <f t="shared" si="54"/>
        <v/>
      </c>
      <c r="AU247">
        <f t="shared" si="55"/>
        <v>0</v>
      </c>
      <c r="AV247">
        <f t="shared" si="56"/>
        <v>0</v>
      </c>
    </row>
    <row r="248" spans="1:48">
      <c r="A248">
        <v>67</v>
      </c>
      <c r="B248">
        <v>1</v>
      </c>
      <c r="C248" t="s">
        <v>10</v>
      </c>
      <c r="D248" t="str">
        <f t="shared" si="43"/>
        <v>67_1</v>
      </c>
      <c r="E248">
        <v>0</v>
      </c>
      <c r="F248">
        <v>1.875</v>
      </c>
      <c r="G248">
        <v>3.375</v>
      </c>
      <c r="H248">
        <v>3.375</v>
      </c>
      <c r="I248">
        <v>0.625</v>
      </c>
      <c r="J248">
        <v>2.16</v>
      </c>
      <c r="K248">
        <v>1.8399999999999999</v>
      </c>
      <c r="L248">
        <v>9.25</v>
      </c>
      <c r="M248" t="s">
        <v>31</v>
      </c>
      <c r="N248" t="s">
        <v>33</v>
      </c>
      <c r="O248" t="s">
        <v>37</v>
      </c>
      <c r="P248" t="s">
        <v>33</v>
      </c>
      <c r="Q248">
        <v>29</v>
      </c>
      <c r="S248">
        <v>2.16</v>
      </c>
      <c r="T248">
        <v>1.8399999999999999</v>
      </c>
      <c r="U248">
        <v>0.375</v>
      </c>
      <c r="V248">
        <v>0</v>
      </c>
      <c r="W248">
        <v>0.375</v>
      </c>
      <c r="X248">
        <v>0.43200000000000005</v>
      </c>
      <c r="Y248">
        <v>0.43200000000000005</v>
      </c>
      <c r="Z248">
        <v>3.375</v>
      </c>
      <c r="AA248">
        <v>1.8399999999999999</v>
      </c>
      <c r="AI248">
        <f t="shared" si="44"/>
        <v>0.375</v>
      </c>
      <c r="AJ248">
        <f t="shared" si="45"/>
        <v>0</v>
      </c>
      <c r="AK248">
        <f t="shared" si="46"/>
        <v>0.375</v>
      </c>
      <c r="AL248">
        <f t="shared" si="47"/>
        <v>0.43200000000000005</v>
      </c>
      <c r="AM248">
        <f t="shared" si="48"/>
        <v>0.43200000000000005</v>
      </c>
      <c r="AN248">
        <f t="shared" si="49"/>
        <v>3.375</v>
      </c>
      <c r="AO248">
        <f t="shared" si="50"/>
        <v>1.8399999999999999</v>
      </c>
      <c r="AQ248" t="str">
        <f t="shared" si="51"/>
        <v>67_1</v>
      </c>
      <c r="AR248">
        <f t="shared" si="52"/>
        <v>1.875</v>
      </c>
      <c r="AS248">
        <f t="shared" si="53"/>
        <v>0.375</v>
      </c>
      <c r="AT248">
        <f t="shared" si="54"/>
        <v>3.375</v>
      </c>
      <c r="AU248">
        <f t="shared" si="55"/>
        <v>3.375</v>
      </c>
      <c r="AV248">
        <f t="shared" si="56"/>
        <v>1.8399999999999999</v>
      </c>
    </row>
    <row r="249" spans="1:48">
      <c r="A249">
        <v>67</v>
      </c>
      <c r="B249">
        <v>2</v>
      </c>
      <c r="D249" t="str">
        <f t="shared" si="43"/>
        <v>67_2</v>
      </c>
      <c r="E249">
        <v>0</v>
      </c>
      <c r="F249">
        <v>1</v>
      </c>
      <c r="G249">
        <v>1.75</v>
      </c>
      <c r="H249">
        <v>1.75</v>
      </c>
      <c r="I249">
        <v>0.375</v>
      </c>
      <c r="J249">
        <v>1.1475</v>
      </c>
      <c r="K249">
        <v>0.97749999999999992</v>
      </c>
      <c r="L249">
        <v>4.875</v>
      </c>
      <c r="M249" t="s">
        <v>31</v>
      </c>
      <c r="N249" t="s">
        <v>32</v>
      </c>
      <c r="O249" t="s">
        <v>37</v>
      </c>
      <c r="P249" t="s">
        <v>33</v>
      </c>
      <c r="Q249">
        <v>29</v>
      </c>
      <c r="S249">
        <v>1.1475</v>
      </c>
      <c r="T249">
        <v>0.97749999999999992</v>
      </c>
      <c r="U249">
        <v>0</v>
      </c>
      <c r="V249">
        <v>0</v>
      </c>
      <c r="W249">
        <v>0</v>
      </c>
      <c r="X249">
        <v>0.22950000000000001</v>
      </c>
      <c r="Y249">
        <v>0.22950000000000001</v>
      </c>
      <c r="Z249">
        <v>1.75</v>
      </c>
      <c r="AA249">
        <v>0.97749999999999992</v>
      </c>
      <c r="AI249">
        <f t="shared" si="44"/>
        <v>0</v>
      </c>
      <c r="AJ249">
        <f t="shared" si="45"/>
        <v>0</v>
      </c>
      <c r="AK249">
        <f t="shared" si="46"/>
        <v>0</v>
      </c>
      <c r="AL249">
        <f t="shared" si="47"/>
        <v>0.22950000000000001</v>
      </c>
      <c r="AM249">
        <f t="shared" si="48"/>
        <v>0.22950000000000001</v>
      </c>
      <c r="AN249">
        <f t="shared" si="49"/>
        <v>1.75</v>
      </c>
      <c r="AO249">
        <f t="shared" si="50"/>
        <v>0.97749999999999992</v>
      </c>
      <c r="AQ249" t="str">
        <f t="shared" si="51"/>
        <v>67_2</v>
      </c>
      <c r="AR249">
        <f t="shared" si="52"/>
        <v>1</v>
      </c>
      <c r="AS249">
        <f t="shared" si="53"/>
        <v>0</v>
      </c>
      <c r="AT249">
        <f t="shared" si="54"/>
        <v>1.75</v>
      </c>
      <c r="AU249">
        <f t="shared" si="55"/>
        <v>1.75</v>
      </c>
      <c r="AV249">
        <f t="shared" si="56"/>
        <v>0.97749999999999992</v>
      </c>
    </row>
    <row r="250" spans="1:48">
      <c r="A250">
        <v>68</v>
      </c>
      <c r="B250" t="s">
        <v>10</v>
      </c>
      <c r="C250" t="s">
        <v>10</v>
      </c>
      <c r="D250" t="str">
        <f t="shared" si="43"/>
        <v>68</v>
      </c>
      <c r="E250" t="s">
        <v>10</v>
      </c>
      <c r="F250" t="s">
        <v>10</v>
      </c>
      <c r="G250" t="s">
        <v>10</v>
      </c>
      <c r="H250" t="s">
        <v>10</v>
      </c>
      <c r="I250" t="s">
        <v>10</v>
      </c>
      <c r="L250">
        <v>0</v>
      </c>
      <c r="M250" t="s">
        <v>11</v>
      </c>
      <c r="Q250">
        <v>20</v>
      </c>
      <c r="R250" t="s">
        <v>35</v>
      </c>
      <c r="AI250">
        <f t="shared" si="44"/>
        <v>0</v>
      </c>
      <c r="AJ250">
        <f t="shared" si="45"/>
        <v>0</v>
      </c>
      <c r="AK250">
        <f t="shared" si="46"/>
        <v>0</v>
      </c>
      <c r="AL250">
        <f t="shared" si="47"/>
        <v>0</v>
      </c>
      <c r="AM250">
        <f t="shared" si="48"/>
        <v>0</v>
      </c>
      <c r="AN250">
        <f t="shared" si="49"/>
        <v>0</v>
      </c>
      <c r="AO250">
        <f t="shared" si="50"/>
        <v>0</v>
      </c>
      <c r="AQ250" t="str">
        <f t="shared" si="51"/>
        <v>68</v>
      </c>
      <c r="AR250" t="str">
        <f t="shared" si="52"/>
        <v/>
      </c>
      <c r="AS250">
        <f t="shared" si="53"/>
        <v>0</v>
      </c>
      <c r="AT250" t="str">
        <f t="shared" si="54"/>
        <v/>
      </c>
      <c r="AU250">
        <f t="shared" si="55"/>
        <v>0</v>
      </c>
      <c r="AV250">
        <f t="shared" si="56"/>
        <v>0</v>
      </c>
    </row>
    <row r="251" spans="1:48">
      <c r="A251">
        <v>68</v>
      </c>
      <c r="B251">
        <v>1</v>
      </c>
      <c r="C251" t="s">
        <v>10</v>
      </c>
      <c r="D251" t="str">
        <f t="shared" si="43"/>
        <v>68_1</v>
      </c>
      <c r="E251">
        <v>0</v>
      </c>
      <c r="F251">
        <v>1</v>
      </c>
      <c r="G251">
        <v>1.75</v>
      </c>
      <c r="H251">
        <v>1.75</v>
      </c>
      <c r="I251">
        <v>0.375</v>
      </c>
      <c r="J251">
        <v>1.1475</v>
      </c>
      <c r="K251">
        <v>0.97749999999999992</v>
      </c>
      <c r="L251">
        <v>4.875</v>
      </c>
      <c r="M251" t="s">
        <v>31</v>
      </c>
      <c r="N251" t="s">
        <v>32</v>
      </c>
      <c r="O251" t="s">
        <v>43</v>
      </c>
      <c r="P251" t="s">
        <v>42</v>
      </c>
      <c r="Q251">
        <v>20</v>
      </c>
      <c r="S251">
        <v>1.1475</v>
      </c>
      <c r="T251">
        <v>0.97749999999999992</v>
      </c>
      <c r="U251">
        <v>0</v>
      </c>
      <c r="V251">
        <v>0</v>
      </c>
      <c r="W251">
        <v>0</v>
      </c>
      <c r="X251">
        <v>0.22950000000000001</v>
      </c>
      <c r="Y251">
        <v>0.22950000000000001</v>
      </c>
      <c r="Z251">
        <v>1.75</v>
      </c>
      <c r="AA251">
        <v>0.97749999999999992</v>
      </c>
      <c r="AI251">
        <f t="shared" si="44"/>
        <v>0</v>
      </c>
      <c r="AJ251">
        <f t="shared" si="45"/>
        <v>0</v>
      </c>
      <c r="AK251">
        <f t="shared" si="46"/>
        <v>0</v>
      </c>
      <c r="AL251">
        <f t="shared" si="47"/>
        <v>0.22950000000000001</v>
      </c>
      <c r="AM251">
        <f t="shared" si="48"/>
        <v>0.22950000000000001</v>
      </c>
      <c r="AN251">
        <f t="shared" si="49"/>
        <v>1.75</v>
      </c>
      <c r="AO251">
        <f t="shared" si="50"/>
        <v>0.97749999999999992</v>
      </c>
      <c r="AQ251" t="str">
        <f t="shared" si="51"/>
        <v>68_1</v>
      </c>
      <c r="AR251">
        <f t="shared" si="52"/>
        <v>1</v>
      </c>
      <c r="AS251">
        <f t="shared" si="53"/>
        <v>0</v>
      </c>
      <c r="AT251">
        <f t="shared" si="54"/>
        <v>1.75</v>
      </c>
      <c r="AU251">
        <f t="shared" si="55"/>
        <v>1.75</v>
      </c>
      <c r="AV251">
        <f t="shared" si="56"/>
        <v>0.97749999999999992</v>
      </c>
    </row>
    <row r="252" spans="1:48">
      <c r="A252">
        <v>68</v>
      </c>
      <c r="B252">
        <v>2</v>
      </c>
      <c r="C252">
        <v>1</v>
      </c>
      <c r="D252" t="str">
        <f t="shared" si="43"/>
        <v>68_2_1</v>
      </c>
      <c r="E252">
        <v>0</v>
      </c>
      <c r="F252">
        <v>0.625</v>
      </c>
      <c r="G252">
        <v>1.125</v>
      </c>
      <c r="H252">
        <v>1.125</v>
      </c>
      <c r="I252">
        <v>0.25</v>
      </c>
      <c r="J252">
        <v>0.74250000000000005</v>
      </c>
      <c r="K252">
        <v>0.63249999999999995</v>
      </c>
      <c r="L252">
        <v>3.125</v>
      </c>
      <c r="M252" t="s">
        <v>31</v>
      </c>
      <c r="N252" t="s">
        <v>32</v>
      </c>
      <c r="O252" t="s">
        <v>43</v>
      </c>
      <c r="P252" t="s">
        <v>42</v>
      </c>
      <c r="Q252">
        <v>20</v>
      </c>
      <c r="S252">
        <v>0.74250000000000005</v>
      </c>
      <c r="T252">
        <v>0.63249999999999995</v>
      </c>
      <c r="U252">
        <v>0</v>
      </c>
      <c r="V252">
        <v>0</v>
      </c>
      <c r="W252">
        <v>0</v>
      </c>
      <c r="X252">
        <v>0.14850000000000002</v>
      </c>
      <c r="Y252">
        <v>0.14850000000000002</v>
      </c>
      <c r="Z252">
        <v>1.125</v>
      </c>
      <c r="AA252">
        <v>0.63249999999999995</v>
      </c>
      <c r="AI252">
        <f t="shared" si="44"/>
        <v>0</v>
      </c>
      <c r="AJ252">
        <f t="shared" si="45"/>
        <v>0</v>
      </c>
      <c r="AK252">
        <f t="shared" si="46"/>
        <v>0</v>
      </c>
      <c r="AL252">
        <f t="shared" si="47"/>
        <v>0.14850000000000002</v>
      </c>
      <c r="AM252">
        <f t="shared" si="48"/>
        <v>0.14850000000000002</v>
      </c>
      <c r="AN252">
        <f t="shared" si="49"/>
        <v>1.125</v>
      </c>
      <c r="AO252">
        <f t="shared" si="50"/>
        <v>0.63249999999999995</v>
      </c>
      <c r="AQ252" t="str">
        <f t="shared" si="51"/>
        <v>68_2_1</v>
      </c>
      <c r="AR252">
        <f t="shared" si="52"/>
        <v>0.625</v>
      </c>
      <c r="AS252">
        <f t="shared" si="53"/>
        <v>0</v>
      </c>
      <c r="AT252">
        <f t="shared" si="54"/>
        <v>1.125</v>
      </c>
      <c r="AU252">
        <f t="shared" si="55"/>
        <v>1.125</v>
      </c>
      <c r="AV252">
        <f t="shared" si="56"/>
        <v>0.63249999999999995</v>
      </c>
    </row>
    <row r="253" spans="1:48">
      <c r="A253">
        <v>68</v>
      </c>
      <c r="B253">
        <v>2</v>
      </c>
      <c r="C253">
        <v>2</v>
      </c>
      <c r="D253" t="str">
        <f t="shared" si="43"/>
        <v>68_2_2</v>
      </c>
      <c r="E253">
        <v>0</v>
      </c>
      <c r="F253">
        <v>0.625</v>
      </c>
      <c r="G253">
        <v>1.125</v>
      </c>
      <c r="H253">
        <v>1.125</v>
      </c>
      <c r="I253">
        <v>0.25</v>
      </c>
      <c r="J253">
        <v>0.74250000000000005</v>
      </c>
      <c r="K253">
        <v>0.63249999999999995</v>
      </c>
      <c r="L253">
        <v>3.125</v>
      </c>
      <c r="M253" t="s">
        <v>31</v>
      </c>
      <c r="N253" t="s">
        <v>32</v>
      </c>
      <c r="O253" t="s">
        <v>43</v>
      </c>
      <c r="P253" t="s">
        <v>42</v>
      </c>
      <c r="Q253">
        <v>20</v>
      </c>
      <c r="S253">
        <v>0.74250000000000005</v>
      </c>
      <c r="T253">
        <v>0.63249999999999995</v>
      </c>
      <c r="U253">
        <v>0</v>
      </c>
      <c r="V253">
        <v>0</v>
      </c>
      <c r="W253">
        <v>0</v>
      </c>
      <c r="X253">
        <v>0.14850000000000002</v>
      </c>
      <c r="Y253">
        <v>0.14850000000000002</v>
      </c>
      <c r="Z253">
        <v>1.125</v>
      </c>
      <c r="AA253">
        <v>0.63249999999999995</v>
      </c>
      <c r="AI253">
        <f t="shared" si="44"/>
        <v>0</v>
      </c>
      <c r="AJ253">
        <f t="shared" si="45"/>
        <v>0</v>
      </c>
      <c r="AK253">
        <f t="shared" si="46"/>
        <v>0</v>
      </c>
      <c r="AL253">
        <f t="shared" si="47"/>
        <v>0.14850000000000002</v>
      </c>
      <c r="AM253">
        <f t="shared" si="48"/>
        <v>0.14850000000000002</v>
      </c>
      <c r="AN253">
        <f t="shared" si="49"/>
        <v>1.125</v>
      </c>
      <c r="AO253">
        <f t="shared" si="50"/>
        <v>0.63249999999999995</v>
      </c>
      <c r="AQ253" t="str">
        <f t="shared" si="51"/>
        <v>68_2_2</v>
      </c>
      <c r="AR253">
        <f t="shared" si="52"/>
        <v>0.625</v>
      </c>
      <c r="AS253">
        <f t="shared" si="53"/>
        <v>0</v>
      </c>
      <c r="AT253">
        <f t="shared" si="54"/>
        <v>1.125</v>
      </c>
      <c r="AU253">
        <f t="shared" si="55"/>
        <v>1.125</v>
      </c>
      <c r="AV253">
        <f t="shared" si="56"/>
        <v>0.63249999999999995</v>
      </c>
    </row>
    <row r="254" spans="1:48">
      <c r="A254">
        <v>69</v>
      </c>
      <c r="B254" t="s">
        <v>10</v>
      </c>
      <c r="C254" t="s">
        <v>10</v>
      </c>
      <c r="D254" t="str">
        <f t="shared" si="43"/>
        <v>69</v>
      </c>
      <c r="E254" t="s">
        <v>10</v>
      </c>
      <c r="F254" t="s">
        <v>10</v>
      </c>
      <c r="G254" t="s">
        <v>10</v>
      </c>
      <c r="H254" t="s">
        <v>10</v>
      </c>
      <c r="I254" t="s">
        <v>10</v>
      </c>
      <c r="L254">
        <v>0</v>
      </c>
      <c r="M254" t="s">
        <v>11</v>
      </c>
      <c r="Q254">
        <v>32</v>
      </c>
      <c r="R254" t="s">
        <v>35</v>
      </c>
      <c r="AI254">
        <f t="shared" si="44"/>
        <v>0</v>
      </c>
      <c r="AJ254">
        <f t="shared" si="45"/>
        <v>0</v>
      </c>
      <c r="AK254">
        <f t="shared" si="46"/>
        <v>0</v>
      </c>
      <c r="AL254">
        <f t="shared" si="47"/>
        <v>0</v>
      </c>
      <c r="AM254">
        <f t="shared" si="48"/>
        <v>0</v>
      </c>
      <c r="AN254">
        <f t="shared" si="49"/>
        <v>0</v>
      </c>
      <c r="AO254">
        <f t="shared" si="50"/>
        <v>0</v>
      </c>
      <c r="AQ254" t="str">
        <f t="shared" si="51"/>
        <v>69</v>
      </c>
      <c r="AR254" t="str">
        <f t="shared" si="52"/>
        <v/>
      </c>
      <c r="AS254">
        <f t="shared" si="53"/>
        <v>0</v>
      </c>
      <c r="AT254" t="str">
        <f t="shared" si="54"/>
        <v/>
      </c>
      <c r="AU254">
        <f t="shared" si="55"/>
        <v>0</v>
      </c>
      <c r="AV254">
        <f t="shared" si="56"/>
        <v>0</v>
      </c>
    </row>
    <row r="255" spans="1:48">
      <c r="A255">
        <v>69</v>
      </c>
      <c r="B255">
        <v>1</v>
      </c>
      <c r="C255" t="s">
        <v>10</v>
      </c>
      <c r="D255" t="str">
        <f t="shared" si="43"/>
        <v>69_1</v>
      </c>
      <c r="E255">
        <v>0</v>
      </c>
      <c r="F255">
        <v>1.625</v>
      </c>
      <c r="G255">
        <v>3.125</v>
      </c>
      <c r="H255">
        <v>3.125</v>
      </c>
      <c r="I255">
        <v>0.5</v>
      </c>
      <c r="J255">
        <v>1.9575</v>
      </c>
      <c r="K255">
        <v>1.6675</v>
      </c>
      <c r="L255">
        <v>8.375</v>
      </c>
      <c r="M255" t="s">
        <v>31</v>
      </c>
      <c r="N255" t="s">
        <v>33</v>
      </c>
      <c r="O255" t="s">
        <v>43</v>
      </c>
      <c r="P255" t="s">
        <v>33</v>
      </c>
      <c r="Q255">
        <v>32</v>
      </c>
      <c r="S255">
        <v>1.9575</v>
      </c>
      <c r="T255">
        <v>1.6675</v>
      </c>
      <c r="U255">
        <v>0.32500000000000001</v>
      </c>
      <c r="V255">
        <v>0</v>
      </c>
      <c r="W255">
        <v>0.32500000000000001</v>
      </c>
      <c r="X255">
        <v>0.39150000000000001</v>
      </c>
      <c r="Y255">
        <v>0.39150000000000001</v>
      </c>
      <c r="Z255">
        <v>3.125</v>
      </c>
      <c r="AA255">
        <v>1.6675</v>
      </c>
      <c r="AI255">
        <f t="shared" si="44"/>
        <v>0.32500000000000001</v>
      </c>
      <c r="AJ255">
        <f t="shared" si="45"/>
        <v>0</v>
      </c>
      <c r="AK255">
        <f t="shared" si="46"/>
        <v>0.32500000000000001</v>
      </c>
      <c r="AL255">
        <f t="shared" si="47"/>
        <v>0.39150000000000001</v>
      </c>
      <c r="AM255">
        <f t="shared" si="48"/>
        <v>0.39150000000000001</v>
      </c>
      <c r="AN255">
        <f t="shared" si="49"/>
        <v>3.125</v>
      </c>
      <c r="AO255">
        <f t="shared" si="50"/>
        <v>1.6675</v>
      </c>
      <c r="AQ255" t="str">
        <f t="shared" si="51"/>
        <v>69_1</v>
      </c>
      <c r="AR255">
        <f t="shared" si="52"/>
        <v>1.625</v>
      </c>
      <c r="AS255">
        <f t="shared" si="53"/>
        <v>0.32500000000000001</v>
      </c>
      <c r="AT255">
        <f t="shared" si="54"/>
        <v>3.125</v>
      </c>
      <c r="AU255">
        <f t="shared" si="55"/>
        <v>3.125</v>
      </c>
      <c r="AV255">
        <f t="shared" si="56"/>
        <v>1.6675</v>
      </c>
    </row>
    <row r="256" spans="1:48">
      <c r="A256">
        <v>70</v>
      </c>
      <c r="B256" t="s">
        <v>10</v>
      </c>
      <c r="C256" t="s">
        <v>10</v>
      </c>
      <c r="D256" t="str">
        <f t="shared" si="43"/>
        <v>70</v>
      </c>
      <c r="E256" t="s">
        <v>10</v>
      </c>
      <c r="F256" t="s">
        <v>10</v>
      </c>
      <c r="G256" t="s">
        <v>10</v>
      </c>
      <c r="H256" t="s">
        <v>10</v>
      </c>
      <c r="I256" t="s">
        <v>10</v>
      </c>
      <c r="L256">
        <v>0</v>
      </c>
      <c r="M256" t="s">
        <v>11</v>
      </c>
      <c r="Q256">
        <v>32</v>
      </c>
      <c r="R256" t="s">
        <v>35</v>
      </c>
      <c r="AI256">
        <f t="shared" si="44"/>
        <v>0</v>
      </c>
      <c r="AJ256">
        <f t="shared" si="45"/>
        <v>0</v>
      </c>
      <c r="AK256">
        <f t="shared" si="46"/>
        <v>0</v>
      </c>
      <c r="AL256">
        <f t="shared" si="47"/>
        <v>0</v>
      </c>
      <c r="AM256">
        <f t="shared" si="48"/>
        <v>0</v>
      </c>
      <c r="AN256">
        <f t="shared" si="49"/>
        <v>0</v>
      </c>
      <c r="AO256">
        <f t="shared" si="50"/>
        <v>0</v>
      </c>
      <c r="AQ256" t="str">
        <f t="shared" si="51"/>
        <v>70</v>
      </c>
      <c r="AR256" t="str">
        <f t="shared" si="52"/>
        <v/>
      </c>
      <c r="AS256">
        <f t="shared" si="53"/>
        <v>0</v>
      </c>
      <c r="AT256" t="str">
        <f t="shared" si="54"/>
        <v/>
      </c>
      <c r="AU256">
        <f t="shared" si="55"/>
        <v>0</v>
      </c>
      <c r="AV256">
        <f t="shared" si="56"/>
        <v>0</v>
      </c>
    </row>
    <row r="257" spans="1:48">
      <c r="A257">
        <v>70</v>
      </c>
      <c r="B257">
        <v>1</v>
      </c>
      <c r="C257" t="s">
        <v>10</v>
      </c>
      <c r="D257" t="str">
        <f t="shared" si="43"/>
        <v>70_1</v>
      </c>
      <c r="E257">
        <v>0</v>
      </c>
      <c r="F257">
        <v>1.125</v>
      </c>
      <c r="G257">
        <v>2.125</v>
      </c>
      <c r="H257">
        <v>2.125</v>
      </c>
      <c r="I257">
        <v>0.375</v>
      </c>
      <c r="J257">
        <v>1.35</v>
      </c>
      <c r="K257">
        <v>1.1499999999999999</v>
      </c>
      <c r="L257">
        <v>5.75</v>
      </c>
      <c r="M257" t="s">
        <v>31</v>
      </c>
      <c r="N257" t="s">
        <v>33</v>
      </c>
      <c r="O257" t="s">
        <v>43</v>
      </c>
      <c r="P257" t="s">
        <v>33</v>
      </c>
      <c r="Q257">
        <v>32</v>
      </c>
      <c r="S257">
        <v>1.35</v>
      </c>
      <c r="T257">
        <v>1.1499999999999999</v>
      </c>
      <c r="U257">
        <v>0.22500000000000001</v>
      </c>
      <c r="V257">
        <v>0</v>
      </c>
      <c r="W257">
        <v>0.22500000000000001</v>
      </c>
      <c r="X257">
        <v>0.27</v>
      </c>
      <c r="Y257">
        <v>0.27</v>
      </c>
      <c r="Z257">
        <v>2.125</v>
      </c>
      <c r="AA257">
        <v>1.1499999999999999</v>
      </c>
      <c r="AI257">
        <f t="shared" si="44"/>
        <v>0.22500000000000001</v>
      </c>
      <c r="AJ257">
        <f t="shared" si="45"/>
        <v>0</v>
      </c>
      <c r="AK257">
        <f t="shared" si="46"/>
        <v>0.22500000000000001</v>
      </c>
      <c r="AL257">
        <f t="shared" si="47"/>
        <v>0.27</v>
      </c>
      <c r="AM257">
        <f t="shared" si="48"/>
        <v>0.27</v>
      </c>
      <c r="AN257">
        <f t="shared" si="49"/>
        <v>2.125</v>
      </c>
      <c r="AO257">
        <f t="shared" si="50"/>
        <v>1.1499999999999999</v>
      </c>
      <c r="AQ257" t="str">
        <f t="shared" si="51"/>
        <v>70_1</v>
      </c>
      <c r="AR257">
        <f t="shared" si="52"/>
        <v>1.125</v>
      </c>
      <c r="AS257">
        <f t="shared" si="53"/>
        <v>0.22500000000000001</v>
      </c>
      <c r="AT257">
        <f t="shared" si="54"/>
        <v>2.125</v>
      </c>
      <c r="AU257">
        <f t="shared" si="55"/>
        <v>2.125</v>
      </c>
      <c r="AV257">
        <f t="shared" si="56"/>
        <v>1.1499999999999999</v>
      </c>
    </row>
    <row r="258" spans="1:48">
      <c r="A258">
        <v>71</v>
      </c>
      <c r="B258" t="s">
        <v>10</v>
      </c>
      <c r="C258" t="s">
        <v>10</v>
      </c>
      <c r="D258" t="str">
        <f t="shared" si="43"/>
        <v>71</v>
      </c>
      <c r="E258" t="s">
        <v>10</v>
      </c>
      <c r="F258" t="s">
        <v>10</v>
      </c>
      <c r="G258" t="s">
        <v>10</v>
      </c>
      <c r="H258" t="s">
        <v>10</v>
      </c>
      <c r="I258" t="s">
        <v>10</v>
      </c>
      <c r="L258">
        <v>0</v>
      </c>
      <c r="M258" t="s">
        <v>11</v>
      </c>
      <c r="Q258">
        <v>40</v>
      </c>
      <c r="R258" t="s">
        <v>35</v>
      </c>
      <c r="AI258">
        <f t="shared" si="44"/>
        <v>0</v>
      </c>
      <c r="AJ258">
        <f t="shared" si="45"/>
        <v>0</v>
      </c>
      <c r="AK258">
        <f t="shared" si="46"/>
        <v>0</v>
      </c>
      <c r="AL258">
        <f t="shared" si="47"/>
        <v>0</v>
      </c>
      <c r="AM258">
        <f t="shared" si="48"/>
        <v>0</v>
      </c>
      <c r="AN258">
        <f t="shared" si="49"/>
        <v>0</v>
      </c>
      <c r="AO258">
        <f t="shared" si="50"/>
        <v>0</v>
      </c>
      <c r="AQ258" t="str">
        <f t="shared" si="51"/>
        <v>71</v>
      </c>
      <c r="AR258" t="str">
        <f t="shared" si="52"/>
        <v/>
      </c>
      <c r="AS258">
        <f t="shared" si="53"/>
        <v>0</v>
      </c>
      <c r="AT258" t="str">
        <f t="shared" si="54"/>
        <v/>
      </c>
      <c r="AU258">
        <f t="shared" si="55"/>
        <v>0</v>
      </c>
      <c r="AV258">
        <f t="shared" si="56"/>
        <v>0</v>
      </c>
    </row>
    <row r="259" spans="1:48">
      <c r="A259">
        <v>71</v>
      </c>
      <c r="B259">
        <v>1</v>
      </c>
      <c r="C259">
        <v>1</v>
      </c>
      <c r="D259" t="str">
        <f t="shared" si="43"/>
        <v>71_1_1</v>
      </c>
      <c r="E259">
        <v>0</v>
      </c>
      <c r="F259">
        <v>1</v>
      </c>
      <c r="G259">
        <v>1.75</v>
      </c>
      <c r="H259">
        <v>1.75</v>
      </c>
      <c r="I259">
        <v>0.375</v>
      </c>
      <c r="J259">
        <v>1.1475</v>
      </c>
      <c r="K259">
        <v>0.97749999999999992</v>
      </c>
      <c r="L259">
        <v>4.875</v>
      </c>
      <c r="M259" t="s">
        <v>31</v>
      </c>
      <c r="N259" t="s">
        <v>32</v>
      </c>
      <c r="O259" t="s">
        <v>43</v>
      </c>
      <c r="P259" t="s">
        <v>43</v>
      </c>
      <c r="Q259">
        <v>40</v>
      </c>
      <c r="S259">
        <v>1.1475</v>
      </c>
      <c r="T259">
        <v>0.97749999999999992</v>
      </c>
      <c r="U259">
        <v>0</v>
      </c>
      <c r="V259">
        <v>0</v>
      </c>
      <c r="W259">
        <v>0</v>
      </c>
      <c r="X259">
        <v>1.1475</v>
      </c>
      <c r="Y259">
        <v>0.22950000000000001</v>
      </c>
      <c r="Z259">
        <v>1.75</v>
      </c>
      <c r="AA259">
        <v>0.97749999999999992</v>
      </c>
      <c r="AI259">
        <f t="shared" si="44"/>
        <v>0</v>
      </c>
      <c r="AJ259">
        <f t="shared" si="45"/>
        <v>0</v>
      </c>
      <c r="AK259">
        <f t="shared" si="46"/>
        <v>0</v>
      </c>
      <c r="AL259">
        <f t="shared" si="47"/>
        <v>1.1475</v>
      </c>
      <c r="AM259">
        <f t="shared" si="48"/>
        <v>0.22950000000000001</v>
      </c>
      <c r="AN259">
        <f t="shared" si="49"/>
        <v>1.75</v>
      </c>
      <c r="AO259">
        <f t="shared" si="50"/>
        <v>0.97749999999999992</v>
      </c>
      <c r="AQ259" t="str">
        <f t="shared" si="51"/>
        <v>71_1_1</v>
      </c>
      <c r="AR259">
        <f t="shared" si="52"/>
        <v>1</v>
      </c>
      <c r="AS259">
        <f t="shared" si="53"/>
        <v>0</v>
      </c>
      <c r="AT259">
        <f t="shared" si="54"/>
        <v>1.75</v>
      </c>
      <c r="AU259">
        <f t="shared" si="55"/>
        <v>1.75</v>
      </c>
      <c r="AV259">
        <f t="shared" si="56"/>
        <v>0.97749999999999992</v>
      </c>
    </row>
    <row r="260" spans="1:48">
      <c r="A260">
        <v>71</v>
      </c>
      <c r="B260">
        <v>1</v>
      </c>
      <c r="C260">
        <v>2</v>
      </c>
      <c r="D260" t="str">
        <f t="shared" si="43"/>
        <v>71_1_2</v>
      </c>
      <c r="E260">
        <v>0</v>
      </c>
      <c r="F260">
        <v>0</v>
      </c>
      <c r="G260">
        <v>0</v>
      </c>
      <c r="H260">
        <v>0</v>
      </c>
      <c r="I260">
        <v>0.375</v>
      </c>
      <c r="J260">
        <v>0</v>
      </c>
      <c r="K260">
        <v>0</v>
      </c>
      <c r="L260">
        <v>0</v>
      </c>
      <c r="M260" t="s">
        <v>31</v>
      </c>
      <c r="N260" t="s">
        <v>36</v>
      </c>
      <c r="O260" t="s">
        <v>36</v>
      </c>
      <c r="P260" t="s">
        <v>36</v>
      </c>
      <c r="Q260">
        <v>40</v>
      </c>
      <c r="S260">
        <v>0.20250000000000001</v>
      </c>
      <c r="T260">
        <v>0.17249999999999999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I260">
        <f t="shared" si="44"/>
        <v>0</v>
      </c>
      <c r="AJ260">
        <f t="shared" si="45"/>
        <v>0</v>
      </c>
      <c r="AK260">
        <f t="shared" si="46"/>
        <v>0</v>
      </c>
      <c r="AL260">
        <f t="shared" si="47"/>
        <v>0</v>
      </c>
      <c r="AM260">
        <f t="shared" si="48"/>
        <v>0</v>
      </c>
      <c r="AN260">
        <f t="shared" si="49"/>
        <v>0</v>
      </c>
      <c r="AO260">
        <f t="shared" si="50"/>
        <v>0</v>
      </c>
      <c r="AQ260" t="str">
        <f t="shared" si="51"/>
        <v>71_1_2</v>
      </c>
      <c r="AR260">
        <f t="shared" si="52"/>
        <v>0</v>
      </c>
      <c r="AS260">
        <f t="shared" si="53"/>
        <v>0</v>
      </c>
      <c r="AT260">
        <f t="shared" si="54"/>
        <v>0</v>
      </c>
      <c r="AU260">
        <f t="shared" si="55"/>
        <v>0</v>
      </c>
      <c r="AV260">
        <f t="shared" si="56"/>
        <v>0</v>
      </c>
    </row>
    <row r="261" spans="1:48">
      <c r="A261">
        <v>71</v>
      </c>
      <c r="B261">
        <v>2</v>
      </c>
      <c r="C261">
        <v>1</v>
      </c>
      <c r="D261" t="str">
        <f t="shared" ref="D261:D324" si="57">A261&amp;IF(B261="","","_")&amp;B261&amp;IF(C261="","","_")&amp;C261</f>
        <v>71_2_1</v>
      </c>
      <c r="E261">
        <v>0</v>
      </c>
      <c r="F261">
        <v>0.75</v>
      </c>
      <c r="G261">
        <v>1.5</v>
      </c>
      <c r="H261">
        <v>1.5</v>
      </c>
      <c r="I261">
        <v>0.25</v>
      </c>
      <c r="J261">
        <v>0.94500000000000006</v>
      </c>
      <c r="K261">
        <v>0.80499999999999994</v>
      </c>
      <c r="L261">
        <v>4</v>
      </c>
      <c r="M261" t="s">
        <v>31</v>
      </c>
      <c r="N261" t="s">
        <v>33</v>
      </c>
      <c r="O261" t="s">
        <v>43</v>
      </c>
      <c r="P261" t="s">
        <v>33</v>
      </c>
      <c r="Q261">
        <v>40</v>
      </c>
      <c r="S261">
        <v>0.94500000000000006</v>
      </c>
      <c r="T261">
        <v>0.80499999999999994</v>
      </c>
      <c r="U261">
        <v>0.15000000000000002</v>
      </c>
      <c r="V261">
        <v>0</v>
      </c>
      <c r="W261">
        <v>0.15000000000000002</v>
      </c>
      <c r="X261">
        <v>0.18900000000000003</v>
      </c>
      <c r="Y261">
        <v>0.18900000000000003</v>
      </c>
      <c r="Z261">
        <v>1.5</v>
      </c>
      <c r="AA261">
        <v>0.80499999999999994</v>
      </c>
      <c r="AI261">
        <f t="shared" ref="AI261:AI324" si="58">U261+AB261</f>
        <v>0.15000000000000002</v>
      </c>
      <c r="AJ261">
        <f t="shared" ref="AJ261:AJ324" si="59">V261+AC261</f>
        <v>0</v>
      </c>
      <c r="AK261">
        <f t="shared" ref="AK261:AK324" si="60">W261+AD261</f>
        <v>0.15000000000000002</v>
      </c>
      <c r="AL261">
        <f t="shared" ref="AL261:AL324" si="61">X261+AE261</f>
        <v>0.18900000000000003</v>
      </c>
      <c r="AM261">
        <f t="shared" ref="AM261:AM324" si="62">Y261+AF261</f>
        <v>0.18900000000000003</v>
      </c>
      <c r="AN261">
        <f t="shared" ref="AN261:AN324" si="63">Z261+AG261</f>
        <v>1.5</v>
      </c>
      <c r="AO261">
        <f t="shared" ref="AO261:AO324" si="64">AA261+AH261</f>
        <v>0.80499999999999994</v>
      </c>
      <c r="AQ261" t="str">
        <f t="shared" ref="AQ261:AQ324" si="65">D261</f>
        <v>71_2_1</v>
      </c>
      <c r="AR261">
        <f t="shared" ref="AR261:AR324" si="66">F261</f>
        <v>0.75</v>
      </c>
      <c r="AS261">
        <f t="shared" ref="AS261:AS324" si="67">AI261</f>
        <v>0.15000000000000002</v>
      </c>
      <c r="AT261">
        <f t="shared" ref="AT261:AT324" si="68">G261</f>
        <v>1.5</v>
      </c>
      <c r="AU261">
        <f t="shared" ref="AU261:AU324" si="69">AN261</f>
        <v>1.5</v>
      </c>
      <c r="AV261">
        <f t="shared" ref="AV261:AV324" si="70">AO261</f>
        <v>0.80499999999999994</v>
      </c>
    </row>
    <row r="262" spans="1:48">
      <c r="A262">
        <v>71</v>
      </c>
      <c r="B262">
        <v>2</v>
      </c>
      <c r="C262">
        <v>2</v>
      </c>
      <c r="D262" t="str">
        <f t="shared" si="57"/>
        <v>71_2_2</v>
      </c>
      <c r="E262">
        <v>0</v>
      </c>
      <c r="F262">
        <v>1</v>
      </c>
      <c r="G262">
        <v>1.75</v>
      </c>
      <c r="H262">
        <v>1.75</v>
      </c>
      <c r="I262">
        <v>0.375</v>
      </c>
      <c r="J262">
        <v>1.1475</v>
      </c>
      <c r="K262">
        <v>0.97749999999999992</v>
      </c>
      <c r="L262">
        <v>4.875</v>
      </c>
      <c r="M262" t="s">
        <v>31</v>
      </c>
      <c r="N262" t="s">
        <v>32</v>
      </c>
      <c r="O262" t="s">
        <v>43</v>
      </c>
      <c r="P262" t="s">
        <v>33</v>
      </c>
      <c r="Q262">
        <v>40</v>
      </c>
      <c r="S262">
        <v>1.1475</v>
      </c>
      <c r="T262">
        <v>0.97749999999999992</v>
      </c>
      <c r="U262">
        <v>0</v>
      </c>
      <c r="V262">
        <v>0</v>
      </c>
      <c r="W262">
        <v>0</v>
      </c>
      <c r="X262">
        <v>0.22950000000000001</v>
      </c>
      <c r="Y262">
        <v>0.22950000000000001</v>
      </c>
      <c r="Z262">
        <v>1.75</v>
      </c>
      <c r="AA262">
        <v>0.97749999999999992</v>
      </c>
      <c r="AI262">
        <f t="shared" si="58"/>
        <v>0</v>
      </c>
      <c r="AJ262">
        <f t="shared" si="59"/>
        <v>0</v>
      </c>
      <c r="AK262">
        <f t="shared" si="60"/>
        <v>0</v>
      </c>
      <c r="AL262">
        <f t="shared" si="61"/>
        <v>0.22950000000000001</v>
      </c>
      <c r="AM262">
        <f t="shared" si="62"/>
        <v>0.22950000000000001</v>
      </c>
      <c r="AN262">
        <f t="shared" si="63"/>
        <v>1.75</v>
      </c>
      <c r="AO262">
        <f t="shared" si="64"/>
        <v>0.97749999999999992</v>
      </c>
      <c r="AQ262" t="str">
        <f t="shared" si="65"/>
        <v>71_2_2</v>
      </c>
      <c r="AR262">
        <f t="shared" si="66"/>
        <v>1</v>
      </c>
      <c r="AS262">
        <f t="shared" si="67"/>
        <v>0</v>
      </c>
      <c r="AT262">
        <f t="shared" si="68"/>
        <v>1.75</v>
      </c>
      <c r="AU262">
        <f t="shared" si="69"/>
        <v>1.75</v>
      </c>
      <c r="AV262">
        <f t="shared" si="70"/>
        <v>0.97749999999999992</v>
      </c>
    </row>
    <row r="263" spans="1:48">
      <c r="A263">
        <v>72</v>
      </c>
      <c r="B263" t="s">
        <v>10</v>
      </c>
      <c r="C263" t="s">
        <v>10</v>
      </c>
      <c r="D263" t="str">
        <f t="shared" si="57"/>
        <v>72</v>
      </c>
      <c r="E263" t="s">
        <v>10</v>
      </c>
      <c r="F263" t="s">
        <v>10</v>
      </c>
      <c r="G263" t="s">
        <v>10</v>
      </c>
      <c r="H263" t="s">
        <v>10</v>
      </c>
      <c r="I263" t="s">
        <v>10</v>
      </c>
      <c r="L263">
        <v>0</v>
      </c>
      <c r="M263" t="s">
        <v>11</v>
      </c>
      <c r="Q263">
        <v>62</v>
      </c>
      <c r="R263" t="s">
        <v>35</v>
      </c>
      <c r="AI263">
        <f t="shared" si="58"/>
        <v>0</v>
      </c>
      <c r="AJ263">
        <f t="shared" si="59"/>
        <v>0</v>
      </c>
      <c r="AK263">
        <f t="shared" si="60"/>
        <v>0</v>
      </c>
      <c r="AL263">
        <f t="shared" si="61"/>
        <v>0</v>
      </c>
      <c r="AM263">
        <f t="shared" si="62"/>
        <v>0</v>
      </c>
      <c r="AN263">
        <f t="shared" si="63"/>
        <v>0</v>
      </c>
      <c r="AO263">
        <f t="shared" si="64"/>
        <v>0</v>
      </c>
      <c r="AQ263" t="str">
        <f t="shared" si="65"/>
        <v>72</v>
      </c>
      <c r="AR263" t="str">
        <f t="shared" si="66"/>
        <v/>
      </c>
      <c r="AS263">
        <f t="shared" si="67"/>
        <v>0</v>
      </c>
      <c r="AT263" t="str">
        <f t="shared" si="68"/>
        <v/>
      </c>
      <c r="AU263">
        <f t="shared" si="69"/>
        <v>0</v>
      </c>
      <c r="AV263">
        <f t="shared" si="70"/>
        <v>0</v>
      </c>
    </row>
    <row r="264" spans="1:48">
      <c r="A264">
        <v>72</v>
      </c>
      <c r="B264">
        <v>1</v>
      </c>
      <c r="C264" t="s">
        <v>10</v>
      </c>
      <c r="D264" t="str">
        <f t="shared" si="57"/>
        <v>72_1</v>
      </c>
      <c r="E264">
        <v>0</v>
      </c>
      <c r="F264">
        <v>0.75</v>
      </c>
      <c r="G264">
        <v>1.375</v>
      </c>
      <c r="H264">
        <v>1.375</v>
      </c>
      <c r="I264">
        <v>0.25</v>
      </c>
      <c r="J264">
        <v>0.87750000000000006</v>
      </c>
      <c r="K264">
        <v>0.74749999999999994</v>
      </c>
      <c r="L264">
        <v>3.75</v>
      </c>
      <c r="M264" t="s">
        <v>39</v>
      </c>
      <c r="N264" t="s">
        <v>33</v>
      </c>
      <c r="O264" t="s">
        <v>43</v>
      </c>
      <c r="P264" t="s">
        <v>43</v>
      </c>
      <c r="Q264">
        <v>62</v>
      </c>
      <c r="S264">
        <v>0.87750000000000006</v>
      </c>
      <c r="T264">
        <v>0.74749999999999994</v>
      </c>
      <c r="U264">
        <v>0.15000000000000002</v>
      </c>
      <c r="W264">
        <v>0.15000000000000002</v>
      </c>
      <c r="X264">
        <v>0.87750000000000006</v>
      </c>
      <c r="Y264">
        <v>0.17550000000000002</v>
      </c>
      <c r="Z264">
        <v>1.375</v>
      </c>
      <c r="AA264">
        <v>0.74749999999999994</v>
      </c>
      <c r="AI264">
        <f t="shared" si="58"/>
        <v>0.15000000000000002</v>
      </c>
      <c r="AJ264">
        <f t="shared" si="59"/>
        <v>0</v>
      </c>
      <c r="AK264">
        <f t="shared" si="60"/>
        <v>0.15000000000000002</v>
      </c>
      <c r="AL264">
        <f t="shared" si="61"/>
        <v>0.87750000000000006</v>
      </c>
      <c r="AM264">
        <f t="shared" si="62"/>
        <v>0.17550000000000002</v>
      </c>
      <c r="AN264">
        <f t="shared" si="63"/>
        <v>1.375</v>
      </c>
      <c r="AO264">
        <f t="shared" si="64"/>
        <v>0.74749999999999994</v>
      </c>
      <c r="AQ264" t="str">
        <f t="shared" si="65"/>
        <v>72_1</v>
      </c>
      <c r="AR264">
        <f t="shared" si="66"/>
        <v>0.75</v>
      </c>
      <c r="AS264">
        <f t="shared" si="67"/>
        <v>0.15000000000000002</v>
      </c>
      <c r="AT264">
        <f t="shared" si="68"/>
        <v>1.375</v>
      </c>
      <c r="AU264">
        <f t="shared" si="69"/>
        <v>1.375</v>
      </c>
      <c r="AV264">
        <f t="shared" si="70"/>
        <v>0.74749999999999994</v>
      </c>
    </row>
    <row r="265" spans="1:48">
      <c r="A265">
        <v>73</v>
      </c>
      <c r="B265" t="s">
        <v>10</v>
      </c>
      <c r="C265" t="s">
        <v>10</v>
      </c>
      <c r="D265" t="str">
        <f t="shared" si="57"/>
        <v>73</v>
      </c>
      <c r="E265" t="s">
        <v>10</v>
      </c>
      <c r="F265" t="s">
        <v>10</v>
      </c>
      <c r="G265" t="s">
        <v>10</v>
      </c>
      <c r="H265" t="s">
        <v>10</v>
      </c>
      <c r="I265" t="s">
        <v>10</v>
      </c>
      <c r="L265">
        <v>0</v>
      </c>
      <c r="M265" t="s">
        <v>11</v>
      </c>
      <c r="Q265">
        <v>41</v>
      </c>
      <c r="R265" t="s">
        <v>35</v>
      </c>
      <c r="AI265">
        <f t="shared" si="58"/>
        <v>0</v>
      </c>
      <c r="AJ265">
        <f t="shared" si="59"/>
        <v>0</v>
      </c>
      <c r="AK265">
        <f t="shared" si="60"/>
        <v>0</v>
      </c>
      <c r="AL265">
        <f t="shared" si="61"/>
        <v>0</v>
      </c>
      <c r="AM265">
        <f t="shared" si="62"/>
        <v>0</v>
      </c>
      <c r="AN265">
        <f t="shared" si="63"/>
        <v>0</v>
      </c>
      <c r="AO265">
        <f t="shared" si="64"/>
        <v>0</v>
      </c>
      <c r="AQ265" t="str">
        <f t="shared" si="65"/>
        <v>73</v>
      </c>
      <c r="AR265" t="str">
        <f t="shared" si="66"/>
        <v/>
      </c>
      <c r="AS265">
        <f t="shared" si="67"/>
        <v>0</v>
      </c>
      <c r="AT265" t="str">
        <f t="shared" si="68"/>
        <v/>
      </c>
      <c r="AU265">
        <f t="shared" si="69"/>
        <v>0</v>
      </c>
      <c r="AV265">
        <f t="shared" si="70"/>
        <v>0</v>
      </c>
    </row>
    <row r="266" spans="1:48">
      <c r="A266">
        <v>73</v>
      </c>
      <c r="B266">
        <v>1</v>
      </c>
      <c r="C266" t="s">
        <v>10</v>
      </c>
      <c r="D266" t="str">
        <f t="shared" si="57"/>
        <v>73_1</v>
      </c>
      <c r="E266">
        <v>0</v>
      </c>
      <c r="F266">
        <v>0</v>
      </c>
      <c r="G266">
        <v>0</v>
      </c>
      <c r="H266">
        <v>0</v>
      </c>
      <c r="I266">
        <v>0</v>
      </c>
      <c r="L266">
        <v>0</v>
      </c>
      <c r="M266" t="s">
        <v>11</v>
      </c>
      <c r="N266" t="s">
        <v>11</v>
      </c>
      <c r="O266" t="s">
        <v>11</v>
      </c>
      <c r="P266" t="s">
        <v>11</v>
      </c>
      <c r="Q266">
        <v>41</v>
      </c>
      <c r="S266">
        <v>0</v>
      </c>
      <c r="T266">
        <v>0</v>
      </c>
      <c r="W266">
        <v>0</v>
      </c>
      <c r="X266">
        <v>0</v>
      </c>
      <c r="Z266">
        <v>0</v>
      </c>
      <c r="AA266">
        <v>0</v>
      </c>
      <c r="AI266">
        <f t="shared" si="58"/>
        <v>0</v>
      </c>
      <c r="AJ266">
        <f t="shared" si="59"/>
        <v>0</v>
      </c>
      <c r="AK266">
        <f t="shared" si="60"/>
        <v>0</v>
      </c>
      <c r="AL266">
        <f t="shared" si="61"/>
        <v>0</v>
      </c>
      <c r="AM266">
        <f t="shared" si="62"/>
        <v>0</v>
      </c>
      <c r="AN266">
        <f t="shared" si="63"/>
        <v>0</v>
      </c>
      <c r="AO266">
        <f t="shared" si="64"/>
        <v>0</v>
      </c>
      <c r="AQ266" t="str">
        <f t="shared" si="65"/>
        <v>73_1</v>
      </c>
      <c r="AR266">
        <f t="shared" si="66"/>
        <v>0</v>
      </c>
      <c r="AS266">
        <f t="shared" si="67"/>
        <v>0</v>
      </c>
      <c r="AT266">
        <f t="shared" si="68"/>
        <v>0</v>
      </c>
      <c r="AU266">
        <f t="shared" si="69"/>
        <v>0</v>
      </c>
      <c r="AV266">
        <f t="shared" si="70"/>
        <v>0</v>
      </c>
    </row>
    <row r="267" spans="1:48">
      <c r="A267">
        <v>74</v>
      </c>
      <c r="B267" t="s">
        <v>10</v>
      </c>
      <c r="C267" t="s">
        <v>10</v>
      </c>
      <c r="D267" t="str">
        <f t="shared" si="57"/>
        <v>74</v>
      </c>
      <c r="E267" t="s">
        <v>10</v>
      </c>
      <c r="F267" t="s">
        <v>10</v>
      </c>
      <c r="G267" t="s">
        <v>10</v>
      </c>
      <c r="H267" t="s">
        <v>10</v>
      </c>
      <c r="I267" t="s">
        <v>10</v>
      </c>
      <c r="L267">
        <v>0</v>
      </c>
      <c r="M267" t="s">
        <v>11</v>
      </c>
      <c r="Q267">
        <v>35</v>
      </c>
      <c r="R267" t="s">
        <v>35</v>
      </c>
      <c r="AI267">
        <f t="shared" si="58"/>
        <v>0</v>
      </c>
      <c r="AJ267">
        <f t="shared" si="59"/>
        <v>0</v>
      </c>
      <c r="AK267">
        <f t="shared" si="60"/>
        <v>0</v>
      </c>
      <c r="AL267">
        <f t="shared" si="61"/>
        <v>0</v>
      </c>
      <c r="AM267">
        <f t="shared" si="62"/>
        <v>0</v>
      </c>
      <c r="AN267">
        <f t="shared" si="63"/>
        <v>0</v>
      </c>
      <c r="AO267">
        <f t="shared" si="64"/>
        <v>0</v>
      </c>
      <c r="AQ267" t="str">
        <f t="shared" si="65"/>
        <v>74</v>
      </c>
      <c r="AR267" t="str">
        <f t="shared" si="66"/>
        <v/>
      </c>
      <c r="AS267">
        <f t="shared" si="67"/>
        <v>0</v>
      </c>
      <c r="AT267" t="str">
        <f t="shared" si="68"/>
        <v/>
      </c>
      <c r="AU267">
        <f t="shared" si="69"/>
        <v>0</v>
      </c>
      <c r="AV267">
        <f t="shared" si="70"/>
        <v>0</v>
      </c>
    </row>
    <row r="268" spans="1:48">
      <c r="A268">
        <v>74</v>
      </c>
      <c r="B268">
        <v>1</v>
      </c>
      <c r="C268" t="s">
        <v>10</v>
      </c>
      <c r="D268" t="str">
        <f t="shared" si="57"/>
        <v>74_1</v>
      </c>
      <c r="E268">
        <v>0</v>
      </c>
      <c r="F268">
        <v>1.125</v>
      </c>
      <c r="G268">
        <v>2.125</v>
      </c>
      <c r="H268">
        <v>2.125</v>
      </c>
      <c r="I268">
        <v>0.375</v>
      </c>
      <c r="J268">
        <v>1.35</v>
      </c>
      <c r="K268">
        <v>1.1499999999999999</v>
      </c>
      <c r="L268">
        <v>5.75</v>
      </c>
      <c r="M268" t="s">
        <v>31</v>
      </c>
      <c r="N268" t="s">
        <v>33</v>
      </c>
      <c r="O268" t="s">
        <v>43</v>
      </c>
      <c r="P268" t="s">
        <v>43</v>
      </c>
      <c r="Q268">
        <v>35</v>
      </c>
      <c r="S268">
        <v>1.35</v>
      </c>
      <c r="T268">
        <v>1.1499999999999999</v>
      </c>
      <c r="U268">
        <v>0.22500000000000001</v>
      </c>
      <c r="V268">
        <v>0</v>
      </c>
      <c r="W268">
        <v>0.22500000000000001</v>
      </c>
      <c r="X268">
        <v>1.35</v>
      </c>
      <c r="Y268">
        <v>0.27</v>
      </c>
      <c r="Z268">
        <v>2.125</v>
      </c>
      <c r="AA268">
        <v>1.1499999999999999</v>
      </c>
      <c r="AI268">
        <f t="shared" si="58"/>
        <v>0.22500000000000001</v>
      </c>
      <c r="AJ268">
        <f t="shared" si="59"/>
        <v>0</v>
      </c>
      <c r="AK268">
        <f t="shared" si="60"/>
        <v>0.22500000000000001</v>
      </c>
      <c r="AL268">
        <f t="shared" si="61"/>
        <v>1.35</v>
      </c>
      <c r="AM268">
        <f t="shared" si="62"/>
        <v>0.27</v>
      </c>
      <c r="AN268">
        <f t="shared" si="63"/>
        <v>2.125</v>
      </c>
      <c r="AO268">
        <f t="shared" si="64"/>
        <v>1.1499999999999999</v>
      </c>
      <c r="AQ268" t="str">
        <f t="shared" si="65"/>
        <v>74_1</v>
      </c>
      <c r="AR268">
        <f t="shared" si="66"/>
        <v>1.125</v>
      </c>
      <c r="AS268">
        <f t="shared" si="67"/>
        <v>0.22500000000000001</v>
      </c>
      <c r="AT268">
        <f t="shared" si="68"/>
        <v>2.125</v>
      </c>
      <c r="AU268">
        <f t="shared" si="69"/>
        <v>2.125</v>
      </c>
      <c r="AV268">
        <f t="shared" si="70"/>
        <v>1.1499999999999999</v>
      </c>
    </row>
    <row r="269" spans="1:48">
      <c r="A269">
        <v>74</v>
      </c>
      <c r="B269">
        <v>2</v>
      </c>
      <c r="D269" t="str">
        <f t="shared" si="57"/>
        <v>74_2</v>
      </c>
      <c r="F269">
        <v>0</v>
      </c>
      <c r="G269">
        <v>0</v>
      </c>
      <c r="H269">
        <v>0</v>
      </c>
      <c r="I269">
        <v>0</v>
      </c>
      <c r="L269">
        <v>0</v>
      </c>
      <c r="M269" t="s">
        <v>11</v>
      </c>
      <c r="N269" t="s">
        <v>11</v>
      </c>
      <c r="O269" t="s">
        <v>11</v>
      </c>
      <c r="P269" t="s">
        <v>11</v>
      </c>
      <c r="Q269" t="s">
        <v>11</v>
      </c>
      <c r="S269">
        <v>0</v>
      </c>
      <c r="T269">
        <v>0</v>
      </c>
      <c r="AI269">
        <f t="shared" si="58"/>
        <v>0</v>
      </c>
      <c r="AJ269">
        <f t="shared" si="59"/>
        <v>0</v>
      </c>
      <c r="AK269">
        <f t="shared" si="60"/>
        <v>0</v>
      </c>
      <c r="AL269">
        <f t="shared" si="61"/>
        <v>0</v>
      </c>
      <c r="AM269">
        <f t="shared" si="62"/>
        <v>0</v>
      </c>
      <c r="AN269">
        <f t="shared" si="63"/>
        <v>0</v>
      </c>
      <c r="AO269">
        <f t="shared" si="64"/>
        <v>0</v>
      </c>
      <c r="AQ269" t="str">
        <f t="shared" si="65"/>
        <v>74_2</v>
      </c>
      <c r="AR269">
        <f t="shared" si="66"/>
        <v>0</v>
      </c>
      <c r="AS269">
        <f t="shared" si="67"/>
        <v>0</v>
      </c>
      <c r="AT269">
        <f t="shared" si="68"/>
        <v>0</v>
      </c>
      <c r="AU269">
        <f t="shared" si="69"/>
        <v>0</v>
      </c>
      <c r="AV269">
        <f t="shared" si="70"/>
        <v>0</v>
      </c>
    </row>
    <row r="270" spans="1:48">
      <c r="A270">
        <v>75</v>
      </c>
      <c r="B270" t="s">
        <v>10</v>
      </c>
      <c r="C270" t="s">
        <v>10</v>
      </c>
      <c r="D270" t="str">
        <f t="shared" si="57"/>
        <v>75</v>
      </c>
      <c r="E270" t="s">
        <v>10</v>
      </c>
      <c r="F270" t="s">
        <v>10</v>
      </c>
      <c r="G270" t="s">
        <v>10</v>
      </c>
      <c r="H270" t="s">
        <v>10</v>
      </c>
      <c r="I270" t="s">
        <v>10</v>
      </c>
      <c r="L270">
        <v>0</v>
      </c>
      <c r="M270" t="s">
        <v>11</v>
      </c>
      <c r="Q270">
        <v>35</v>
      </c>
      <c r="R270" t="s">
        <v>35</v>
      </c>
      <c r="AI270">
        <f t="shared" si="58"/>
        <v>0</v>
      </c>
      <c r="AJ270">
        <f t="shared" si="59"/>
        <v>0</v>
      </c>
      <c r="AK270">
        <f t="shared" si="60"/>
        <v>0</v>
      </c>
      <c r="AL270">
        <f t="shared" si="61"/>
        <v>0</v>
      </c>
      <c r="AM270">
        <f t="shared" si="62"/>
        <v>0</v>
      </c>
      <c r="AN270">
        <f t="shared" si="63"/>
        <v>0</v>
      </c>
      <c r="AO270">
        <f t="shared" si="64"/>
        <v>0</v>
      </c>
      <c r="AQ270" t="str">
        <f t="shared" si="65"/>
        <v>75</v>
      </c>
      <c r="AR270" t="str">
        <f t="shared" si="66"/>
        <v/>
      </c>
      <c r="AS270">
        <f t="shared" si="67"/>
        <v>0</v>
      </c>
      <c r="AT270" t="str">
        <f t="shared" si="68"/>
        <v/>
      </c>
      <c r="AU270">
        <f t="shared" si="69"/>
        <v>0</v>
      </c>
      <c r="AV270">
        <f t="shared" si="70"/>
        <v>0</v>
      </c>
    </row>
    <row r="271" spans="1:48">
      <c r="A271">
        <v>75</v>
      </c>
      <c r="B271">
        <v>1</v>
      </c>
      <c r="C271" t="s">
        <v>10</v>
      </c>
      <c r="D271" t="str">
        <f t="shared" si="57"/>
        <v>75_1</v>
      </c>
      <c r="E271">
        <v>0</v>
      </c>
      <c r="F271">
        <v>1.625</v>
      </c>
      <c r="G271">
        <v>3.125</v>
      </c>
      <c r="H271">
        <v>3.125</v>
      </c>
      <c r="I271">
        <v>0.5</v>
      </c>
      <c r="J271">
        <v>1.9575</v>
      </c>
      <c r="K271">
        <v>1.6675</v>
      </c>
      <c r="L271">
        <v>8.375</v>
      </c>
      <c r="M271" t="s">
        <v>31</v>
      </c>
      <c r="N271" t="s">
        <v>33</v>
      </c>
      <c r="O271" t="s">
        <v>43</v>
      </c>
      <c r="P271" t="s">
        <v>43</v>
      </c>
      <c r="Q271">
        <v>35</v>
      </c>
      <c r="S271">
        <v>1.9575</v>
      </c>
      <c r="T271">
        <v>1.6675</v>
      </c>
      <c r="U271">
        <v>0.32500000000000001</v>
      </c>
      <c r="V271">
        <v>0</v>
      </c>
      <c r="W271">
        <v>0.32500000000000001</v>
      </c>
      <c r="X271">
        <v>1.9575</v>
      </c>
      <c r="Y271">
        <v>0.39150000000000001</v>
      </c>
      <c r="Z271">
        <v>3.125</v>
      </c>
      <c r="AA271">
        <v>1.6675</v>
      </c>
      <c r="AI271">
        <f t="shared" si="58"/>
        <v>0.32500000000000001</v>
      </c>
      <c r="AJ271">
        <f t="shared" si="59"/>
        <v>0</v>
      </c>
      <c r="AK271">
        <f t="shared" si="60"/>
        <v>0.32500000000000001</v>
      </c>
      <c r="AL271">
        <f t="shared" si="61"/>
        <v>1.9575</v>
      </c>
      <c r="AM271">
        <f t="shared" si="62"/>
        <v>0.39150000000000001</v>
      </c>
      <c r="AN271">
        <f t="shared" si="63"/>
        <v>3.125</v>
      </c>
      <c r="AO271">
        <f t="shared" si="64"/>
        <v>1.6675</v>
      </c>
      <c r="AQ271" t="str">
        <f t="shared" si="65"/>
        <v>75_1</v>
      </c>
      <c r="AR271">
        <f t="shared" si="66"/>
        <v>1.625</v>
      </c>
      <c r="AS271">
        <f t="shared" si="67"/>
        <v>0.32500000000000001</v>
      </c>
      <c r="AT271">
        <f t="shared" si="68"/>
        <v>3.125</v>
      </c>
      <c r="AU271">
        <f t="shared" si="69"/>
        <v>3.125</v>
      </c>
      <c r="AV271">
        <f t="shared" si="70"/>
        <v>1.6675</v>
      </c>
    </row>
    <row r="272" spans="1:48">
      <c r="A272">
        <v>75</v>
      </c>
      <c r="B272">
        <v>2</v>
      </c>
      <c r="D272" t="str">
        <f t="shared" si="57"/>
        <v>75_2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11</v>
      </c>
      <c r="N272" t="s">
        <v>11</v>
      </c>
      <c r="O272" t="s">
        <v>11</v>
      </c>
      <c r="P272" t="s">
        <v>11</v>
      </c>
      <c r="Q272" t="s">
        <v>11</v>
      </c>
      <c r="S272">
        <v>0</v>
      </c>
      <c r="T272">
        <v>0</v>
      </c>
      <c r="W272">
        <v>0</v>
      </c>
      <c r="X272">
        <v>0</v>
      </c>
      <c r="Z272">
        <v>0</v>
      </c>
      <c r="AI272">
        <f t="shared" si="58"/>
        <v>0</v>
      </c>
      <c r="AJ272">
        <f t="shared" si="59"/>
        <v>0</v>
      </c>
      <c r="AK272">
        <f t="shared" si="60"/>
        <v>0</v>
      </c>
      <c r="AL272">
        <f t="shared" si="61"/>
        <v>0</v>
      </c>
      <c r="AM272">
        <f t="shared" si="62"/>
        <v>0</v>
      </c>
      <c r="AN272">
        <f t="shared" si="63"/>
        <v>0</v>
      </c>
      <c r="AO272">
        <f t="shared" si="64"/>
        <v>0</v>
      </c>
      <c r="AQ272" t="str">
        <f t="shared" si="65"/>
        <v>75_2</v>
      </c>
      <c r="AR272">
        <f t="shared" si="66"/>
        <v>0</v>
      </c>
      <c r="AS272">
        <f t="shared" si="67"/>
        <v>0</v>
      </c>
      <c r="AT272">
        <f t="shared" si="68"/>
        <v>0</v>
      </c>
      <c r="AU272">
        <f t="shared" si="69"/>
        <v>0</v>
      </c>
      <c r="AV272">
        <f t="shared" si="70"/>
        <v>0</v>
      </c>
    </row>
    <row r="273" spans="1:48">
      <c r="A273">
        <v>76</v>
      </c>
      <c r="B273" t="s">
        <v>10</v>
      </c>
      <c r="C273" t="s">
        <v>10</v>
      </c>
      <c r="D273" t="str">
        <f t="shared" si="57"/>
        <v>76</v>
      </c>
      <c r="E273" t="s">
        <v>10</v>
      </c>
      <c r="F273" t="s">
        <v>10</v>
      </c>
      <c r="G273" t="s">
        <v>10</v>
      </c>
      <c r="H273" t="s">
        <v>10</v>
      </c>
      <c r="I273" t="s">
        <v>10</v>
      </c>
      <c r="L273">
        <v>0</v>
      </c>
      <c r="M273" t="s">
        <v>11</v>
      </c>
      <c r="Q273">
        <v>42</v>
      </c>
      <c r="R273" t="s">
        <v>35</v>
      </c>
      <c r="AI273">
        <f t="shared" si="58"/>
        <v>0</v>
      </c>
      <c r="AJ273">
        <f t="shared" si="59"/>
        <v>0</v>
      </c>
      <c r="AK273">
        <f t="shared" si="60"/>
        <v>0</v>
      </c>
      <c r="AL273">
        <f t="shared" si="61"/>
        <v>0</v>
      </c>
      <c r="AM273">
        <f t="shared" si="62"/>
        <v>0</v>
      </c>
      <c r="AN273">
        <f t="shared" si="63"/>
        <v>0</v>
      </c>
      <c r="AO273">
        <f t="shared" si="64"/>
        <v>0</v>
      </c>
      <c r="AQ273" t="str">
        <f t="shared" si="65"/>
        <v>76</v>
      </c>
      <c r="AR273" t="str">
        <f t="shared" si="66"/>
        <v/>
      </c>
      <c r="AS273">
        <f t="shared" si="67"/>
        <v>0</v>
      </c>
      <c r="AT273" t="str">
        <f t="shared" si="68"/>
        <v/>
      </c>
      <c r="AU273">
        <f t="shared" si="69"/>
        <v>0</v>
      </c>
      <c r="AV273">
        <f t="shared" si="70"/>
        <v>0</v>
      </c>
    </row>
    <row r="274" spans="1:48">
      <c r="A274">
        <v>76</v>
      </c>
      <c r="B274">
        <v>1</v>
      </c>
      <c r="C274" t="s">
        <v>10</v>
      </c>
      <c r="D274" t="str">
        <f t="shared" si="57"/>
        <v>76_1</v>
      </c>
      <c r="E274">
        <v>0</v>
      </c>
      <c r="F274">
        <v>0.625</v>
      </c>
      <c r="G274">
        <v>1.125</v>
      </c>
      <c r="H274">
        <v>1.125</v>
      </c>
      <c r="I274">
        <v>0.25</v>
      </c>
      <c r="J274">
        <v>0.74250000000000005</v>
      </c>
      <c r="K274">
        <v>0.63249999999999995</v>
      </c>
      <c r="L274">
        <v>3.125</v>
      </c>
      <c r="M274" t="s">
        <v>31</v>
      </c>
      <c r="N274" t="s">
        <v>33</v>
      </c>
      <c r="O274" t="s">
        <v>43</v>
      </c>
      <c r="P274" t="s">
        <v>43</v>
      </c>
      <c r="Q274">
        <v>42</v>
      </c>
      <c r="S274">
        <v>0.74250000000000005</v>
      </c>
      <c r="T274">
        <v>0.63249999999999995</v>
      </c>
      <c r="U274">
        <v>0.125</v>
      </c>
      <c r="V274">
        <v>0</v>
      </c>
      <c r="W274">
        <v>0.125</v>
      </c>
      <c r="X274">
        <v>0.74250000000000005</v>
      </c>
      <c r="Y274">
        <v>0.14850000000000002</v>
      </c>
      <c r="Z274">
        <v>1.125</v>
      </c>
      <c r="AA274">
        <v>0.63249999999999995</v>
      </c>
      <c r="AI274">
        <f t="shared" si="58"/>
        <v>0.125</v>
      </c>
      <c r="AJ274">
        <f t="shared" si="59"/>
        <v>0</v>
      </c>
      <c r="AK274">
        <f t="shared" si="60"/>
        <v>0.125</v>
      </c>
      <c r="AL274">
        <f t="shared" si="61"/>
        <v>0.74250000000000005</v>
      </c>
      <c r="AM274">
        <f t="shared" si="62"/>
        <v>0.14850000000000002</v>
      </c>
      <c r="AN274">
        <f t="shared" si="63"/>
        <v>1.125</v>
      </c>
      <c r="AO274">
        <f t="shared" si="64"/>
        <v>0.63249999999999995</v>
      </c>
      <c r="AQ274" t="str">
        <f t="shared" si="65"/>
        <v>76_1</v>
      </c>
      <c r="AR274">
        <f t="shared" si="66"/>
        <v>0.625</v>
      </c>
      <c r="AS274">
        <f t="shared" si="67"/>
        <v>0.125</v>
      </c>
      <c r="AT274">
        <f t="shared" si="68"/>
        <v>1.125</v>
      </c>
      <c r="AU274">
        <f t="shared" si="69"/>
        <v>1.125</v>
      </c>
      <c r="AV274">
        <f t="shared" si="70"/>
        <v>0.63249999999999995</v>
      </c>
    </row>
    <row r="275" spans="1:48">
      <c r="A275">
        <v>77</v>
      </c>
      <c r="B275" t="s">
        <v>10</v>
      </c>
      <c r="C275" t="s">
        <v>10</v>
      </c>
      <c r="D275" t="str">
        <f t="shared" si="57"/>
        <v>77</v>
      </c>
      <c r="E275" t="s">
        <v>10</v>
      </c>
      <c r="F275" t="s">
        <v>10</v>
      </c>
      <c r="G275" t="s">
        <v>10</v>
      </c>
      <c r="H275" t="s">
        <v>10</v>
      </c>
      <c r="I275" t="s">
        <v>10</v>
      </c>
      <c r="L275">
        <v>0</v>
      </c>
      <c r="M275" t="s">
        <v>11</v>
      </c>
      <c r="Q275">
        <v>66</v>
      </c>
      <c r="R275" t="s">
        <v>35</v>
      </c>
      <c r="AI275">
        <f t="shared" si="58"/>
        <v>0</v>
      </c>
      <c r="AJ275">
        <f t="shared" si="59"/>
        <v>0</v>
      </c>
      <c r="AK275">
        <f t="shared" si="60"/>
        <v>0</v>
      </c>
      <c r="AL275">
        <f t="shared" si="61"/>
        <v>0</v>
      </c>
      <c r="AM275">
        <f t="shared" si="62"/>
        <v>0</v>
      </c>
      <c r="AN275">
        <f t="shared" si="63"/>
        <v>0</v>
      </c>
      <c r="AO275">
        <f t="shared" si="64"/>
        <v>0</v>
      </c>
      <c r="AQ275" t="str">
        <f t="shared" si="65"/>
        <v>77</v>
      </c>
      <c r="AR275" t="str">
        <f t="shared" si="66"/>
        <v/>
      </c>
      <c r="AS275">
        <f t="shared" si="67"/>
        <v>0</v>
      </c>
      <c r="AT275" t="str">
        <f t="shared" si="68"/>
        <v/>
      </c>
      <c r="AU275">
        <f t="shared" si="69"/>
        <v>0</v>
      </c>
      <c r="AV275">
        <f t="shared" si="70"/>
        <v>0</v>
      </c>
    </row>
    <row r="276" spans="1:48">
      <c r="A276">
        <v>77</v>
      </c>
      <c r="B276">
        <v>1</v>
      </c>
      <c r="C276" t="s">
        <v>10</v>
      </c>
      <c r="D276" t="str">
        <f t="shared" si="57"/>
        <v>77_1</v>
      </c>
      <c r="E276">
        <v>0</v>
      </c>
      <c r="F276">
        <v>3.375</v>
      </c>
      <c r="G276">
        <v>6.25</v>
      </c>
      <c r="H276">
        <v>6.25</v>
      </c>
      <c r="I276">
        <v>1</v>
      </c>
      <c r="J276">
        <v>3.915</v>
      </c>
      <c r="K276">
        <v>3.335</v>
      </c>
      <c r="L276">
        <v>16.875</v>
      </c>
      <c r="M276" t="s">
        <v>31</v>
      </c>
      <c r="N276" t="s">
        <v>33</v>
      </c>
      <c r="O276" t="s">
        <v>43</v>
      </c>
      <c r="P276" t="s">
        <v>33</v>
      </c>
      <c r="Q276">
        <v>66</v>
      </c>
      <c r="S276">
        <v>3.915</v>
      </c>
      <c r="T276">
        <v>3.335</v>
      </c>
      <c r="U276">
        <v>0.67500000000000004</v>
      </c>
      <c r="V276">
        <v>0</v>
      </c>
      <c r="W276">
        <v>0.67500000000000004</v>
      </c>
      <c r="X276">
        <v>0.78300000000000003</v>
      </c>
      <c r="Y276">
        <v>0.78300000000000003</v>
      </c>
      <c r="Z276">
        <v>6.25</v>
      </c>
      <c r="AA276">
        <v>3.335</v>
      </c>
      <c r="AI276">
        <f t="shared" si="58"/>
        <v>0.67500000000000004</v>
      </c>
      <c r="AJ276">
        <f t="shared" si="59"/>
        <v>0</v>
      </c>
      <c r="AK276">
        <f t="shared" si="60"/>
        <v>0.67500000000000004</v>
      </c>
      <c r="AL276">
        <f t="shared" si="61"/>
        <v>0.78300000000000003</v>
      </c>
      <c r="AM276">
        <f t="shared" si="62"/>
        <v>0.78300000000000003</v>
      </c>
      <c r="AN276">
        <f t="shared" si="63"/>
        <v>6.25</v>
      </c>
      <c r="AO276">
        <f t="shared" si="64"/>
        <v>3.335</v>
      </c>
      <c r="AQ276" t="str">
        <f t="shared" si="65"/>
        <v>77_1</v>
      </c>
      <c r="AR276">
        <f t="shared" si="66"/>
        <v>3.375</v>
      </c>
      <c r="AS276">
        <f t="shared" si="67"/>
        <v>0.67500000000000004</v>
      </c>
      <c r="AT276">
        <f t="shared" si="68"/>
        <v>6.25</v>
      </c>
      <c r="AU276">
        <f t="shared" si="69"/>
        <v>6.25</v>
      </c>
      <c r="AV276">
        <f t="shared" si="70"/>
        <v>3.335</v>
      </c>
    </row>
    <row r="277" spans="1:48">
      <c r="A277">
        <v>77</v>
      </c>
      <c r="B277">
        <v>2</v>
      </c>
      <c r="C277" t="s">
        <v>10</v>
      </c>
      <c r="D277" t="str">
        <f t="shared" si="57"/>
        <v>77_2</v>
      </c>
      <c r="E277">
        <v>0</v>
      </c>
      <c r="F277">
        <v>1.125</v>
      </c>
      <c r="G277">
        <v>2.125</v>
      </c>
      <c r="H277">
        <v>2.125</v>
      </c>
      <c r="I277">
        <v>0.375</v>
      </c>
      <c r="J277">
        <v>1.35</v>
      </c>
      <c r="K277">
        <v>1.1499999999999999</v>
      </c>
      <c r="L277">
        <v>5.75</v>
      </c>
      <c r="M277" t="s">
        <v>31</v>
      </c>
      <c r="N277" t="s">
        <v>32</v>
      </c>
      <c r="O277" t="s">
        <v>32</v>
      </c>
      <c r="P277" t="s">
        <v>32</v>
      </c>
      <c r="Q277">
        <v>66</v>
      </c>
      <c r="S277">
        <v>1.35</v>
      </c>
      <c r="T277">
        <v>1.1499999999999999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1.1499999999999999</v>
      </c>
      <c r="AI277">
        <f t="shared" si="58"/>
        <v>0</v>
      </c>
      <c r="AJ277">
        <f t="shared" si="59"/>
        <v>0</v>
      </c>
      <c r="AK277">
        <f t="shared" si="60"/>
        <v>0</v>
      </c>
      <c r="AL277">
        <f t="shared" si="61"/>
        <v>0</v>
      </c>
      <c r="AM277">
        <f t="shared" si="62"/>
        <v>0</v>
      </c>
      <c r="AN277">
        <f t="shared" si="63"/>
        <v>0</v>
      </c>
      <c r="AO277">
        <f t="shared" si="64"/>
        <v>1.1499999999999999</v>
      </c>
      <c r="AQ277" t="str">
        <f t="shared" si="65"/>
        <v>77_2</v>
      </c>
      <c r="AR277">
        <f t="shared" si="66"/>
        <v>1.125</v>
      </c>
      <c r="AS277">
        <f t="shared" si="67"/>
        <v>0</v>
      </c>
      <c r="AT277">
        <f t="shared" si="68"/>
        <v>2.125</v>
      </c>
      <c r="AU277">
        <f t="shared" si="69"/>
        <v>0</v>
      </c>
      <c r="AV277">
        <f t="shared" si="70"/>
        <v>1.1499999999999999</v>
      </c>
    </row>
    <row r="278" spans="1:48">
      <c r="A278">
        <v>78</v>
      </c>
      <c r="B278" t="s">
        <v>10</v>
      </c>
      <c r="C278" t="s">
        <v>10</v>
      </c>
      <c r="D278" t="str">
        <f t="shared" si="57"/>
        <v>78</v>
      </c>
      <c r="E278" t="s">
        <v>10</v>
      </c>
      <c r="F278" t="s">
        <v>10</v>
      </c>
      <c r="G278" t="s">
        <v>10</v>
      </c>
      <c r="H278" t="s">
        <v>10</v>
      </c>
      <c r="I278" t="s">
        <v>10</v>
      </c>
      <c r="L278">
        <v>0</v>
      </c>
      <c r="M278" t="s">
        <v>11</v>
      </c>
      <c r="Q278">
        <v>45</v>
      </c>
      <c r="R278" t="s">
        <v>35</v>
      </c>
      <c r="AI278">
        <f t="shared" si="58"/>
        <v>0</v>
      </c>
      <c r="AJ278">
        <f t="shared" si="59"/>
        <v>0</v>
      </c>
      <c r="AK278">
        <f t="shared" si="60"/>
        <v>0</v>
      </c>
      <c r="AL278">
        <f t="shared" si="61"/>
        <v>0</v>
      </c>
      <c r="AM278">
        <f t="shared" si="62"/>
        <v>0</v>
      </c>
      <c r="AN278">
        <f t="shared" si="63"/>
        <v>0</v>
      </c>
      <c r="AO278">
        <f t="shared" si="64"/>
        <v>0</v>
      </c>
      <c r="AQ278" t="str">
        <f t="shared" si="65"/>
        <v>78</v>
      </c>
      <c r="AR278" t="str">
        <f t="shared" si="66"/>
        <v/>
      </c>
      <c r="AS278">
        <f t="shared" si="67"/>
        <v>0</v>
      </c>
      <c r="AT278" t="str">
        <f t="shared" si="68"/>
        <v/>
      </c>
      <c r="AU278">
        <f t="shared" si="69"/>
        <v>0</v>
      </c>
      <c r="AV278">
        <f t="shared" si="70"/>
        <v>0</v>
      </c>
    </row>
    <row r="279" spans="1:48">
      <c r="A279">
        <v>78</v>
      </c>
      <c r="B279">
        <v>1</v>
      </c>
      <c r="C279" t="s">
        <v>10</v>
      </c>
      <c r="D279" t="str">
        <f t="shared" si="57"/>
        <v>78_1</v>
      </c>
      <c r="E279">
        <v>0</v>
      </c>
      <c r="F279">
        <v>1</v>
      </c>
      <c r="G279">
        <v>1.875</v>
      </c>
      <c r="H279">
        <v>1.875</v>
      </c>
      <c r="I279">
        <v>0.375</v>
      </c>
      <c r="J279">
        <v>1.2150000000000001</v>
      </c>
      <c r="K279">
        <v>1.0349999999999999</v>
      </c>
      <c r="L279">
        <v>5.125</v>
      </c>
      <c r="M279" t="s">
        <v>31</v>
      </c>
      <c r="N279" t="s">
        <v>33</v>
      </c>
      <c r="O279" t="s">
        <v>43</v>
      </c>
      <c r="P279" t="s">
        <v>43</v>
      </c>
      <c r="Q279">
        <v>45</v>
      </c>
      <c r="S279">
        <v>1.2150000000000001</v>
      </c>
      <c r="T279">
        <v>1.0349999999999999</v>
      </c>
      <c r="U279">
        <v>0.2</v>
      </c>
      <c r="V279">
        <v>0</v>
      </c>
      <c r="W279">
        <v>0.2</v>
      </c>
      <c r="X279">
        <v>1.2150000000000001</v>
      </c>
      <c r="Y279">
        <v>0.24300000000000002</v>
      </c>
      <c r="Z279">
        <v>1.875</v>
      </c>
      <c r="AA279">
        <v>1.0349999999999999</v>
      </c>
      <c r="AI279">
        <f t="shared" si="58"/>
        <v>0.2</v>
      </c>
      <c r="AJ279">
        <f t="shared" si="59"/>
        <v>0</v>
      </c>
      <c r="AK279">
        <f t="shared" si="60"/>
        <v>0.2</v>
      </c>
      <c r="AL279">
        <f t="shared" si="61"/>
        <v>1.2150000000000001</v>
      </c>
      <c r="AM279">
        <f t="shared" si="62"/>
        <v>0.24300000000000002</v>
      </c>
      <c r="AN279">
        <f t="shared" si="63"/>
        <v>1.875</v>
      </c>
      <c r="AO279">
        <f t="shared" si="64"/>
        <v>1.0349999999999999</v>
      </c>
      <c r="AQ279" t="str">
        <f t="shared" si="65"/>
        <v>78_1</v>
      </c>
      <c r="AR279">
        <f t="shared" si="66"/>
        <v>1</v>
      </c>
      <c r="AS279">
        <f t="shared" si="67"/>
        <v>0.2</v>
      </c>
      <c r="AT279">
        <f t="shared" si="68"/>
        <v>1.875</v>
      </c>
      <c r="AU279">
        <f t="shared" si="69"/>
        <v>1.875</v>
      </c>
      <c r="AV279">
        <f t="shared" si="70"/>
        <v>1.0349999999999999</v>
      </c>
    </row>
    <row r="280" spans="1:48">
      <c r="A280">
        <v>79</v>
      </c>
      <c r="B280" t="s">
        <v>10</v>
      </c>
      <c r="C280" t="s">
        <v>10</v>
      </c>
      <c r="D280" t="str">
        <f t="shared" si="57"/>
        <v>79</v>
      </c>
      <c r="E280" t="s">
        <v>10</v>
      </c>
      <c r="F280" t="s">
        <v>10</v>
      </c>
      <c r="G280" t="s">
        <v>10</v>
      </c>
      <c r="H280" t="s">
        <v>10</v>
      </c>
      <c r="I280" t="s">
        <v>10</v>
      </c>
      <c r="L280">
        <v>0</v>
      </c>
      <c r="M280" t="s">
        <v>11</v>
      </c>
      <c r="N280" t="s">
        <v>11</v>
      </c>
      <c r="O280" t="s">
        <v>11</v>
      </c>
      <c r="P280" t="s">
        <v>11</v>
      </c>
      <c r="Q280" t="s">
        <v>34</v>
      </c>
      <c r="R280" t="s">
        <v>38</v>
      </c>
      <c r="AI280">
        <f t="shared" si="58"/>
        <v>0</v>
      </c>
      <c r="AJ280">
        <f t="shared" si="59"/>
        <v>0</v>
      </c>
      <c r="AK280">
        <f t="shared" si="60"/>
        <v>0</v>
      </c>
      <c r="AL280">
        <f t="shared" si="61"/>
        <v>0</v>
      </c>
      <c r="AM280">
        <f t="shared" si="62"/>
        <v>0</v>
      </c>
      <c r="AN280">
        <f t="shared" si="63"/>
        <v>0</v>
      </c>
      <c r="AO280">
        <f t="shared" si="64"/>
        <v>0</v>
      </c>
      <c r="AQ280" t="str">
        <f t="shared" si="65"/>
        <v>79</v>
      </c>
      <c r="AR280" t="str">
        <f t="shared" si="66"/>
        <v/>
      </c>
      <c r="AS280">
        <f t="shared" si="67"/>
        <v>0</v>
      </c>
      <c r="AT280" t="str">
        <f t="shared" si="68"/>
        <v/>
      </c>
      <c r="AU280">
        <f t="shared" si="69"/>
        <v>0</v>
      </c>
      <c r="AV280">
        <f t="shared" si="70"/>
        <v>0</v>
      </c>
    </row>
    <row r="281" spans="1:48">
      <c r="A281">
        <v>79</v>
      </c>
      <c r="B281">
        <v>1</v>
      </c>
      <c r="C281" t="s">
        <v>10</v>
      </c>
      <c r="D281" t="str">
        <f t="shared" si="57"/>
        <v>79_1</v>
      </c>
      <c r="E281">
        <v>0</v>
      </c>
      <c r="F281">
        <v>0.625</v>
      </c>
      <c r="G281">
        <v>1.125</v>
      </c>
      <c r="H281">
        <v>1.125</v>
      </c>
      <c r="I281">
        <v>0.25</v>
      </c>
      <c r="J281">
        <v>0.74250000000000005</v>
      </c>
      <c r="K281">
        <v>0.63249999999999995</v>
      </c>
      <c r="L281">
        <v>3.125</v>
      </c>
      <c r="M281" t="s">
        <v>31</v>
      </c>
      <c r="N281" t="s">
        <v>11</v>
      </c>
      <c r="O281" t="s">
        <v>11</v>
      </c>
      <c r="P281" t="s">
        <v>11</v>
      </c>
      <c r="Q281" t="s">
        <v>34</v>
      </c>
      <c r="S281">
        <v>0.74250000000000005</v>
      </c>
      <c r="T281">
        <v>0.63249999999999995</v>
      </c>
      <c r="AB281">
        <v>0.625</v>
      </c>
      <c r="AD281">
        <v>0.125</v>
      </c>
      <c r="AE281">
        <v>0.74250000000000005</v>
      </c>
      <c r="AF281">
        <v>0.14850000000000002</v>
      </c>
      <c r="AG281">
        <v>1.125</v>
      </c>
      <c r="AH281">
        <v>0.63249999999999995</v>
      </c>
      <c r="AI281">
        <f t="shared" si="58"/>
        <v>0.625</v>
      </c>
      <c r="AJ281">
        <f t="shared" si="59"/>
        <v>0</v>
      </c>
      <c r="AK281">
        <f t="shared" si="60"/>
        <v>0.125</v>
      </c>
      <c r="AL281">
        <f t="shared" si="61"/>
        <v>0.74250000000000005</v>
      </c>
      <c r="AM281">
        <f t="shared" si="62"/>
        <v>0.14850000000000002</v>
      </c>
      <c r="AN281">
        <f t="shared" si="63"/>
        <v>1.125</v>
      </c>
      <c r="AO281">
        <f t="shared" si="64"/>
        <v>0.63249999999999995</v>
      </c>
      <c r="AQ281" t="str">
        <f t="shared" si="65"/>
        <v>79_1</v>
      </c>
      <c r="AR281">
        <f t="shared" si="66"/>
        <v>0.625</v>
      </c>
      <c r="AS281">
        <f t="shared" si="67"/>
        <v>0.625</v>
      </c>
      <c r="AT281">
        <f t="shared" si="68"/>
        <v>1.125</v>
      </c>
      <c r="AU281">
        <f t="shared" si="69"/>
        <v>1.125</v>
      </c>
      <c r="AV281">
        <f t="shared" si="70"/>
        <v>0.63249999999999995</v>
      </c>
    </row>
    <row r="282" spans="1:48">
      <c r="A282">
        <v>80</v>
      </c>
      <c r="B282" t="s">
        <v>10</v>
      </c>
      <c r="C282" t="s">
        <v>10</v>
      </c>
      <c r="D282" t="str">
        <f t="shared" si="57"/>
        <v>80</v>
      </c>
      <c r="E282" t="s">
        <v>10</v>
      </c>
      <c r="F282" t="s">
        <v>10</v>
      </c>
      <c r="G282" t="s">
        <v>10</v>
      </c>
      <c r="H282" t="s">
        <v>10</v>
      </c>
      <c r="I282" t="s">
        <v>10</v>
      </c>
      <c r="L282">
        <v>0</v>
      </c>
      <c r="M282" t="s">
        <v>11</v>
      </c>
      <c r="Q282">
        <v>70</v>
      </c>
      <c r="R282" t="s">
        <v>35</v>
      </c>
      <c r="AI282">
        <f t="shared" si="58"/>
        <v>0</v>
      </c>
      <c r="AJ282">
        <f t="shared" si="59"/>
        <v>0</v>
      </c>
      <c r="AK282">
        <f t="shared" si="60"/>
        <v>0</v>
      </c>
      <c r="AL282">
        <f t="shared" si="61"/>
        <v>0</v>
      </c>
      <c r="AM282">
        <f t="shared" si="62"/>
        <v>0</v>
      </c>
      <c r="AN282">
        <f t="shared" si="63"/>
        <v>0</v>
      </c>
      <c r="AO282">
        <f t="shared" si="64"/>
        <v>0</v>
      </c>
      <c r="AQ282" t="str">
        <f t="shared" si="65"/>
        <v>80</v>
      </c>
      <c r="AR282" t="str">
        <f t="shared" si="66"/>
        <v/>
      </c>
      <c r="AS282">
        <f t="shared" si="67"/>
        <v>0</v>
      </c>
      <c r="AT282" t="str">
        <f t="shared" si="68"/>
        <v/>
      </c>
      <c r="AU282">
        <f t="shared" si="69"/>
        <v>0</v>
      </c>
      <c r="AV282">
        <f t="shared" si="70"/>
        <v>0</v>
      </c>
    </row>
    <row r="283" spans="1:48">
      <c r="A283">
        <v>80</v>
      </c>
      <c r="B283">
        <v>1</v>
      </c>
      <c r="C283" t="s">
        <v>10</v>
      </c>
      <c r="D283" t="str">
        <f t="shared" si="57"/>
        <v>80_1</v>
      </c>
      <c r="E283">
        <v>0</v>
      </c>
      <c r="F283">
        <v>0.625</v>
      </c>
      <c r="G283">
        <v>0</v>
      </c>
      <c r="H283">
        <v>1.125</v>
      </c>
      <c r="I283">
        <v>0.25</v>
      </c>
      <c r="J283">
        <v>0.74250000000000005</v>
      </c>
      <c r="K283">
        <v>0.63249999999999995</v>
      </c>
      <c r="L283">
        <v>2</v>
      </c>
      <c r="M283" t="s">
        <v>31</v>
      </c>
      <c r="N283" t="s">
        <v>33</v>
      </c>
      <c r="O283" t="s">
        <v>43</v>
      </c>
      <c r="P283" t="s">
        <v>43</v>
      </c>
      <c r="Q283">
        <v>70</v>
      </c>
      <c r="S283">
        <v>0.74250000000000005</v>
      </c>
      <c r="T283">
        <v>0.63249999999999995</v>
      </c>
      <c r="U283">
        <v>0.125</v>
      </c>
      <c r="V283">
        <v>0</v>
      </c>
      <c r="W283">
        <v>0.125</v>
      </c>
      <c r="X283">
        <v>0.74250000000000005</v>
      </c>
      <c r="Y283">
        <v>0.14850000000000002</v>
      </c>
      <c r="Z283">
        <v>0</v>
      </c>
      <c r="AA283">
        <v>0.63249999999999995</v>
      </c>
      <c r="AI283">
        <f t="shared" si="58"/>
        <v>0.125</v>
      </c>
      <c r="AJ283">
        <f t="shared" si="59"/>
        <v>0</v>
      </c>
      <c r="AK283">
        <f t="shared" si="60"/>
        <v>0.125</v>
      </c>
      <c r="AL283">
        <f t="shared" si="61"/>
        <v>0.74250000000000005</v>
      </c>
      <c r="AM283">
        <f t="shared" si="62"/>
        <v>0.14850000000000002</v>
      </c>
      <c r="AN283">
        <f t="shared" si="63"/>
        <v>0</v>
      </c>
      <c r="AO283">
        <f t="shared" si="64"/>
        <v>0.63249999999999995</v>
      </c>
      <c r="AQ283" t="str">
        <f t="shared" si="65"/>
        <v>80_1</v>
      </c>
      <c r="AR283">
        <f t="shared" si="66"/>
        <v>0.625</v>
      </c>
      <c r="AS283">
        <f t="shared" si="67"/>
        <v>0.125</v>
      </c>
      <c r="AT283">
        <f t="shared" si="68"/>
        <v>0</v>
      </c>
      <c r="AU283">
        <f t="shared" si="69"/>
        <v>0</v>
      </c>
      <c r="AV283">
        <f t="shared" si="70"/>
        <v>0.63249999999999995</v>
      </c>
    </row>
    <row r="284" spans="1:48">
      <c r="A284">
        <v>80</v>
      </c>
      <c r="B284">
        <v>2</v>
      </c>
      <c r="D284" t="str">
        <f t="shared" si="57"/>
        <v>80_2</v>
      </c>
      <c r="E284">
        <v>0</v>
      </c>
      <c r="F284">
        <v>1.25</v>
      </c>
      <c r="G284">
        <v>2.25</v>
      </c>
      <c r="H284">
        <v>2.25</v>
      </c>
      <c r="I284">
        <v>0.375</v>
      </c>
      <c r="J284">
        <v>1.4175</v>
      </c>
      <c r="K284">
        <v>1.2075</v>
      </c>
      <c r="L284">
        <v>6.125</v>
      </c>
      <c r="M284" t="s">
        <v>31</v>
      </c>
      <c r="N284" t="s">
        <v>33</v>
      </c>
      <c r="O284" t="s">
        <v>43</v>
      </c>
      <c r="P284" t="s">
        <v>43</v>
      </c>
      <c r="Q284">
        <v>70</v>
      </c>
      <c r="S284">
        <v>1.4175</v>
      </c>
      <c r="T284">
        <v>1.2075</v>
      </c>
      <c r="U284">
        <v>0.25</v>
      </c>
      <c r="V284">
        <v>0</v>
      </c>
      <c r="W284">
        <v>0.25</v>
      </c>
      <c r="X284">
        <v>1.4175</v>
      </c>
      <c r="Y284">
        <v>0.28350000000000003</v>
      </c>
      <c r="Z284">
        <v>2.25</v>
      </c>
      <c r="AA284">
        <v>1.2075</v>
      </c>
      <c r="AI284">
        <f t="shared" si="58"/>
        <v>0.25</v>
      </c>
      <c r="AJ284">
        <f t="shared" si="59"/>
        <v>0</v>
      </c>
      <c r="AK284">
        <f t="shared" si="60"/>
        <v>0.25</v>
      </c>
      <c r="AL284">
        <f t="shared" si="61"/>
        <v>1.4175</v>
      </c>
      <c r="AM284">
        <f t="shared" si="62"/>
        <v>0.28350000000000003</v>
      </c>
      <c r="AN284">
        <f t="shared" si="63"/>
        <v>2.25</v>
      </c>
      <c r="AO284">
        <f t="shared" si="64"/>
        <v>1.2075</v>
      </c>
      <c r="AQ284" t="str">
        <f t="shared" si="65"/>
        <v>80_2</v>
      </c>
      <c r="AR284">
        <f t="shared" si="66"/>
        <v>1.25</v>
      </c>
      <c r="AS284">
        <f t="shared" si="67"/>
        <v>0.25</v>
      </c>
      <c r="AT284">
        <f t="shared" si="68"/>
        <v>2.25</v>
      </c>
      <c r="AU284">
        <f t="shared" si="69"/>
        <v>2.25</v>
      </c>
      <c r="AV284">
        <f t="shared" si="70"/>
        <v>1.2075</v>
      </c>
    </row>
    <row r="285" spans="1:48">
      <c r="A285">
        <v>80</v>
      </c>
      <c r="B285">
        <v>3</v>
      </c>
      <c r="D285" t="str">
        <f t="shared" si="57"/>
        <v>80_3</v>
      </c>
      <c r="E285">
        <v>0</v>
      </c>
      <c r="F285">
        <v>1.25</v>
      </c>
      <c r="G285">
        <v>2.25</v>
      </c>
      <c r="H285">
        <v>2.25</v>
      </c>
      <c r="I285">
        <v>0.375</v>
      </c>
      <c r="J285">
        <v>1.4175</v>
      </c>
      <c r="K285">
        <v>1.2075</v>
      </c>
      <c r="L285">
        <v>6.125</v>
      </c>
      <c r="M285" t="s">
        <v>31</v>
      </c>
      <c r="N285" t="s">
        <v>32</v>
      </c>
      <c r="O285" t="s">
        <v>32</v>
      </c>
      <c r="P285" t="s">
        <v>43</v>
      </c>
      <c r="Q285">
        <v>70</v>
      </c>
      <c r="S285">
        <v>1.4175</v>
      </c>
      <c r="T285">
        <v>1.2075</v>
      </c>
      <c r="U285">
        <v>0</v>
      </c>
      <c r="V285">
        <v>0</v>
      </c>
      <c r="W285">
        <v>0</v>
      </c>
      <c r="X285">
        <v>1.4175</v>
      </c>
      <c r="Y285">
        <v>0.28350000000000003</v>
      </c>
      <c r="Z285">
        <v>0</v>
      </c>
      <c r="AA285">
        <v>1.2075</v>
      </c>
      <c r="AI285">
        <f t="shared" si="58"/>
        <v>0</v>
      </c>
      <c r="AJ285">
        <f t="shared" si="59"/>
        <v>0</v>
      </c>
      <c r="AK285">
        <f t="shared" si="60"/>
        <v>0</v>
      </c>
      <c r="AL285">
        <f t="shared" si="61"/>
        <v>1.4175</v>
      </c>
      <c r="AM285">
        <f t="shared" si="62"/>
        <v>0.28350000000000003</v>
      </c>
      <c r="AN285">
        <f t="shared" si="63"/>
        <v>0</v>
      </c>
      <c r="AO285">
        <f t="shared" si="64"/>
        <v>1.2075</v>
      </c>
      <c r="AQ285" t="str">
        <f t="shared" si="65"/>
        <v>80_3</v>
      </c>
      <c r="AR285">
        <f t="shared" si="66"/>
        <v>1.25</v>
      </c>
      <c r="AS285">
        <f t="shared" si="67"/>
        <v>0</v>
      </c>
      <c r="AT285">
        <f t="shared" si="68"/>
        <v>2.25</v>
      </c>
      <c r="AU285">
        <f t="shared" si="69"/>
        <v>0</v>
      </c>
      <c r="AV285">
        <f t="shared" si="70"/>
        <v>1.2075</v>
      </c>
    </row>
    <row r="286" spans="1:48">
      <c r="A286">
        <v>80</v>
      </c>
      <c r="B286">
        <v>4</v>
      </c>
      <c r="D286" t="str">
        <f t="shared" si="57"/>
        <v>80_4</v>
      </c>
      <c r="E286">
        <v>0</v>
      </c>
      <c r="F286">
        <v>0.625</v>
      </c>
      <c r="G286">
        <v>1.125</v>
      </c>
      <c r="H286">
        <v>1.125</v>
      </c>
      <c r="I286">
        <v>0.25</v>
      </c>
      <c r="J286">
        <v>0.74250000000000005</v>
      </c>
      <c r="K286">
        <v>0.63249999999999995</v>
      </c>
      <c r="L286">
        <v>3.125</v>
      </c>
      <c r="M286" t="s">
        <v>31</v>
      </c>
      <c r="N286" t="s">
        <v>32</v>
      </c>
      <c r="O286" t="s">
        <v>32</v>
      </c>
      <c r="P286" t="s">
        <v>43</v>
      </c>
      <c r="Q286">
        <v>70</v>
      </c>
      <c r="S286">
        <v>0.74250000000000005</v>
      </c>
      <c r="T286">
        <v>0.63249999999999995</v>
      </c>
      <c r="U286">
        <v>0</v>
      </c>
      <c r="V286">
        <v>0</v>
      </c>
      <c r="W286">
        <v>0</v>
      </c>
      <c r="X286">
        <v>0.74250000000000005</v>
      </c>
      <c r="Y286">
        <v>0.14850000000000002</v>
      </c>
      <c r="Z286">
        <v>0</v>
      </c>
      <c r="AA286">
        <v>0.63249999999999995</v>
      </c>
      <c r="AI286">
        <f t="shared" si="58"/>
        <v>0</v>
      </c>
      <c r="AJ286">
        <f t="shared" si="59"/>
        <v>0</v>
      </c>
      <c r="AK286">
        <f t="shared" si="60"/>
        <v>0</v>
      </c>
      <c r="AL286">
        <f t="shared" si="61"/>
        <v>0.74250000000000005</v>
      </c>
      <c r="AM286">
        <f t="shared" si="62"/>
        <v>0.14850000000000002</v>
      </c>
      <c r="AN286">
        <f t="shared" si="63"/>
        <v>0</v>
      </c>
      <c r="AO286">
        <f t="shared" si="64"/>
        <v>0.63249999999999995</v>
      </c>
      <c r="AQ286" t="str">
        <f t="shared" si="65"/>
        <v>80_4</v>
      </c>
      <c r="AR286">
        <f t="shared" si="66"/>
        <v>0.625</v>
      </c>
      <c r="AS286">
        <f t="shared" si="67"/>
        <v>0</v>
      </c>
      <c r="AT286">
        <f t="shared" si="68"/>
        <v>1.125</v>
      </c>
      <c r="AU286">
        <f t="shared" si="69"/>
        <v>0</v>
      </c>
      <c r="AV286">
        <f t="shared" si="70"/>
        <v>0.63249999999999995</v>
      </c>
    </row>
    <row r="287" spans="1:48">
      <c r="A287">
        <v>81</v>
      </c>
      <c r="B287" t="s">
        <v>10</v>
      </c>
      <c r="C287" t="s">
        <v>10</v>
      </c>
      <c r="D287" t="str">
        <f t="shared" si="57"/>
        <v>81</v>
      </c>
      <c r="E287" t="s">
        <v>10</v>
      </c>
      <c r="F287" t="s">
        <v>10</v>
      </c>
      <c r="G287" t="s">
        <v>10</v>
      </c>
      <c r="H287" t="s">
        <v>10</v>
      </c>
      <c r="I287" t="s">
        <v>10</v>
      </c>
      <c r="L287">
        <v>0</v>
      </c>
      <c r="M287" t="s">
        <v>11</v>
      </c>
      <c r="N287" t="s">
        <v>11</v>
      </c>
      <c r="O287" t="s">
        <v>11</v>
      </c>
      <c r="P287" t="s">
        <v>11</v>
      </c>
      <c r="Q287" t="s">
        <v>34</v>
      </c>
      <c r="R287" t="s">
        <v>38</v>
      </c>
      <c r="AI287">
        <f t="shared" si="58"/>
        <v>0</v>
      </c>
      <c r="AJ287">
        <f t="shared" si="59"/>
        <v>0</v>
      </c>
      <c r="AK287">
        <f t="shared" si="60"/>
        <v>0</v>
      </c>
      <c r="AL287">
        <f t="shared" si="61"/>
        <v>0</v>
      </c>
      <c r="AM287">
        <f t="shared" si="62"/>
        <v>0</v>
      </c>
      <c r="AN287">
        <f t="shared" si="63"/>
        <v>0</v>
      </c>
      <c r="AO287">
        <f t="shared" si="64"/>
        <v>0</v>
      </c>
      <c r="AQ287" t="str">
        <f t="shared" si="65"/>
        <v>81</v>
      </c>
      <c r="AR287" t="str">
        <f t="shared" si="66"/>
        <v/>
      </c>
      <c r="AS287">
        <f t="shared" si="67"/>
        <v>0</v>
      </c>
      <c r="AT287" t="str">
        <f t="shared" si="68"/>
        <v/>
      </c>
      <c r="AU287">
        <f t="shared" si="69"/>
        <v>0</v>
      </c>
      <c r="AV287">
        <f t="shared" si="70"/>
        <v>0</v>
      </c>
    </row>
    <row r="288" spans="1:48">
      <c r="A288">
        <v>81</v>
      </c>
      <c r="B288">
        <v>1</v>
      </c>
      <c r="C288" t="s">
        <v>10</v>
      </c>
      <c r="D288" t="str">
        <f t="shared" si="57"/>
        <v>81_1</v>
      </c>
      <c r="E288">
        <v>0</v>
      </c>
      <c r="F288">
        <v>1</v>
      </c>
      <c r="G288">
        <v>1.75</v>
      </c>
      <c r="H288">
        <v>1.75</v>
      </c>
      <c r="I288">
        <v>0.375</v>
      </c>
      <c r="J288">
        <v>1.1475</v>
      </c>
      <c r="K288">
        <v>0.97749999999999992</v>
      </c>
      <c r="L288">
        <v>4.875</v>
      </c>
      <c r="M288" t="s">
        <v>31</v>
      </c>
      <c r="N288" t="s">
        <v>11</v>
      </c>
      <c r="O288" t="s">
        <v>11</v>
      </c>
      <c r="P288" t="s">
        <v>11</v>
      </c>
      <c r="Q288" t="s">
        <v>34</v>
      </c>
      <c r="S288">
        <v>1.1475</v>
      </c>
      <c r="T288">
        <v>0.97749999999999992</v>
      </c>
      <c r="AB288">
        <v>1</v>
      </c>
      <c r="AD288">
        <v>0.2</v>
      </c>
      <c r="AE288">
        <v>1.1475</v>
      </c>
      <c r="AF288">
        <v>0.22950000000000001</v>
      </c>
      <c r="AG288">
        <v>1.75</v>
      </c>
      <c r="AH288">
        <v>0.97749999999999992</v>
      </c>
      <c r="AI288">
        <f t="shared" si="58"/>
        <v>1</v>
      </c>
      <c r="AJ288">
        <f t="shared" si="59"/>
        <v>0</v>
      </c>
      <c r="AK288">
        <f t="shared" si="60"/>
        <v>0.2</v>
      </c>
      <c r="AL288">
        <f t="shared" si="61"/>
        <v>1.1475</v>
      </c>
      <c r="AM288">
        <f t="shared" si="62"/>
        <v>0.22950000000000001</v>
      </c>
      <c r="AN288">
        <f t="shared" si="63"/>
        <v>1.75</v>
      </c>
      <c r="AO288">
        <f t="shared" si="64"/>
        <v>0.97749999999999992</v>
      </c>
      <c r="AQ288" t="str">
        <f t="shared" si="65"/>
        <v>81_1</v>
      </c>
      <c r="AR288">
        <f t="shared" si="66"/>
        <v>1</v>
      </c>
      <c r="AS288">
        <f t="shared" si="67"/>
        <v>1</v>
      </c>
      <c r="AT288">
        <f t="shared" si="68"/>
        <v>1.75</v>
      </c>
      <c r="AU288">
        <f t="shared" si="69"/>
        <v>1.75</v>
      </c>
      <c r="AV288">
        <f t="shared" si="70"/>
        <v>0.97749999999999992</v>
      </c>
    </row>
    <row r="289" spans="1:48">
      <c r="A289">
        <v>81</v>
      </c>
      <c r="B289">
        <v>2</v>
      </c>
      <c r="D289" t="str">
        <f t="shared" si="57"/>
        <v>81_2</v>
      </c>
      <c r="E289">
        <v>0</v>
      </c>
      <c r="F289">
        <v>1</v>
      </c>
      <c r="G289">
        <v>1.75</v>
      </c>
      <c r="H289">
        <v>1.75</v>
      </c>
      <c r="I289">
        <v>0.375</v>
      </c>
      <c r="J289">
        <v>1.1475</v>
      </c>
      <c r="K289">
        <v>0.97749999999999992</v>
      </c>
      <c r="L289">
        <v>4.875</v>
      </c>
      <c r="M289" t="s">
        <v>31</v>
      </c>
      <c r="N289" t="s">
        <v>11</v>
      </c>
      <c r="O289" t="s">
        <v>11</v>
      </c>
      <c r="P289" t="s">
        <v>11</v>
      </c>
      <c r="Q289" t="s">
        <v>34</v>
      </c>
      <c r="S289">
        <v>1.1475</v>
      </c>
      <c r="T289">
        <v>0.97749999999999992</v>
      </c>
      <c r="AB289">
        <v>1</v>
      </c>
      <c r="AD289">
        <v>0.2</v>
      </c>
      <c r="AE289">
        <v>1.1475</v>
      </c>
      <c r="AF289">
        <v>0.22950000000000001</v>
      </c>
      <c r="AG289">
        <v>1.75</v>
      </c>
      <c r="AH289">
        <v>0.97749999999999992</v>
      </c>
      <c r="AI289">
        <f t="shared" si="58"/>
        <v>1</v>
      </c>
      <c r="AJ289">
        <f t="shared" si="59"/>
        <v>0</v>
      </c>
      <c r="AK289">
        <f t="shared" si="60"/>
        <v>0.2</v>
      </c>
      <c r="AL289">
        <f t="shared" si="61"/>
        <v>1.1475</v>
      </c>
      <c r="AM289">
        <f t="shared" si="62"/>
        <v>0.22950000000000001</v>
      </c>
      <c r="AN289">
        <f t="shared" si="63"/>
        <v>1.75</v>
      </c>
      <c r="AO289">
        <f t="shared" si="64"/>
        <v>0.97749999999999992</v>
      </c>
      <c r="AQ289" t="str">
        <f t="shared" si="65"/>
        <v>81_2</v>
      </c>
      <c r="AR289">
        <f t="shared" si="66"/>
        <v>1</v>
      </c>
      <c r="AS289">
        <f t="shared" si="67"/>
        <v>1</v>
      </c>
      <c r="AT289">
        <f t="shared" si="68"/>
        <v>1.75</v>
      </c>
      <c r="AU289">
        <f t="shared" si="69"/>
        <v>1.75</v>
      </c>
      <c r="AV289">
        <f t="shared" si="70"/>
        <v>0.97749999999999992</v>
      </c>
    </row>
    <row r="290" spans="1:48">
      <c r="A290">
        <v>82</v>
      </c>
      <c r="B290" t="s">
        <v>10</v>
      </c>
      <c r="C290" t="s">
        <v>10</v>
      </c>
      <c r="D290" t="str">
        <f t="shared" si="57"/>
        <v>82</v>
      </c>
      <c r="E290" t="s">
        <v>10</v>
      </c>
      <c r="F290" t="s">
        <v>10</v>
      </c>
      <c r="G290" t="s">
        <v>10</v>
      </c>
      <c r="H290" t="s">
        <v>10</v>
      </c>
      <c r="I290" t="s">
        <v>10</v>
      </c>
      <c r="L290">
        <v>0</v>
      </c>
      <c r="M290" t="s">
        <v>11</v>
      </c>
      <c r="Q290">
        <v>53</v>
      </c>
      <c r="R290" t="s">
        <v>35</v>
      </c>
      <c r="AI290">
        <f t="shared" si="58"/>
        <v>0</v>
      </c>
      <c r="AJ290">
        <f t="shared" si="59"/>
        <v>0</v>
      </c>
      <c r="AK290">
        <f t="shared" si="60"/>
        <v>0</v>
      </c>
      <c r="AL290">
        <f t="shared" si="61"/>
        <v>0</v>
      </c>
      <c r="AM290">
        <f t="shared" si="62"/>
        <v>0</v>
      </c>
      <c r="AN290">
        <f t="shared" si="63"/>
        <v>0</v>
      </c>
      <c r="AO290">
        <f t="shared" si="64"/>
        <v>0</v>
      </c>
      <c r="AQ290" t="str">
        <f t="shared" si="65"/>
        <v>82</v>
      </c>
      <c r="AR290" t="str">
        <f t="shared" si="66"/>
        <v/>
      </c>
      <c r="AS290">
        <f t="shared" si="67"/>
        <v>0</v>
      </c>
      <c r="AT290" t="str">
        <f t="shared" si="68"/>
        <v/>
      </c>
      <c r="AU290">
        <f t="shared" si="69"/>
        <v>0</v>
      </c>
      <c r="AV290">
        <f t="shared" si="70"/>
        <v>0</v>
      </c>
    </row>
    <row r="291" spans="1:48">
      <c r="A291">
        <v>82</v>
      </c>
      <c r="B291">
        <v>1</v>
      </c>
      <c r="C291" t="s">
        <v>10</v>
      </c>
      <c r="D291" t="str">
        <f t="shared" si="57"/>
        <v>82_1</v>
      </c>
      <c r="E291">
        <v>0</v>
      </c>
      <c r="F291">
        <v>1</v>
      </c>
      <c r="G291">
        <v>1.75</v>
      </c>
      <c r="H291">
        <v>1.75</v>
      </c>
      <c r="I291">
        <v>0.375</v>
      </c>
      <c r="J291">
        <v>1.1475</v>
      </c>
      <c r="K291">
        <v>0.97749999999999992</v>
      </c>
      <c r="L291">
        <v>4.875</v>
      </c>
      <c r="M291" t="s">
        <v>31</v>
      </c>
      <c r="N291" t="s">
        <v>42</v>
      </c>
      <c r="O291" t="s">
        <v>37</v>
      </c>
      <c r="P291" t="s">
        <v>33</v>
      </c>
      <c r="Q291">
        <v>53</v>
      </c>
      <c r="S291">
        <v>1.1475</v>
      </c>
      <c r="T291">
        <v>0.97749999999999992</v>
      </c>
      <c r="U291">
        <v>0.2</v>
      </c>
      <c r="V291">
        <v>0</v>
      </c>
      <c r="W291">
        <v>0.2</v>
      </c>
      <c r="X291">
        <v>0.22950000000000001</v>
      </c>
      <c r="Y291">
        <v>0.22950000000000001</v>
      </c>
      <c r="Z291">
        <v>1.75</v>
      </c>
      <c r="AA291">
        <v>0.97749999999999992</v>
      </c>
      <c r="AI291">
        <f t="shared" si="58"/>
        <v>0.2</v>
      </c>
      <c r="AJ291">
        <f t="shared" si="59"/>
        <v>0</v>
      </c>
      <c r="AK291">
        <f t="shared" si="60"/>
        <v>0.2</v>
      </c>
      <c r="AL291">
        <f t="shared" si="61"/>
        <v>0.22950000000000001</v>
      </c>
      <c r="AM291">
        <f t="shared" si="62"/>
        <v>0.22950000000000001</v>
      </c>
      <c r="AN291">
        <f t="shared" si="63"/>
        <v>1.75</v>
      </c>
      <c r="AO291">
        <f t="shared" si="64"/>
        <v>0.97749999999999992</v>
      </c>
      <c r="AQ291" t="str">
        <f t="shared" si="65"/>
        <v>82_1</v>
      </c>
      <c r="AR291">
        <f t="shared" si="66"/>
        <v>1</v>
      </c>
      <c r="AS291">
        <f t="shared" si="67"/>
        <v>0.2</v>
      </c>
      <c r="AT291">
        <f t="shared" si="68"/>
        <v>1.75</v>
      </c>
      <c r="AU291">
        <f t="shared" si="69"/>
        <v>1.75</v>
      </c>
      <c r="AV291">
        <f t="shared" si="70"/>
        <v>0.97749999999999992</v>
      </c>
    </row>
    <row r="292" spans="1:48">
      <c r="A292">
        <v>82</v>
      </c>
      <c r="B292">
        <v>2</v>
      </c>
      <c r="D292" t="str">
        <f t="shared" si="57"/>
        <v>82_2</v>
      </c>
      <c r="E292">
        <v>0</v>
      </c>
      <c r="F292">
        <v>1</v>
      </c>
      <c r="G292">
        <v>1.75</v>
      </c>
      <c r="H292">
        <v>1.75</v>
      </c>
      <c r="I292">
        <v>0.375</v>
      </c>
      <c r="J292">
        <v>1.1475</v>
      </c>
      <c r="K292">
        <v>0.97749999999999992</v>
      </c>
      <c r="L292">
        <v>4.875</v>
      </c>
      <c r="M292" t="s">
        <v>31</v>
      </c>
      <c r="N292" t="s">
        <v>32</v>
      </c>
      <c r="O292" t="s">
        <v>32</v>
      </c>
      <c r="P292" t="s">
        <v>33</v>
      </c>
      <c r="Q292">
        <v>53</v>
      </c>
      <c r="S292">
        <v>1.1475</v>
      </c>
      <c r="T292">
        <v>0.97749999999999992</v>
      </c>
      <c r="U292">
        <v>0</v>
      </c>
      <c r="V292">
        <v>0</v>
      </c>
      <c r="W292">
        <v>0</v>
      </c>
      <c r="X292">
        <v>0.22950000000000001</v>
      </c>
      <c r="Y292">
        <v>0.22950000000000001</v>
      </c>
      <c r="Z292">
        <v>0</v>
      </c>
      <c r="AA292">
        <v>0.97749999999999992</v>
      </c>
      <c r="AI292">
        <f t="shared" si="58"/>
        <v>0</v>
      </c>
      <c r="AJ292">
        <f t="shared" si="59"/>
        <v>0</v>
      </c>
      <c r="AK292">
        <f t="shared" si="60"/>
        <v>0</v>
      </c>
      <c r="AL292">
        <f t="shared" si="61"/>
        <v>0.22950000000000001</v>
      </c>
      <c r="AM292">
        <f t="shared" si="62"/>
        <v>0.22950000000000001</v>
      </c>
      <c r="AN292">
        <f t="shared" si="63"/>
        <v>0</v>
      </c>
      <c r="AO292">
        <f t="shared" si="64"/>
        <v>0.97749999999999992</v>
      </c>
      <c r="AQ292" t="str">
        <f t="shared" si="65"/>
        <v>82_2</v>
      </c>
      <c r="AR292">
        <f t="shared" si="66"/>
        <v>1</v>
      </c>
      <c r="AS292">
        <f t="shared" si="67"/>
        <v>0</v>
      </c>
      <c r="AT292">
        <f t="shared" si="68"/>
        <v>1.75</v>
      </c>
      <c r="AU292">
        <f t="shared" si="69"/>
        <v>0</v>
      </c>
      <c r="AV292">
        <f t="shared" si="70"/>
        <v>0.97749999999999992</v>
      </c>
    </row>
    <row r="293" spans="1:48">
      <c r="A293">
        <v>82</v>
      </c>
      <c r="B293">
        <v>3</v>
      </c>
      <c r="D293" t="str">
        <f t="shared" si="57"/>
        <v>82_3</v>
      </c>
      <c r="E293">
        <v>0</v>
      </c>
      <c r="F293">
        <v>0</v>
      </c>
      <c r="G293">
        <v>0</v>
      </c>
      <c r="H293">
        <v>1.375</v>
      </c>
      <c r="I293">
        <v>0.25</v>
      </c>
      <c r="J293">
        <v>0.87750000000000006</v>
      </c>
      <c r="K293">
        <v>0.74749999999999994</v>
      </c>
      <c r="L293">
        <v>1.625</v>
      </c>
      <c r="M293" t="s">
        <v>31</v>
      </c>
      <c r="N293" t="s">
        <v>36</v>
      </c>
      <c r="O293" t="s">
        <v>36</v>
      </c>
      <c r="P293" t="s">
        <v>33</v>
      </c>
      <c r="Q293">
        <v>53</v>
      </c>
      <c r="S293">
        <v>0.87750000000000006</v>
      </c>
      <c r="T293">
        <v>0.74749999999999994</v>
      </c>
      <c r="U293">
        <v>0</v>
      </c>
      <c r="V293">
        <v>0</v>
      </c>
      <c r="W293">
        <v>0</v>
      </c>
      <c r="X293">
        <v>0.17550000000000002</v>
      </c>
      <c r="Y293">
        <v>0.17550000000000002</v>
      </c>
      <c r="Z293">
        <v>0</v>
      </c>
      <c r="AA293">
        <v>0.74749999999999994</v>
      </c>
      <c r="AI293">
        <f t="shared" si="58"/>
        <v>0</v>
      </c>
      <c r="AJ293">
        <f t="shared" si="59"/>
        <v>0</v>
      </c>
      <c r="AK293">
        <f t="shared" si="60"/>
        <v>0</v>
      </c>
      <c r="AL293">
        <f t="shared" si="61"/>
        <v>0.17550000000000002</v>
      </c>
      <c r="AM293">
        <f t="shared" si="62"/>
        <v>0.17550000000000002</v>
      </c>
      <c r="AN293">
        <f t="shared" si="63"/>
        <v>0</v>
      </c>
      <c r="AO293">
        <f t="shared" si="64"/>
        <v>0.74749999999999994</v>
      </c>
      <c r="AQ293" t="str">
        <f t="shared" si="65"/>
        <v>82_3</v>
      </c>
      <c r="AR293">
        <f t="shared" si="66"/>
        <v>0</v>
      </c>
      <c r="AS293">
        <f t="shared" si="67"/>
        <v>0</v>
      </c>
      <c r="AT293">
        <f t="shared" si="68"/>
        <v>0</v>
      </c>
      <c r="AU293">
        <f t="shared" si="69"/>
        <v>0</v>
      </c>
      <c r="AV293">
        <f t="shared" si="70"/>
        <v>0.74749999999999994</v>
      </c>
    </row>
    <row r="294" spans="1:48">
      <c r="A294">
        <v>83</v>
      </c>
      <c r="B294" t="s">
        <v>10</v>
      </c>
      <c r="C294" t="s">
        <v>10</v>
      </c>
      <c r="D294" t="str">
        <f t="shared" si="57"/>
        <v>83</v>
      </c>
      <c r="E294" t="s">
        <v>10</v>
      </c>
      <c r="F294" t="s">
        <v>10</v>
      </c>
      <c r="G294" t="s">
        <v>10</v>
      </c>
      <c r="H294" t="s">
        <v>10</v>
      </c>
      <c r="I294" t="s">
        <v>10</v>
      </c>
      <c r="L294">
        <v>0</v>
      </c>
      <c r="M294" t="s">
        <v>11</v>
      </c>
      <c r="N294" t="s">
        <v>11</v>
      </c>
      <c r="O294" t="s">
        <v>11</v>
      </c>
      <c r="P294" t="s">
        <v>11</v>
      </c>
      <c r="Q294" t="s">
        <v>11</v>
      </c>
      <c r="AI294">
        <f t="shared" si="58"/>
        <v>0</v>
      </c>
      <c r="AJ294">
        <f t="shared" si="59"/>
        <v>0</v>
      </c>
      <c r="AK294">
        <f t="shared" si="60"/>
        <v>0</v>
      </c>
      <c r="AL294">
        <f t="shared" si="61"/>
        <v>0</v>
      </c>
      <c r="AM294">
        <f t="shared" si="62"/>
        <v>0</v>
      </c>
      <c r="AN294">
        <f t="shared" si="63"/>
        <v>0</v>
      </c>
      <c r="AO294">
        <f t="shared" si="64"/>
        <v>0</v>
      </c>
      <c r="AQ294" t="str">
        <f t="shared" si="65"/>
        <v>83</v>
      </c>
      <c r="AR294" t="str">
        <f t="shared" si="66"/>
        <v/>
      </c>
      <c r="AS294">
        <f t="shared" si="67"/>
        <v>0</v>
      </c>
      <c r="AT294" t="str">
        <f t="shared" si="68"/>
        <v/>
      </c>
      <c r="AU294">
        <f t="shared" si="69"/>
        <v>0</v>
      </c>
      <c r="AV294">
        <f t="shared" si="70"/>
        <v>0</v>
      </c>
    </row>
    <row r="295" spans="1:48">
      <c r="A295">
        <v>84</v>
      </c>
      <c r="B295" t="s">
        <v>10</v>
      </c>
      <c r="C295" t="s">
        <v>10</v>
      </c>
      <c r="D295" t="str">
        <f t="shared" si="57"/>
        <v>84</v>
      </c>
      <c r="E295" t="s">
        <v>10</v>
      </c>
      <c r="F295" t="s">
        <v>10</v>
      </c>
      <c r="G295" t="s">
        <v>10</v>
      </c>
      <c r="H295" t="s">
        <v>10</v>
      </c>
      <c r="I295" t="s">
        <v>10</v>
      </c>
      <c r="L295">
        <v>0</v>
      </c>
      <c r="M295" t="s">
        <v>11</v>
      </c>
      <c r="Q295">
        <v>53</v>
      </c>
      <c r="R295" t="s">
        <v>35</v>
      </c>
      <c r="AI295">
        <f t="shared" si="58"/>
        <v>0</v>
      </c>
      <c r="AJ295">
        <f t="shared" si="59"/>
        <v>0</v>
      </c>
      <c r="AK295">
        <f t="shared" si="60"/>
        <v>0</v>
      </c>
      <c r="AL295">
        <f t="shared" si="61"/>
        <v>0</v>
      </c>
      <c r="AM295">
        <f t="shared" si="62"/>
        <v>0</v>
      </c>
      <c r="AN295">
        <f t="shared" si="63"/>
        <v>0</v>
      </c>
      <c r="AO295">
        <f t="shared" si="64"/>
        <v>0</v>
      </c>
      <c r="AQ295" t="str">
        <f t="shared" si="65"/>
        <v>84</v>
      </c>
      <c r="AR295" t="str">
        <f t="shared" si="66"/>
        <v/>
      </c>
      <c r="AS295">
        <f t="shared" si="67"/>
        <v>0</v>
      </c>
      <c r="AT295" t="str">
        <f t="shared" si="68"/>
        <v/>
      </c>
      <c r="AU295">
        <f t="shared" si="69"/>
        <v>0</v>
      </c>
      <c r="AV295">
        <f t="shared" si="70"/>
        <v>0</v>
      </c>
    </row>
    <row r="296" spans="1:48">
      <c r="A296">
        <v>84</v>
      </c>
      <c r="B296">
        <v>1</v>
      </c>
      <c r="C296" t="s">
        <v>10</v>
      </c>
      <c r="D296" t="str">
        <f t="shared" si="57"/>
        <v>84_1</v>
      </c>
      <c r="E296">
        <v>0</v>
      </c>
      <c r="F296">
        <v>0.75</v>
      </c>
      <c r="G296">
        <v>1.375</v>
      </c>
      <c r="H296">
        <v>1.375</v>
      </c>
      <c r="I296">
        <v>0.25</v>
      </c>
      <c r="J296">
        <v>0.87750000000000006</v>
      </c>
      <c r="K296">
        <v>0.74749999999999994</v>
      </c>
      <c r="L296">
        <v>3.75</v>
      </c>
      <c r="M296" t="s">
        <v>31</v>
      </c>
      <c r="N296" t="s">
        <v>32</v>
      </c>
      <c r="O296" t="s">
        <v>37</v>
      </c>
      <c r="P296" t="s">
        <v>37</v>
      </c>
      <c r="Q296">
        <v>53</v>
      </c>
      <c r="S296">
        <v>0.87750000000000006</v>
      </c>
      <c r="T296">
        <v>0.74749999999999994</v>
      </c>
      <c r="U296">
        <v>0</v>
      </c>
      <c r="V296">
        <v>0</v>
      </c>
      <c r="W296">
        <v>0</v>
      </c>
      <c r="X296">
        <v>0.87750000000000006</v>
      </c>
      <c r="Y296">
        <v>0.17550000000000002</v>
      </c>
      <c r="Z296">
        <v>1.375</v>
      </c>
      <c r="AA296">
        <v>0.74749999999999994</v>
      </c>
      <c r="AI296">
        <f t="shared" si="58"/>
        <v>0</v>
      </c>
      <c r="AJ296">
        <f t="shared" si="59"/>
        <v>0</v>
      </c>
      <c r="AK296">
        <f t="shared" si="60"/>
        <v>0</v>
      </c>
      <c r="AL296">
        <f t="shared" si="61"/>
        <v>0.87750000000000006</v>
      </c>
      <c r="AM296">
        <f t="shared" si="62"/>
        <v>0.17550000000000002</v>
      </c>
      <c r="AN296">
        <f t="shared" si="63"/>
        <v>1.375</v>
      </c>
      <c r="AO296">
        <f t="shared" si="64"/>
        <v>0.74749999999999994</v>
      </c>
      <c r="AQ296" t="str">
        <f t="shared" si="65"/>
        <v>84_1</v>
      </c>
      <c r="AR296">
        <f t="shared" si="66"/>
        <v>0.75</v>
      </c>
      <c r="AS296">
        <f t="shared" si="67"/>
        <v>0</v>
      </c>
      <c r="AT296">
        <f t="shared" si="68"/>
        <v>1.375</v>
      </c>
      <c r="AU296">
        <f t="shared" si="69"/>
        <v>1.375</v>
      </c>
      <c r="AV296">
        <f t="shared" si="70"/>
        <v>0.74749999999999994</v>
      </c>
    </row>
    <row r="297" spans="1:48">
      <c r="A297">
        <v>84</v>
      </c>
      <c r="B297">
        <v>2</v>
      </c>
      <c r="C297" t="s">
        <v>10</v>
      </c>
      <c r="D297" t="str">
        <f t="shared" si="57"/>
        <v>84_2</v>
      </c>
      <c r="E297">
        <v>0</v>
      </c>
      <c r="F297">
        <v>0.75</v>
      </c>
      <c r="G297">
        <v>1.375</v>
      </c>
      <c r="H297">
        <v>1.375</v>
      </c>
      <c r="I297">
        <v>0.25</v>
      </c>
      <c r="J297">
        <v>0.87750000000000006</v>
      </c>
      <c r="K297">
        <v>0.74749999999999994</v>
      </c>
      <c r="L297">
        <v>3.75</v>
      </c>
      <c r="M297" t="s">
        <v>31</v>
      </c>
      <c r="N297" t="s">
        <v>32</v>
      </c>
      <c r="O297" t="s">
        <v>32</v>
      </c>
      <c r="P297" t="s">
        <v>32</v>
      </c>
      <c r="Q297">
        <v>53</v>
      </c>
      <c r="S297">
        <v>0.87750000000000006</v>
      </c>
      <c r="T297">
        <v>0.74749999999999994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0.74749999999999994</v>
      </c>
      <c r="AI297">
        <f t="shared" si="58"/>
        <v>0</v>
      </c>
      <c r="AJ297">
        <f t="shared" si="59"/>
        <v>0</v>
      </c>
      <c r="AK297">
        <f t="shared" si="60"/>
        <v>0</v>
      </c>
      <c r="AL297">
        <f t="shared" si="61"/>
        <v>0</v>
      </c>
      <c r="AM297">
        <f t="shared" si="62"/>
        <v>0</v>
      </c>
      <c r="AN297">
        <f t="shared" si="63"/>
        <v>0</v>
      </c>
      <c r="AO297">
        <f t="shared" si="64"/>
        <v>0.74749999999999994</v>
      </c>
      <c r="AQ297" t="str">
        <f t="shared" si="65"/>
        <v>84_2</v>
      </c>
      <c r="AR297">
        <f t="shared" si="66"/>
        <v>0.75</v>
      </c>
      <c r="AS297">
        <f t="shared" si="67"/>
        <v>0</v>
      </c>
      <c r="AT297">
        <f t="shared" si="68"/>
        <v>1.375</v>
      </c>
      <c r="AU297">
        <f t="shared" si="69"/>
        <v>0</v>
      </c>
      <c r="AV297">
        <f t="shared" si="70"/>
        <v>0.74749999999999994</v>
      </c>
    </row>
    <row r="298" spans="1:48">
      <c r="A298">
        <v>84</v>
      </c>
      <c r="B298">
        <v>3</v>
      </c>
      <c r="C298" t="s">
        <v>10</v>
      </c>
      <c r="D298" t="str">
        <f t="shared" si="57"/>
        <v>84_3</v>
      </c>
      <c r="E298">
        <v>0</v>
      </c>
      <c r="F298">
        <v>0.75</v>
      </c>
      <c r="G298">
        <v>1.375</v>
      </c>
      <c r="H298">
        <v>1.375</v>
      </c>
      <c r="I298">
        <v>0.25</v>
      </c>
      <c r="J298">
        <v>0.87750000000000006</v>
      </c>
      <c r="K298">
        <v>0.74749999999999994</v>
      </c>
      <c r="L298">
        <v>3.75</v>
      </c>
      <c r="M298" t="s">
        <v>31</v>
      </c>
      <c r="N298" t="s">
        <v>32</v>
      </c>
      <c r="O298" t="s">
        <v>37</v>
      </c>
      <c r="P298" t="s">
        <v>33</v>
      </c>
      <c r="Q298">
        <v>53</v>
      </c>
      <c r="S298">
        <v>0.87750000000000006</v>
      </c>
      <c r="T298">
        <v>0.74749999999999994</v>
      </c>
      <c r="U298">
        <v>0</v>
      </c>
      <c r="V298">
        <v>0</v>
      </c>
      <c r="W298">
        <v>0</v>
      </c>
      <c r="X298">
        <v>0.17550000000000002</v>
      </c>
      <c r="Y298">
        <v>0.17550000000000002</v>
      </c>
      <c r="Z298">
        <v>1.375</v>
      </c>
      <c r="AA298">
        <v>0.74749999999999994</v>
      </c>
      <c r="AI298">
        <f t="shared" si="58"/>
        <v>0</v>
      </c>
      <c r="AJ298">
        <f t="shared" si="59"/>
        <v>0</v>
      </c>
      <c r="AK298">
        <f t="shared" si="60"/>
        <v>0</v>
      </c>
      <c r="AL298">
        <f t="shared" si="61"/>
        <v>0.17550000000000002</v>
      </c>
      <c r="AM298">
        <f t="shared" si="62"/>
        <v>0.17550000000000002</v>
      </c>
      <c r="AN298">
        <f t="shared" si="63"/>
        <v>1.375</v>
      </c>
      <c r="AO298">
        <f t="shared" si="64"/>
        <v>0.74749999999999994</v>
      </c>
      <c r="AQ298" t="str">
        <f t="shared" si="65"/>
        <v>84_3</v>
      </c>
      <c r="AR298">
        <f t="shared" si="66"/>
        <v>0.75</v>
      </c>
      <c r="AS298">
        <f t="shared" si="67"/>
        <v>0</v>
      </c>
      <c r="AT298">
        <f t="shared" si="68"/>
        <v>1.375</v>
      </c>
      <c r="AU298">
        <f t="shared" si="69"/>
        <v>1.375</v>
      </c>
      <c r="AV298">
        <f t="shared" si="70"/>
        <v>0.74749999999999994</v>
      </c>
    </row>
    <row r="299" spans="1:48">
      <c r="A299">
        <v>85</v>
      </c>
      <c r="B299" t="s">
        <v>10</v>
      </c>
      <c r="C299" t="s">
        <v>10</v>
      </c>
      <c r="D299" t="str">
        <f t="shared" si="57"/>
        <v>85</v>
      </c>
      <c r="E299" t="s">
        <v>10</v>
      </c>
      <c r="F299" t="s">
        <v>10</v>
      </c>
      <c r="G299" t="s">
        <v>10</v>
      </c>
      <c r="H299" t="s">
        <v>10</v>
      </c>
      <c r="I299" t="s">
        <v>10</v>
      </c>
      <c r="L299">
        <v>0</v>
      </c>
      <c r="M299" t="s">
        <v>11</v>
      </c>
      <c r="Q299">
        <v>53</v>
      </c>
      <c r="R299" t="s">
        <v>35</v>
      </c>
      <c r="AI299">
        <f t="shared" si="58"/>
        <v>0</v>
      </c>
      <c r="AJ299">
        <f t="shared" si="59"/>
        <v>0</v>
      </c>
      <c r="AK299">
        <f t="shared" si="60"/>
        <v>0</v>
      </c>
      <c r="AL299">
        <f t="shared" si="61"/>
        <v>0</v>
      </c>
      <c r="AM299">
        <f t="shared" si="62"/>
        <v>0</v>
      </c>
      <c r="AN299">
        <f t="shared" si="63"/>
        <v>0</v>
      </c>
      <c r="AO299">
        <f t="shared" si="64"/>
        <v>0</v>
      </c>
      <c r="AQ299" t="str">
        <f t="shared" si="65"/>
        <v>85</v>
      </c>
      <c r="AR299" t="str">
        <f t="shared" si="66"/>
        <v/>
      </c>
      <c r="AS299">
        <f t="shared" si="67"/>
        <v>0</v>
      </c>
      <c r="AT299" t="str">
        <f t="shared" si="68"/>
        <v/>
      </c>
      <c r="AU299">
        <f t="shared" si="69"/>
        <v>0</v>
      </c>
      <c r="AV299">
        <f t="shared" si="70"/>
        <v>0</v>
      </c>
    </row>
    <row r="300" spans="1:48">
      <c r="A300">
        <v>85</v>
      </c>
      <c r="B300">
        <v>1</v>
      </c>
      <c r="C300">
        <v>1</v>
      </c>
      <c r="D300" t="str">
        <f t="shared" si="57"/>
        <v>85_1_1</v>
      </c>
      <c r="E300">
        <v>0</v>
      </c>
      <c r="F300">
        <v>0.75</v>
      </c>
      <c r="G300">
        <v>1.375</v>
      </c>
      <c r="H300">
        <v>1.375</v>
      </c>
      <c r="I300">
        <v>0.25</v>
      </c>
      <c r="J300">
        <v>0.87750000000000006</v>
      </c>
      <c r="K300">
        <v>0.74749999999999994</v>
      </c>
      <c r="L300">
        <v>3.75</v>
      </c>
      <c r="M300" t="s">
        <v>31</v>
      </c>
      <c r="N300" t="s">
        <v>33</v>
      </c>
      <c r="O300" t="s">
        <v>37</v>
      </c>
      <c r="P300" t="s">
        <v>33</v>
      </c>
      <c r="Q300">
        <v>53</v>
      </c>
      <c r="S300">
        <v>0.87750000000000006</v>
      </c>
      <c r="T300">
        <v>0.74749999999999994</v>
      </c>
      <c r="U300">
        <v>0.15000000000000002</v>
      </c>
      <c r="V300">
        <v>0</v>
      </c>
      <c r="W300">
        <v>0.15000000000000002</v>
      </c>
      <c r="X300">
        <v>0.17550000000000002</v>
      </c>
      <c r="Y300">
        <v>0.17550000000000002</v>
      </c>
      <c r="Z300">
        <v>1.375</v>
      </c>
      <c r="AA300">
        <v>0.74749999999999994</v>
      </c>
      <c r="AI300">
        <f t="shared" si="58"/>
        <v>0.15000000000000002</v>
      </c>
      <c r="AJ300">
        <f t="shared" si="59"/>
        <v>0</v>
      </c>
      <c r="AK300">
        <f t="shared" si="60"/>
        <v>0.15000000000000002</v>
      </c>
      <c r="AL300">
        <f t="shared" si="61"/>
        <v>0.17550000000000002</v>
      </c>
      <c r="AM300">
        <f t="shared" si="62"/>
        <v>0.17550000000000002</v>
      </c>
      <c r="AN300">
        <f t="shared" si="63"/>
        <v>1.375</v>
      </c>
      <c r="AO300">
        <f t="shared" si="64"/>
        <v>0.74749999999999994</v>
      </c>
      <c r="AQ300" t="str">
        <f t="shared" si="65"/>
        <v>85_1_1</v>
      </c>
      <c r="AR300">
        <f t="shared" si="66"/>
        <v>0.75</v>
      </c>
      <c r="AS300">
        <f t="shared" si="67"/>
        <v>0.15000000000000002</v>
      </c>
      <c r="AT300">
        <f t="shared" si="68"/>
        <v>1.375</v>
      </c>
      <c r="AU300">
        <f t="shared" si="69"/>
        <v>1.375</v>
      </c>
      <c r="AV300">
        <f t="shared" si="70"/>
        <v>0.74749999999999994</v>
      </c>
    </row>
    <row r="301" spans="1:48">
      <c r="A301">
        <v>85</v>
      </c>
      <c r="B301">
        <v>1</v>
      </c>
      <c r="C301">
        <v>2</v>
      </c>
      <c r="D301" t="str">
        <f t="shared" si="57"/>
        <v>85_1_2</v>
      </c>
      <c r="E301">
        <v>0</v>
      </c>
      <c r="F301">
        <v>0.75</v>
      </c>
      <c r="G301">
        <v>1.375</v>
      </c>
      <c r="H301">
        <v>1.375</v>
      </c>
      <c r="I301">
        <v>0.25</v>
      </c>
      <c r="J301">
        <v>0.87750000000000006</v>
      </c>
      <c r="K301">
        <v>0.74749999999999994</v>
      </c>
      <c r="L301">
        <v>3.75</v>
      </c>
      <c r="M301" t="s">
        <v>31</v>
      </c>
      <c r="N301" t="s">
        <v>33</v>
      </c>
      <c r="O301" t="s">
        <v>37</v>
      </c>
      <c r="P301" t="s">
        <v>33</v>
      </c>
      <c r="Q301">
        <v>53</v>
      </c>
      <c r="S301">
        <v>0.87750000000000006</v>
      </c>
      <c r="T301">
        <v>0.74749999999999994</v>
      </c>
      <c r="U301">
        <v>0.15000000000000002</v>
      </c>
      <c r="V301">
        <v>0</v>
      </c>
      <c r="W301">
        <v>0.15000000000000002</v>
      </c>
      <c r="X301">
        <v>0.17550000000000002</v>
      </c>
      <c r="Y301">
        <v>0.17550000000000002</v>
      </c>
      <c r="Z301">
        <v>1.375</v>
      </c>
      <c r="AA301">
        <v>0.74749999999999994</v>
      </c>
      <c r="AI301">
        <f t="shared" si="58"/>
        <v>0.15000000000000002</v>
      </c>
      <c r="AJ301">
        <f t="shared" si="59"/>
        <v>0</v>
      </c>
      <c r="AK301">
        <f t="shared" si="60"/>
        <v>0.15000000000000002</v>
      </c>
      <c r="AL301">
        <f t="shared" si="61"/>
        <v>0.17550000000000002</v>
      </c>
      <c r="AM301">
        <f t="shared" si="62"/>
        <v>0.17550000000000002</v>
      </c>
      <c r="AN301">
        <f t="shared" si="63"/>
        <v>1.375</v>
      </c>
      <c r="AO301">
        <f t="shared" si="64"/>
        <v>0.74749999999999994</v>
      </c>
      <c r="AQ301" t="str">
        <f t="shared" si="65"/>
        <v>85_1_2</v>
      </c>
      <c r="AR301">
        <f t="shared" si="66"/>
        <v>0.75</v>
      </c>
      <c r="AS301">
        <f t="shared" si="67"/>
        <v>0.15000000000000002</v>
      </c>
      <c r="AT301">
        <f t="shared" si="68"/>
        <v>1.375</v>
      </c>
      <c r="AU301">
        <f t="shared" si="69"/>
        <v>1.375</v>
      </c>
      <c r="AV301">
        <f t="shared" si="70"/>
        <v>0.74749999999999994</v>
      </c>
    </row>
    <row r="302" spans="1:48">
      <c r="A302">
        <v>86</v>
      </c>
      <c r="B302" t="s">
        <v>10</v>
      </c>
      <c r="C302" t="s">
        <v>10</v>
      </c>
      <c r="D302" t="str">
        <f t="shared" si="57"/>
        <v>86</v>
      </c>
      <c r="E302" t="s">
        <v>10</v>
      </c>
      <c r="F302" t="s">
        <v>10</v>
      </c>
      <c r="G302" t="s">
        <v>10</v>
      </c>
      <c r="H302" t="s">
        <v>10</v>
      </c>
      <c r="I302" t="s">
        <v>10</v>
      </c>
      <c r="L302">
        <v>0</v>
      </c>
      <c r="M302" t="s">
        <v>11</v>
      </c>
      <c r="Q302">
        <v>17</v>
      </c>
      <c r="R302" t="s">
        <v>35</v>
      </c>
      <c r="AI302">
        <f t="shared" si="58"/>
        <v>0</v>
      </c>
      <c r="AJ302">
        <f t="shared" si="59"/>
        <v>0</v>
      </c>
      <c r="AK302">
        <f t="shared" si="60"/>
        <v>0</v>
      </c>
      <c r="AL302">
        <f t="shared" si="61"/>
        <v>0</v>
      </c>
      <c r="AM302">
        <f t="shared" si="62"/>
        <v>0</v>
      </c>
      <c r="AN302">
        <f t="shared" si="63"/>
        <v>0</v>
      </c>
      <c r="AO302">
        <f t="shared" si="64"/>
        <v>0</v>
      </c>
      <c r="AQ302" t="str">
        <f t="shared" si="65"/>
        <v>86</v>
      </c>
      <c r="AR302" t="str">
        <f t="shared" si="66"/>
        <v/>
      </c>
      <c r="AS302">
        <f t="shared" si="67"/>
        <v>0</v>
      </c>
      <c r="AT302" t="str">
        <f t="shared" si="68"/>
        <v/>
      </c>
      <c r="AU302">
        <f t="shared" si="69"/>
        <v>0</v>
      </c>
      <c r="AV302">
        <f t="shared" si="70"/>
        <v>0</v>
      </c>
    </row>
    <row r="303" spans="1:48">
      <c r="A303">
        <v>86</v>
      </c>
      <c r="B303">
        <v>1</v>
      </c>
      <c r="C303" t="s">
        <v>10</v>
      </c>
      <c r="D303" t="str">
        <f t="shared" si="57"/>
        <v>86_1</v>
      </c>
      <c r="E303">
        <v>0</v>
      </c>
      <c r="F303">
        <v>0.75</v>
      </c>
      <c r="G303">
        <v>1.375</v>
      </c>
      <c r="H303">
        <v>1.375</v>
      </c>
      <c r="I303">
        <v>0.25</v>
      </c>
      <c r="J303">
        <v>0.87750000000000006</v>
      </c>
      <c r="K303">
        <v>0.74749999999999994</v>
      </c>
      <c r="L303">
        <v>3.75</v>
      </c>
      <c r="M303" t="s">
        <v>31</v>
      </c>
      <c r="N303" t="s">
        <v>32</v>
      </c>
      <c r="O303" t="s">
        <v>37</v>
      </c>
      <c r="P303" t="s">
        <v>33</v>
      </c>
      <c r="Q303">
        <v>17</v>
      </c>
      <c r="S303">
        <v>0.87750000000000006</v>
      </c>
      <c r="T303">
        <v>0.74749999999999994</v>
      </c>
      <c r="U303">
        <v>0</v>
      </c>
      <c r="V303">
        <v>0</v>
      </c>
      <c r="W303">
        <v>0</v>
      </c>
      <c r="X303">
        <v>0.17550000000000002</v>
      </c>
      <c r="Y303">
        <v>0.17550000000000002</v>
      </c>
      <c r="Z303">
        <v>1.375</v>
      </c>
      <c r="AA303">
        <v>0.74749999999999994</v>
      </c>
      <c r="AI303">
        <f t="shared" si="58"/>
        <v>0</v>
      </c>
      <c r="AJ303">
        <f t="shared" si="59"/>
        <v>0</v>
      </c>
      <c r="AK303">
        <f t="shared" si="60"/>
        <v>0</v>
      </c>
      <c r="AL303">
        <f t="shared" si="61"/>
        <v>0.17550000000000002</v>
      </c>
      <c r="AM303">
        <f t="shared" si="62"/>
        <v>0.17550000000000002</v>
      </c>
      <c r="AN303">
        <f t="shared" si="63"/>
        <v>1.375</v>
      </c>
      <c r="AO303">
        <f t="shared" si="64"/>
        <v>0.74749999999999994</v>
      </c>
      <c r="AQ303" t="str">
        <f t="shared" si="65"/>
        <v>86_1</v>
      </c>
      <c r="AR303">
        <f t="shared" si="66"/>
        <v>0.75</v>
      </c>
      <c r="AS303">
        <f t="shared" si="67"/>
        <v>0</v>
      </c>
      <c r="AT303">
        <f t="shared" si="68"/>
        <v>1.375</v>
      </c>
      <c r="AU303">
        <f t="shared" si="69"/>
        <v>1.375</v>
      </c>
      <c r="AV303">
        <f t="shared" si="70"/>
        <v>0.74749999999999994</v>
      </c>
    </row>
    <row r="304" spans="1:48">
      <c r="A304">
        <v>87</v>
      </c>
      <c r="B304" t="s">
        <v>10</v>
      </c>
      <c r="C304" t="s">
        <v>10</v>
      </c>
      <c r="D304" t="str">
        <f t="shared" si="57"/>
        <v>87</v>
      </c>
      <c r="E304" t="s">
        <v>10</v>
      </c>
      <c r="F304" t="s">
        <v>10</v>
      </c>
      <c r="G304" t="s">
        <v>10</v>
      </c>
      <c r="H304" t="s">
        <v>10</v>
      </c>
      <c r="I304" t="s">
        <v>10</v>
      </c>
      <c r="L304">
        <v>0</v>
      </c>
      <c r="M304" t="s">
        <v>11</v>
      </c>
      <c r="Q304">
        <v>18</v>
      </c>
      <c r="R304" t="s">
        <v>35</v>
      </c>
      <c r="AI304">
        <f t="shared" si="58"/>
        <v>0</v>
      </c>
      <c r="AJ304">
        <f t="shared" si="59"/>
        <v>0</v>
      </c>
      <c r="AK304">
        <f t="shared" si="60"/>
        <v>0</v>
      </c>
      <c r="AL304">
        <f t="shared" si="61"/>
        <v>0</v>
      </c>
      <c r="AM304">
        <f t="shared" si="62"/>
        <v>0</v>
      </c>
      <c r="AN304">
        <f t="shared" si="63"/>
        <v>0</v>
      </c>
      <c r="AO304">
        <f t="shared" si="64"/>
        <v>0</v>
      </c>
      <c r="AQ304" t="str">
        <f t="shared" si="65"/>
        <v>87</v>
      </c>
      <c r="AR304" t="str">
        <f t="shared" si="66"/>
        <v/>
      </c>
      <c r="AS304">
        <f t="shared" si="67"/>
        <v>0</v>
      </c>
      <c r="AT304" t="str">
        <f t="shared" si="68"/>
        <v/>
      </c>
      <c r="AU304">
        <f t="shared" si="69"/>
        <v>0</v>
      </c>
      <c r="AV304">
        <f t="shared" si="70"/>
        <v>0</v>
      </c>
    </row>
    <row r="305" spans="1:48">
      <c r="A305">
        <v>87</v>
      </c>
      <c r="B305">
        <v>1</v>
      </c>
      <c r="C305" t="s">
        <v>10</v>
      </c>
      <c r="D305" t="str">
        <f t="shared" si="57"/>
        <v>87_1</v>
      </c>
      <c r="E305">
        <v>0</v>
      </c>
      <c r="F305">
        <v>0.625</v>
      </c>
      <c r="G305">
        <v>1.125</v>
      </c>
      <c r="H305">
        <v>1.125</v>
      </c>
      <c r="I305">
        <v>0.25</v>
      </c>
      <c r="J305">
        <v>0.74250000000000005</v>
      </c>
      <c r="K305">
        <v>0.63249999999999995</v>
      </c>
      <c r="L305">
        <v>3.125</v>
      </c>
      <c r="M305" t="s">
        <v>31</v>
      </c>
      <c r="N305" t="s">
        <v>33</v>
      </c>
      <c r="O305" t="s">
        <v>43</v>
      </c>
      <c r="P305" t="s">
        <v>42</v>
      </c>
      <c r="Q305">
        <v>18</v>
      </c>
      <c r="S305">
        <v>0.74250000000000005</v>
      </c>
      <c r="T305">
        <v>0.63249999999999995</v>
      </c>
      <c r="U305">
        <v>0.125</v>
      </c>
      <c r="V305">
        <v>0</v>
      </c>
      <c r="W305">
        <v>0.125</v>
      </c>
      <c r="X305">
        <v>0.14850000000000002</v>
      </c>
      <c r="Y305">
        <v>0.14850000000000002</v>
      </c>
      <c r="Z305">
        <v>1.125</v>
      </c>
      <c r="AA305">
        <v>0.63249999999999995</v>
      </c>
      <c r="AI305">
        <f t="shared" si="58"/>
        <v>0.125</v>
      </c>
      <c r="AJ305">
        <f t="shared" si="59"/>
        <v>0</v>
      </c>
      <c r="AK305">
        <f t="shared" si="60"/>
        <v>0.125</v>
      </c>
      <c r="AL305">
        <f t="shared" si="61"/>
        <v>0.14850000000000002</v>
      </c>
      <c r="AM305">
        <f t="shared" si="62"/>
        <v>0.14850000000000002</v>
      </c>
      <c r="AN305">
        <f t="shared" si="63"/>
        <v>1.125</v>
      </c>
      <c r="AO305">
        <f t="shared" si="64"/>
        <v>0.63249999999999995</v>
      </c>
      <c r="AQ305" t="str">
        <f t="shared" si="65"/>
        <v>87_1</v>
      </c>
      <c r="AR305">
        <f t="shared" si="66"/>
        <v>0.625</v>
      </c>
      <c r="AS305">
        <f t="shared" si="67"/>
        <v>0.125</v>
      </c>
      <c r="AT305">
        <f t="shared" si="68"/>
        <v>1.125</v>
      </c>
      <c r="AU305">
        <f t="shared" si="69"/>
        <v>1.125</v>
      </c>
      <c r="AV305">
        <f t="shared" si="70"/>
        <v>0.63249999999999995</v>
      </c>
    </row>
    <row r="306" spans="1:48">
      <c r="A306">
        <v>88</v>
      </c>
      <c r="B306" t="s">
        <v>10</v>
      </c>
      <c r="C306" t="s">
        <v>10</v>
      </c>
      <c r="D306" t="str">
        <f t="shared" si="57"/>
        <v>88</v>
      </c>
      <c r="E306" t="s">
        <v>10</v>
      </c>
      <c r="F306" t="s">
        <v>10</v>
      </c>
      <c r="G306" t="s">
        <v>10</v>
      </c>
      <c r="H306" t="s">
        <v>10</v>
      </c>
      <c r="I306" t="s">
        <v>10</v>
      </c>
      <c r="L306">
        <v>0</v>
      </c>
      <c r="M306" t="s">
        <v>11</v>
      </c>
      <c r="Q306">
        <v>74</v>
      </c>
      <c r="R306" t="s">
        <v>30</v>
      </c>
      <c r="AI306">
        <f t="shared" si="58"/>
        <v>0</v>
      </c>
      <c r="AJ306">
        <f t="shared" si="59"/>
        <v>0</v>
      </c>
      <c r="AK306">
        <f t="shared" si="60"/>
        <v>0</v>
      </c>
      <c r="AL306">
        <f t="shared" si="61"/>
        <v>0</v>
      </c>
      <c r="AM306">
        <f t="shared" si="62"/>
        <v>0</v>
      </c>
      <c r="AN306">
        <f t="shared" si="63"/>
        <v>0</v>
      </c>
      <c r="AO306">
        <f t="shared" si="64"/>
        <v>0</v>
      </c>
      <c r="AQ306" t="str">
        <f t="shared" si="65"/>
        <v>88</v>
      </c>
      <c r="AR306" t="str">
        <f t="shared" si="66"/>
        <v/>
      </c>
      <c r="AS306">
        <f t="shared" si="67"/>
        <v>0</v>
      </c>
      <c r="AT306" t="str">
        <f t="shared" si="68"/>
        <v/>
      </c>
      <c r="AU306">
        <f t="shared" si="69"/>
        <v>0</v>
      </c>
      <c r="AV306">
        <f t="shared" si="70"/>
        <v>0</v>
      </c>
    </row>
    <row r="307" spans="1:48">
      <c r="A307">
        <v>88</v>
      </c>
      <c r="B307">
        <v>1</v>
      </c>
      <c r="C307">
        <v>1</v>
      </c>
      <c r="D307" t="str">
        <f t="shared" si="57"/>
        <v>88_1_1</v>
      </c>
      <c r="E307">
        <v>0</v>
      </c>
      <c r="F307">
        <v>0.5</v>
      </c>
      <c r="G307">
        <v>0.875</v>
      </c>
      <c r="H307">
        <v>0.875</v>
      </c>
      <c r="I307">
        <v>0.25</v>
      </c>
      <c r="J307">
        <v>0.60750000000000004</v>
      </c>
      <c r="K307">
        <v>0.51749999999999996</v>
      </c>
      <c r="L307">
        <v>2.5</v>
      </c>
      <c r="M307" t="s">
        <v>31</v>
      </c>
      <c r="N307" t="s">
        <v>11</v>
      </c>
      <c r="O307" t="s">
        <v>11</v>
      </c>
      <c r="P307" t="s">
        <v>11</v>
      </c>
      <c r="Q307" t="s">
        <v>34</v>
      </c>
      <c r="S307">
        <v>0.60750000000000004</v>
      </c>
      <c r="T307">
        <v>0.51749999999999996</v>
      </c>
      <c r="AB307">
        <v>0.5</v>
      </c>
      <c r="AD307">
        <v>0.1</v>
      </c>
      <c r="AE307">
        <v>0.60750000000000004</v>
      </c>
      <c r="AF307">
        <v>0.12150000000000001</v>
      </c>
      <c r="AG307">
        <v>0.875</v>
      </c>
      <c r="AH307">
        <v>0.51749999999999996</v>
      </c>
      <c r="AI307">
        <f t="shared" si="58"/>
        <v>0.5</v>
      </c>
      <c r="AJ307">
        <f t="shared" si="59"/>
        <v>0</v>
      </c>
      <c r="AK307">
        <f t="shared" si="60"/>
        <v>0.1</v>
      </c>
      <c r="AL307">
        <f t="shared" si="61"/>
        <v>0.60750000000000004</v>
      </c>
      <c r="AM307">
        <f t="shared" si="62"/>
        <v>0.12150000000000001</v>
      </c>
      <c r="AN307">
        <f t="shared" si="63"/>
        <v>0.875</v>
      </c>
      <c r="AO307">
        <f t="shared" si="64"/>
        <v>0.51749999999999996</v>
      </c>
      <c r="AQ307" t="str">
        <f t="shared" si="65"/>
        <v>88_1_1</v>
      </c>
      <c r="AR307">
        <f t="shared" si="66"/>
        <v>0.5</v>
      </c>
      <c r="AS307">
        <f t="shared" si="67"/>
        <v>0.5</v>
      </c>
      <c r="AT307">
        <f t="shared" si="68"/>
        <v>0.875</v>
      </c>
      <c r="AU307">
        <f t="shared" si="69"/>
        <v>0.875</v>
      </c>
      <c r="AV307">
        <f t="shared" si="70"/>
        <v>0.51749999999999996</v>
      </c>
    </row>
    <row r="308" spans="1:48">
      <c r="A308">
        <v>88</v>
      </c>
      <c r="B308">
        <v>1</v>
      </c>
      <c r="C308">
        <v>2</v>
      </c>
      <c r="D308" t="str">
        <f t="shared" si="57"/>
        <v>88_1_2</v>
      </c>
      <c r="E308">
        <v>0</v>
      </c>
      <c r="F308">
        <v>0.5</v>
      </c>
      <c r="G308">
        <v>0.875</v>
      </c>
      <c r="H308">
        <v>0.875</v>
      </c>
      <c r="I308">
        <v>0.25</v>
      </c>
      <c r="J308">
        <v>0.60750000000000004</v>
      </c>
      <c r="K308">
        <v>0.51749999999999996</v>
      </c>
      <c r="L308">
        <v>2.5</v>
      </c>
      <c r="M308" t="s">
        <v>31</v>
      </c>
      <c r="N308" t="s">
        <v>33</v>
      </c>
      <c r="O308" t="s">
        <v>43</v>
      </c>
      <c r="P308" t="s">
        <v>43</v>
      </c>
      <c r="Q308">
        <v>74</v>
      </c>
      <c r="S308">
        <v>0.60750000000000004</v>
      </c>
      <c r="T308">
        <v>0.51749999999999996</v>
      </c>
      <c r="U308">
        <v>0.1</v>
      </c>
      <c r="V308">
        <v>0</v>
      </c>
      <c r="W308">
        <v>0.1</v>
      </c>
      <c r="X308">
        <v>0.60750000000000004</v>
      </c>
      <c r="Y308">
        <v>0.12150000000000001</v>
      </c>
      <c r="Z308">
        <v>0.875</v>
      </c>
      <c r="AA308">
        <v>0.51749999999999996</v>
      </c>
      <c r="AI308">
        <f t="shared" si="58"/>
        <v>0.1</v>
      </c>
      <c r="AJ308">
        <f t="shared" si="59"/>
        <v>0</v>
      </c>
      <c r="AK308">
        <f t="shared" si="60"/>
        <v>0.1</v>
      </c>
      <c r="AL308">
        <f t="shared" si="61"/>
        <v>0.60750000000000004</v>
      </c>
      <c r="AM308">
        <f t="shared" si="62"/>
        <v>0.12150000000000001</v>
      </c>
      <c r="AN308">
        <f t="shared" si="63"/>
        <v>0.875</v>
      </c>
      <c r="AO308">
        <f t="shared" si="64"/>
        <v>0.51749999999999996</v>
      </c>
      <c r="AQ308" t="str">
        <f t="shared" si="65"/>
        <v>88_1_2</v>
      </c>
      <c r="AR308">
        <f t="shared" si="66"/>
        <v>0.5</v>
      </c>
      <c r="AS308">
        <f t="shared" si="67"/>
        <v>0.1</v>
      </c>
      <c r="AT308">
        <f t="shared" si="68"/>
        <v>0.875</v>
      </c>
      <c r="AU308">
        <f t="shared" si="69"/>
        <v>0.875</v>
      </c>
      <c r="AV308">
        <f t="shared" si="70"/>
        <v>0.51749999999999996</v>
      </c>
    </row>
    <row r="309" spans="1:48">
      <c r="A309">
        <v>88</v>
      </c>
      <c r="B309">
        <v>1</v>
      </c>
      <c r="C309">
        <v>3</v>
      </c>
      <c r="D309" t="str">
        <f t="shared" si="57"/>
        <v>88_1_3</v>
      </c>
      <c r="E309">
        <v>0</v>
      </c>
      <c r="F309">
        <v>0.5</v>
      </c>
      <c r="G309">
        <v>0.875</v>
      </c>
      <c r="H309">
        <v>0.875</v>
      </c>
      <c r="I309">
        <v>0.25</v>
      </c>
      <c r="J309">
        <v>0.60750000000000004</v>
      </c>
      <c r="K309">
        <v>0.51749999999999996</v>
      </c>
      <c r="L309">
        <v>2.5</v>
      </c>
      <c r="M309" t="s">
        <v>31</v>
      </c>
      <c r="N309" t="s">
        <v>11</v>
      </c>
      <c r="O309" t="s">
        <v>11</v>
      </c>
      <c r="P309" t="s">
        <v>11</v>
      </c>
      <c r="Q309" t="s">
        <v>34</v>
      </c>
      <c r="S309">
        <v>0.60750000000000004</v>
      </c>
      <c r="T309">
        <v>0.51749999999999996</v>
      </c>
      <c r="AB309">
        <v>0.5</v>
      </c>
      <c r="AD309">
        <v>0.1</v>
      </c>
      <c r="AE309">
        <v>0.60750000000000004</v>
      </c>
      <c r="AF309">
        <v>0.12150000000000001</v>
      </c>
      <c r="AG309">
        <v>0.875</v>
      </c>
      <c r="AH309">
        <v>0.51749999999999996</v>
      </c>
      <c r="AI309">
        <f t="shared" si="58"/>
        <v>0.5</v>
      </c>
      <c r="AJ309">
        <f t="shared" si="59"/>
        <v>0</v>
      </c>
      <c r="AK309">
        <f t="shared" si="60"/>
        <v>0.1</v>
      </c>
      <c r="AL309">
        <f t="shared" si="61"/>
        <v>0.60750000000000004</v>
      </c>
      <c r="AM309">
        <f t="shared" si="62"/>
        <v>0.12150000000000001</v>
      </c>
      <c r="AN309">
        <f t="shared" si="63"/>
        <v>0.875</v>
      </c>
      <c r="AO309">
        <f t="shared" si="64"/>
        <v>0.51749999999999996</v>
      </c>
      <c r="AQ309" t="str">
        <f t="shared" si="65"/>
        <v>88_1_3</v>
      </c>
      <c r="AR309">
        <f t="shared" si="66"/>
        <v>0.5</v>
      </c>
      <c r="AS309">
        <f t="shared" si="67"/>
        <v>0.5</v>
      </c>
      <c r="AT309">
        <f t="shared" si="68"/>
        <v>0.875</v>
      </c>
      <c r="AU309">
        <f t="shared" si="69"/>
        <v>0.875</v>
      </c>
      <c r="AV309">
        <f t="shared" si="70"/>
        <v>0.51749999999999996</v>
      </c>
    </row>
    <row r="310" spans="1:48">
      <c r="A310">
        <v>88</v>
      </c>
      <c r="B310">
        <v>1</v>
      </c>
      <c r="C310">
        <v>4</v>
      </c>
      <c r="D310" t="str">
        <f t="shared" si="57"/>
        <v>88_1_4</v>
      </c>
      <c r="E310">
        <v>0</v>
      </c>
      <c r="F310">
        <v>0.5</v>
      </c>
      <c r="G310">
        <v>0.875</v>
      </c>
      <c r="H310">
        <v>0.875</v>
      </c>
      <c r="I310">
        <v>0.25</v>
      </c>
      <c r="J310">
        <v>0.60750000000000004</v>
      </c>
      <c r="K310">
        <v>0.51749999999999996</v>
      </c>
      <c r="L310">
        <v>2.5</v>
      </c>
      <c r="M310" t="s">
        <v>31</v>
      </c>
      <c r="N310" t="s">
        <v>33</v>
      </c>
      <c r="O310" t="s">
        <v>43</v>
      </c>
      <c r="P310" t="s">
        <v>43</v>
      </c>
      <c r="Q310">
        <v>74</v>
      </c>
      <c r="S310">
        <v>0.60750000000000004</v>
      </c>
      <c r="T310">
        <v>0.51749999999999996</v>
      </c>
      <c r="U310">
        <v>0.1</v>
      </c>
      <c r="V310">
        <v>0</v>
      </c>
      <c r="W310">
        <v>0.1</v>
      </c>
      <c r="X310">
        <v>0.60750000000000004</v>
      </c>
      <c r="Y310">
        <v>0.12150000000000001</v>
      </c>
      <c r="Z310">
        <v>0.875</v>
      </c>
      <c r="AA310">
        <v>0.51749999999999996</v>
      </c>
      <c r="AI310">
        <f t="shared" si="58"/>
        <v>0.1</v>
      </c>
      <c r="AJ310">
        <f t="shared" si="59"/>
        <v>0</v>
      </c>
      <c r="AK310">
        <f t="shared" si="60"/>
        <v>0.1</v>
      </c>
      <c r="AL310">
        <f t="shared" si="61"/>
        <v>0.60750000000000004</v>
      </c>
      <c r="AM310">
        <f t="shared" si="62"/>
        <v>0.12150000000000001</v>
      </c>
      <c r="AN310">
        <f t="shared" si="63"/>
        <v>0.875</v>
      </c>
      <c r="AO310">
        <f t="shared" si="64"/>
        <v>0.51749999999999996</v>
      </c>
      <c r="AQ310" t="str">
        <f t="shared" si="65"/>
        <v>88_1_4</v>
      </c>
      <c r="AR310">
        <f t="shared" si="66"/>
        <v>0.5</v>
      </c>
      <c r="AS310">
        <f t="shared" si="67"/>
        <v>0.1</v>
      </c>
      <c r="AT310">
        <f t="shared" si="68"/>
        <v>0.875</v>
      </c>
      <c r="AU310">
        <f t="shared" si="69"/>
        <v>0.875</v>
      </c>
      <c r="AV310">
        <f t="shared" si="70"/>
        <v>0.51749999999999996</v>
      </c>
    </row>
    <row r="311" spans="1:48">
      <c r="A311">
        <v>88</v>
      </c>
      <c r="B311">
        <v>1</v>
      </c>
      <c r="C311">
        <v>5</v>
      </c>
      <c r="D311" t="str">
        <f t="shared" si="57"/>
        <v>88_1_5</v>
      </c>
      <c r="E311">
        <v>0</v>
      </c>
      <c r="F311">
        <v>1.25</v>
      </c>
      <c r="G311">
        <v>2.25</v>
      </c>
      <c r="H311">
        <v>2.25</v>
      </c>
      <c r="I311">
        <v>0.375</v>
      </c>
      <c r="J311">
        <v>1.4175</v>
      </c>
      <c r="K311">
        <v>1.2075</v>
      </c>
      <c r="L311">
        <v>6.125</v>
      </c>
      <c r="M311" t="s">
        <v>31</v>
      </c>
      <c r="N311" t="s">
        <v>11</v>
      </c>
      <c r="O311" t="s">
        <v>11</v>
      </c>
      <c r="P311" t="s">
        <v>11</v>
      </c>
      <c r="Q311" t="s">
        <v>34</v>
      </c>
      <c r="S311">
        <v>1.4175</v>
      </c>
      <c r="T311">
        <v>1.2075</v>
      </c>
      <c r="AB311">
        <v>1.25</v>
      </c>
      <c r="AD311">
        <v>0.25</v>
      </c>
      <c r="AE311">
        <v>1.4175</v>
      </c>
      <c r="AF311">
        <v>0.28350000000000003</v>
      </c>
      <c r="AG311">
        <v>2.25</v>
      </c>
      <c r="AH311">
        <v>1.2075</v>
      </c>
      <c r="AI311">
        <f t="shared" si="58"/>
        <v>1.25</v>
      </c>
      <c r="AJ311">
        <f t="shared" si="59"/>
        <v>0</v>
      </c>
      <c r="AK311">
        <f t="shared" si="60"/>
        <v>0.25</v>
      </c>
      <c r="AL311">
        <f t="shared" si="61"/>
        <v>1.4175</v>
      </c>
      <c r="AM311">
        <f t="shared" si="62"/>
        <v>0.28350000000000003</v>
      </c>
      <c r="AN311">
        <f t="shared" si="63"/>
        <v>2.25</v>
      </c>
      <c r="AO311">
        <f t="shared" si="64"/>
        <v>1.2075</v>
      </c>
      <c r="AQ311" t="str">
        <f t="shared" si="65"/>
        <v>88_1_5</v>
      </c>
      <c r="AR311">
        <f t="shared" si="66"/>
        <v>1.25</v>
      </c>
      <c r="AS311">
        <f t="shared" si="67"/>
        <v>1.25</v>
      </c>
      <c r="AT311">
        <f t="shared" si="68"/>
        <v>2.25</v>
      </c>
      <c r="AU311">
        <f t="shared" si="69"/>
        <v>2.25</v>
      </c>
      <c r="AV311">
        <f t="shared" si="70"/>
        <v>1.2075</v>
      </c>
    </row>
    <row r="312" spans="1:48">
      <c r="A312">
        <v>88</v>
      </c>
      <c r="B312">
        <v>1</v>
      </c>
      <c r="C312">
        <v>6</v>
      </c>
      <c r="D312" t="str">
        <f t="shared" si="57"/>
        <v>88_1_6</v>
      </c>
      <c r="E312">
        <v>0</v>
      </c>
      <c r="F312">
        <v>1.25</v>
      </c>
      <c r="G312">
        <v>2.25</v>
      </c>
      <c r="H312">
        <v>2.25</v>
      </c>
      <c r="I312">
        <v>0.375</v>
      </c>
      <c r="J312">
        <v>1.4175</v>
      </c>
      <c r="K312">
        <v>1.2075</v>
      </c>
      <c r="L312">
        <v>6.125</v>
      </c>
      <c r="M312" t="s">
        <v>31</v>
      </c>
      <c r="N312" t="s">
        <v>33</v>
      </c>
      <c r="O312" t="s">
        <v>43</v>
      </c>
      <c r="P312" t="s">
        <v>43</v>
      </c>
      <c r="Q312">
        <v>74</v>
      </c>
      <c r="S312">
        <v>1.4175</v>
      </c>
      <c r="T312">
        <v>1.2075</v>
      </c>
      <c r="U312">
        <v>0.25</v>
      </c>
      <c r="V312">
        <v>0</v>
      </c>
      <c r="W312">
        <v>0.25</v>
      </c>
      <c r="X312">
        <v>1.4175</v>
      </c>
      <c r="Y312">
        <v>0.28350000000000003</v>
      </c>
      <c r="Z312">
        <v>2.25</v>
      </c>
      <c r="AA312">
        <v>1.2075</v>
      </c>
      <c r="AI312">
        <f t="shared" si="58"/>
        <v>0.25</v>
      </c>
      <c r="AJ312">
        <f t="shared" si="59"/>
        <v>0</v>
      </c>
      <c r="AK312">
        <f t="shared" si="60"/>
        <v>0.25</v>
      </c>
      <c r="AL312">
        <f t="shared" si="61"/>
        <v>1.4175</v>
      </c>
      <c r="AM312">
        <f t="shared" si="62"/>
        <v>0.28350000000000003</v>
      </c>
      <c r="AN312">
        <f t="shared" si="63"/>
        <v>2.25</v>
      </c>
      <c r="AO312">
        <f t="shared" si="64"/>
        <v>1.2075</v>
      </c>
      <c r="AQ312" t="str">
        <f t="shared" si="65"/>
        <v>88_1_6</v>
      </c>
      <c r="AR312">
        <f t="shared" si="66"/>
        <v>1.25</v>
      </c>
      <c r="AS312">
        <f t="shared" si="67"/>
        <v>0.25</v>
      </c>
      <c r="AT312">
        <f t="shared" si="68"/>
        <v>2.25</v>
      </c>
      <c r="AU312">
        <f t="shared" si="69"/>
        <v>2.25</v>
      </c>
      <c r="AV312">
        <f t="shared" si="70"/>
        <v>1.2075</v>
      </c>
    </row>
    <row r="313" spans="1:48">
      <c r="A313">
        <v>89</v>
      </c>
      <c r="B313" t="s">
        <v>10</v>
      </c>
      <c r="C313" t="s">
        <v>10</v>
      </c>
      <c r="D313" t="str">
        <f t="shared" si="57"/>
        <v>89</v>
      </c>
      <c r="E313" t="s">
        <v>10</v>
      </c>
      <c r="F313" t="s">
        <v>10</v>
      </c>
      <c r="G313" t="s">
        <v>10</v>
      </c>
      <c r="H313" t="s">
        <v>10</v>
      </c>
      <c r="I313" t="s">
        <v>10</v>
      </c>
      <c r="L313">
        <v>0</v>
      </c>
      <c r="M313" t="s">
        <v>11</v>
      </c>
      <c r="Q313">
        <v>80</v>
      </c>
      <c r="R313" t="s">
        <v>30</v>
      </c>
      <c r="AI313">
        <f t="shared" si="58"/>
        <v>0</v>
      </c>
      <c r="AJ313">
        <f t="shared" si="59"/>
        <v>0</v>
      </c>
      <c r="AK313">
        <f t="shared" si="60"/>
        <v>0</v>
      </c>
      <c r="AL313">
        <f t="shared" si="61"/>
        <v>0</v>
      </c>
      <c r="AM313">
        <f t="shared" si="62"/>
        <v>0</v>
      </c>
      <c r="AN313">
        <f t="shared" si="63"/>
        <v>0</v>
      </c>
      <c r="AO313">
        <f t="shared" si="64"/>
        <v>0</v>
      </c>
      <c r="AQ313" t="str">
        <f t="shared" si="65"/>
        <v>89</v>
      </c>
      <c r="AR313" t="str">
        <f t="shared" si="66"/>
        <v/>
      </c>
      <c r="AS313">
        <f t="shared" si="67"/>
        <v>0</v>
      </c>
      <c r="AT313" t="str">
        <f t="shared" si="68"/>
        <v/>
      </c>
      <c r="AU313">
        <f t="shared" si="69"/>
        <v>0</v>
      </c>
      <c r="AV313">
        <f t="shared" si="70"/>
        <v>0</v>
      </c>
    </row>
    <row r="314" spans="1:48">
      <c r="A314">
        <v>89</v>
      </c>
      <c r="B314">
        <v>1</v>
      </c>
      <c r="C314">
        <v>1</v>
      </c>
      <c r="D314" t="str">
        <f t="shared" si="57"/>
        <v>89_1_1</v>
      </c>
      <c r="E314">
        <v>0</v>
      </c>
      <c r="F314">
        <v>6.75</v>
      </c>
      <c r="G314">
        <v>12.625</v>
      </c>
      <c r="H314">
        <v>12.625</v>
      </c>
      <c r="I314">
        <v>2.125</v>
      </c>
      <c r="J314">
        <v>7.9650000000000007</v>
      </c>
      <c r="K314">
        <v>6.7849999999999993</v>
      </c>
      <c r="L314">
        <v>34.125</v>
      </c>
      <c r="M314" t="s">
        <v>31</v>
      </c>
      <c r="N314" t="s">
        <v>33</v>
      </c>
      <c r="O314" t="s">
        <v>43</v>
      </c>
      <c r="P314" t="s">
        <v>43</v>
      </c>
      <c r="Q314">
        <v>80</v>
      </c>
      <c r="S314">
        <v>7.9650000000000007</v>
      </c>
      <c r="T314">
        <v>6.7849999999999993</v>
      </c>
      <c r="U314">
        <v>1.35</v>
      </c>
      <c r="V314">
        <v>0</v>
      </c>
      <c r="W314">
        <v>1.35</v>
      </c>
      <c r="X314">
        <v>7.9650000000000007</v>
      </c>
      <c r="Y314">
        <v>1.5930000000000002</v>
      </c>
      <c r="Z314">
        <v>12.625</v>
      </c>
      <c r="AA314">
        <v>6.7849999999999993</v>
      </c>
      <c r="AI314">
        <f t="shared" si="58"/>
        <v>1.35</v>
      </c>
      <c r="AJ314">
        <f t="shared" si="59"/>
        <v>0</v>
      </c>
      <c r="AK314">
        <f t="shared" si="60"/>
        <v>1.35</v>
      </c>
      <c r="AL314">
        <f t="shared" si="61"/>
        <v>7.9650000000000007</v>
      </c>
      <c r="AM314">
        <f t="shared" si="62"/>
        <v>1.5930000000000002</v>
      </c>
      <c r="AN314">
        <f t="shared" si="63"/>
        <v>12.625</v>
      </c>
      <c r="AO314">
        <f t="shared" si="64"/>
        <v>6.7849999999999993</v>
      </c>
      <c r="AQ314" t="str">
        <f t="shared" si="65"/>
        <v>89_1_1</v>
      </c>
      <c r="AR314">
        <f t="shared" si="66"/>
        <v>6.75</v>
      </c>
      <c r="AS314">
        <f t="shared" si="67"/>
        <v>1.35</v>
      </c>
      <c r="AT314">
        <f t="shared" si="68"/>
        <v>12.625</v>
      </c>
      <c r="AU314">
        <f t="shared" si="69"/>
        <v>12.625</v>
      </c>
      <c r="AV314">
        <f t="shared" si="70"/>
        <v>6.7849999999999993</v>
      </c>
    </row>
    <row r="315" spans="1:48">
      <c r="A315">
        <v>89</v>
      </c>
      <c r="B315">
        <v>1</v>
      </c>
      <c r="C315">
        <v>2</v>
      </c>
      <c r="D315" t="str">
        <f t="shared" si="57"/>
        <v>89_1_2</v>
      </c>
      <c r="E315">
        <v>0</v>
      </c>
      <c r="F315">
        <v>3.25</v>
      </c>
      <c r="G315">
        <v>6</v>
      </c>
      <c r="H315">
        <v>6</v>
      </c>
      <c r="I315">
        <v>1</v>
      </c>
      <c r="J315">
        <v>3.7800000000000002</v>
      </c>
      <c r="K315">
        <v>3.2199999999999998</v>
      </c>
      <c r="L315">
        <v>16.25</v>
      </c>
      <c r="M315" t="s">
        <v>31</v>
      </c>
      <c r="N315" t="s">
        <v>11</v>
      </c>
      <c r="O315" t="s">
        <v>11</v>
      </c>
      <c r="P315" t="s">
        <v>11</v>
      </c>
      <c r="Q315" t="s">
        <v>34</v>
      </c>
      <c r="S315">
        <v>3.7800000000000002</v>
      </c>
      <c r="T315">
        <v>3.2199999999999998</v>
      </c>
      <c r="AB315">
        <v>3.25</v>
      </c>
      <c r="AD315">
        <v>0.65</v>
      </c>
      <c r="AE315">
        <v>3.7800000000000002</v>
      </c>
      <c r="AF315">
        <v>0.75600000000000012</v>
      </c>
      <c r="AG315">
        <v>6</v>
      </c>
      <c r="AH315">
        <v>3.2199999999999998</v>
      </c>
      <c r="AI315">
        <f t="shared" si="58"/>
        <v>3.25</v>
      </c>
      <c r="AJ315">
        <f t="shared" si="59"/>
        <v>0</v>
      </c>
      <c r="AK315">
        <f t="shared" si="60"/>
        <v>0.65</v>
      </c>
      <c r="AL315">
        <f t="shared" si="61"/>
        <v>3.7800000000000002</v>
      </c>
      <c r="AM315">
        <f t="shared" si="62"/>
        <v>0.75600000000000012</v>
      </c>
      <c r="AN315">
        <f t="shared" si="63"/>
        <v>6</v>
      </c>
      <c r="AO315">
        <f t="shared" si="64"/>
        <v>3.2199999999999998</v>
      </c>
      <c r="AQ315" t="str">
        <f t="shared" si="65"/>
        <v>89_1_2</v>
      </c>
      <c r="AR315">
        <f t="shared" si="66"/>
        <v>3.25</v>
      </c>
      <c r="AS315">
        <f t="shared" si="67"/>
        <v>3.25</v>
      </c>
      <c r="AT315">
        <f t="shared" si="68"/>
        <v>6</v>
      </c>
      <c r="AU315">
        <f t="shared" si="69"/>
        <v>6</v>
      </c>
      <c r="AV315">
        <f t="shared" si="70"/>
        <v>3.2199999999999998</v>
      </c>
    </row>
    <row r="316" spans="1:48">
      <c r="A316">
        <v>90</v>
      </c>
      <c r="B316" t="s">
        <v>10</v>
      </c>
      <c r="C316" t="s">
        <v>10</v>
      </c>
      <c r="D316" t="str">
        <f t="shared" si="57"/>
        <v>90</v>
      </c>
      <c r="E316" t="s">
        <v>10</v>
      </c>
      <c r="F316" t="s">
        <v>10</v>
      </c>
      <c r="G316" t="s">
        <v>10</v>
      </c>
      <c r="H316" t="s">
        <v>10</v>
      </c>
      <c r="I316" t="s">
        <v>10</v>
      </c>
      <c r="L316">
        <v>0</v>
      </c>
      <c r="M316" t="s">
        <v>11</v>
      </c>
      <c r="N316" t="s">
        <v>11</v>
      </c>
      <c r="O316" t="s">
        <v>11</v>
      </c>
      <c r="P316" t="s">
        <v>11</v>
      </c>
      <c r="Q316" t="s">
        <v>34</v>
      </c>
      <c r="R316" t="s">
        <v>38</v>
      </c>
      <c r="AI316">
        <f t="shared" si="58"/>
        <v>0</v>
      </c>
      <c r="AJ316">
        <f t="shared" si="59"/>
        <v>0</v>
      </c>
      <c r="AK316">
        <f t="shared" si="60"/>
        <v>0</v>
      </c>
      <c r="AL316">
        <f t="shared" si="61"/>
        <v>0</v>
      </c>
      <c r="AM316">
        <f t="shared" si="62"/>
        <v>0</v>
      </c>
      <c r="AN316">
        <f t="shared" si="63"/>
        <v>0</v>
      </c>
      <c r="AO316">
        <f t="shared" si="64"/>
        <v>0</v>
      </c>
      <c r="AQ316" t="str">
        <f t="shared" si="65"/>
        <v>90</v>
      </c>
      <c r="AR316" t="str">
        <f t="shared" si="66"/>
        <v/>
      </c>
      <c r="AS316">
        <f t="shared" si="67"/>
        <v>0</v>
      </c>
      <c r="AT316" t="str">
        <f t="shared" si="68"/>
        <v/>
      </c>
      <c r="AU316">
        <f t="shared" si="69"/>
        <v>0</v>
      </c>
      <c r="AV316">
        <f t="shared" si="70"/>
        <v>0</v>
      </c>
    </row>
    <row r="317" spans="1:48">
      <c r="A317">
        <v>90</v>
      </c>
      <c r="B317">
        <v>1</v>
      </c>
      <c r="C317" t="s">
        <v>10</v>
      </c>
      <c r="D317" t="str">
        <f t="shared" si="57"/>
        <v>90_1</v>
      </c>
      <c r="E317">
        <v>0</v>
      </c>
      <c r="F317">
        <v>0.625</v>
      </c>
      <c r="G317">
        <v>1.125</v>
      </c>
      <c r="H317">
        <v>1.125</v>
      </c>
      <c r="I317">
        <v>0.25</v>
      </c>
      <c r="J317">
        <v>0.74250000000000005</v>
      </c>
      <c r="K317">
        <v>0.63249999999999995</v>
      </c>
      <c r="L317">
        <v>3.125</v>
      </c>
      <c r="M317" t="s">
        <v>31</v>
      </c>
      <c r="N317" t="s">
        <v>11</v>
      </c>
      <c r="O317" t="s">
        <v>11</v>
      </c>
      <c r="P317" t="s">
        <v>11</v>
      </c>
      <c r="Q317" t="s">
        <v>34</v>
      </c>
      <c r="S317">
        <v>0.74250000000000005</v>
      </c>
      <c r="T317">
        <v>0.63249999999999995</v>
      </c>
      <c r="AB317">
        <v>0.625</v>
      </c>
      <c r="AD317">
        <v>0.125</v>
      </c>
      <c r="AE317">
        <v>0.74250000000000005</v>
      </c>
      <c r="AF317">
        <v>0.14850000000000002</v>
      </c>
      <c r="AG317">
        <v>1.125</v>
      </c>
      <c r="AH317">
        <v>0.63249999999999995</v>
      </c>
      <c r="AI317">
        <f t="shared" si="58"/>
        <v>0.625</v>
      </c>
      <c r="AJ317">
        <f t="shared" si="59"/>
        <v>0</v>
      </c>
      <c r="AK317">
        <f t="shared" si="60"/>
        <v>0.125</v>
      </c>
      <c r="AL317">
        <f t="shared" si="61"/>
        <v>0.74250000000000005</v>
      </c>
      <c r="AM317">
        <f t="shared" si="62"/>
        <v>0.14850000000000002</v>
      </c>
      <c r="AN317">
        <f t="shared" si="63"/>
        <v>1.125</v>
      </c>
      <c r="AO317">
        <f t="shared" si="64"/>
        <v>0.63249999999999995</v>
      </c>
      <c r="AQ317" t="str">
        <f t="shared" si="65"/>
        <v>90_1</v>
      </c>
      <c r="AR317">
        <f t="shared" si="66"/>
        <v>0.625</v>
      </c>
      <c r="AS317">
        <f t="shared" si="67"/>
        <v>0.625</v>
      </c>
      <c r="AT317">
        <f t="shared" si="68"/>
        <v>1.125</v>
      </c>
      <c r="AU317">
        <f t="shared" si="69"/>
        <v>1.125</v>
      </c>
      <c r="AV317">
        <f t="shared" si="70"/>
        <v>0.63249999999999995</v>
      </c>
    </row>
    <row r="318" spans="1:48">
      <c r="A318">
        <v>91</v>
      </c>
      <c r="B318" t="s">
        <v>10</v>
      </c>
      <c r="C318" t="s">
        <v>10</v>
      </c>
      <c r="D318" t="str">
        <f t="shared" si="57"/>
        <v>91</v>
      </c>
      <c r="E318" t="s">
        <v>10</v>
      </c>
      <c r="F318" t="s">
        <v>10</v>
      </c>
      <c r="G318" t="s">
        <v>10</v>
      </c>
      <c r="H318" t="s">
        <v>10</v>
      </c>
      <c r="I318" t="s">
        <v>10</v>
      </c>
      <c r="L318">
        <v>0</v>
      </c>
      <c r="M318" t="s">
        <v>11</v>
      </c>
      <c r="N318" t="s">
        <v>11</v>
      </c>
      <c r="O318" t="s">
        <v>11</v>
      </c>
      <c r="P318" t="s">
        <v>11</v>
      </c>
      <c r="Q318" t="s">
        <v>34</v>
      </c>
      <c r="R318" t="s">
        <v>38</v>
      </c>
      <c r="AI318">
        <f t="shared" si="58"/>
        <v>0</v>
      </c>
      <c r="AJ318">
        <f t="shared" si="59"/>
        <v>0</v>
      </c>
      <c r="AK318">
        <f t="shared" si="60"/>
        <v>0</v>
      </c>
      <c r="AL318">
        <f t="shared" si="61"/>
        <v>0</v>
      </c>
      <c r="AM318">
        <f t="shared" si="62"/>
        <v>0</v>
      </c>
      <c r="AN318">
        <f t="shared" si="63"/>
        <v>0</v>
      </c>
      <c r="AO318">
        <f t="shared" si="64"/>
        <v>0</v>
      </c>
      <c r="AQ318" t="str">
        <f t="shared" si="65"/>
        <v>91</v>
      </c>
      <c r="AR318" t="str">
        <f t="shared" si="66"/>
        <v/>
      </c>
      <c r="AS318">
        <f t="shared" si="67"/>
        <v>0</v>
      </c>
      <c r="AT318" t="str">
        <f t="shared" si="68"/>
        <v/>
      </c>
      <c r="AU318">
        <f t="shared" si="69"/>
        <v>0</v>
      </c>
      <c r="AV318">
        <f t="shared" si="70"/>
        <v>0</v>
      </c>
    </row>
    <row r="319" spans="1:48">
      <c r="A319">
        <v>91</v>
      </c>
      <c r="B319">
        <v>1</v>
      </c>
      <c r="C319" t="s">
        <v>10</v>
      </c>
      <c r="D319" t="str">
        <f t="shared" si="57"/>
        <v>91_1</v>
      </c>
      <c r="E319">
        <v>0</v>
      </c>
      <c r="F319">
        <v>0.625</v>
      </c>
      <c r="G319">
        <v>1.125</v>
      </c>
      <c r="H319">
        <v>1.125</v>
      </c>
      <c r="I319">
        <v>0.25</v>
      </c>
      <c r="J319">
        <v>0.74250000000000005</v>
      </c>
      <c r="K319">
        <v>0.63249999999999995</v>
      </c>
      <c r="L319">
        <v>3.125</v>
      </c>
      <c r="M319" t="s">
        <v>31</v>
      </c>
      <c r="N319" t="s">
        <v>11</v>
      </c>
      <c r="O319" t="s">
        <v>11</v>
      </c>
      <c r="P319" t="s">
        <v>11</v>
      </c>
      <c r="Q319" t="s">
        <v>34</v>
      </c>
      <c r="S319">
        <v>0.74250000000000005</v>
      </c>
      <c r="T319">
        <v>0.63249999999999995</v>
      </c>
      <c r="AB319">
        <v>0.625</v>
      </c>
      <c r="AD319">
        <v>0.125</v>
      </c>
      <c r="AE319">
        <v>0.74250000000000005</v>
      </c>
      <c r="AF319">
        <v>0.14850000000000002</v>
      </c>
      <c r="AG319">
        <v>1.125</v>
      </c>
      <c r="AH319">
        <v>0.63249999999999995</v>
      </c>
      <c r="AI319">
        <f t="shared" si="58"/>
        <v>0.625</v>
      </c>
      <c r="AJ319">
        <f t="shared" si="59"/>
        <v>0</v>
      </c>
      <c r="AK319">
        <f t="shared" si="60"/>
        <v>0.125</v>
      </c>
      <c r="AL319">
        <f t="shared" si="61"/>
        <v>0.74250000000000005</v>
      </c>
      <c r="AM319">
        <f t="shared" si="62"/>
        <v>0.14850000000000002</v>
      </c>
      <c r="AN319">
        <f t="shared" si="63"/>
        <v>1.125</v>
      </c>
      <c r="AO319">
        <f t="shared" si="64"/>
        <v>0.63249999999999995</v>
      </c>
      <c r="AQ319" t="str">
        <f t="shared" si="65"/>
        <v>91_1</v>
      </c>
      <c r="AR319">
        <f t="shared" si="66"/>
        <v>0.625</v>
      </c>
      <c r="AS319">
        <f t="shared" si="67"/>
        <v>0.625</v>
      </c>
      <c r="AT319">
        <f t="shared" si="68"/>
        <v>1.125</v>
      </c>
      <c r="AU319">
        <f t="shared" si="69"/>
        <v>1.125</v>
      </c>
      <c r="AV319">
        <f t="shared" si="70"/>
        <v>0.63249999999999995</v>
      </c>
    </row>
    <row r="320" spans="1:48">
      <c r="A320">
        <v>92</v>
      </c>
      <c r="B320" t="s">
        <v>10</v>
      </c>
      <c r="C320" t="s">
        <v>10</v>
      </c>
      <c r="D320" t="str">
        <f t="shared" si="57"/>
        <v>92</v>
      </c>
      <c r="E320" t="s">
        <v>10</v>
      </c>
      <c r="F320" t="s">
        <v>10</v>
      </c>
      <c r="G320" t="s">
        <v>10</v>
      </c>
      <c r="H320" t="s">
        <v>10</v>
      </c>
      <c r="I320" t="s">
        <v>10</v>
      </c>
      <c r="L320">
        <v>0</v>
      </c>
      <c r="M320" t="s">
        <v>11</v>
      </c>
      <c r="Q320">
        <v>81</v>
      </c>
      <c r="R320" t="s">
        <v>35</v>
      </c>
      <c r="AI320">
        <f t="shared" si="58"/>
        <v>0</v>
      </c>
      <c r="AJ320">
        <f t="shared" si="59"/>
        <v>0</v>
      </c>
      <c r="AK320">
        <f t="shared" si="60"/>
        <v>0</v>
      </c>
      <c r="AL320">
        <f t="shared" si="61"/>
        <v>0</v>
      </c>
      <c r="AM320">
        <f t="shared" si="62"/>
        <v>0</v>
      </c>
      <c r="AN320">
        <f t="shared" si="63"/>
        <v>0</v>
      </c>
      <c r="AO320">
        <f t="shared" si="64"/>
        <v>0</v>
      </c>
      <c r="AQ320" t="str">
        <f t="shared" si="65"/>
        <v>92</v>
      </c>
      <c r="AR320" t="str">
        <f t="shared" si="66"/>
        <v/>
      </c>
      <c r="AS320">
        <f t="shared" si="67"/>
        <v>0</v>
      </c>
      <c r="AT320" t="str">
        <f t="shared" si="68"/>
        <v/>
      </c>
      <c r="AU320">
        <f t="shared" si="69"/>
        <v>0</v>
      </c>
      <c r="AV320">
        <f t="shared" si="70"/>
        <v>0</v>
      </c>
    </row>
    <row r="321" spans="1:48">
      <c r="A321">
        <v>92</v>
      </c>
      <c r="B321">
        <v>1</v>
      </c>
      <c r="C321">
        <v>1</v>
      </c>
      <c r="D321" t="str">
        <f t="shared" si="57"/>
        <v>92_1_1</v>
      </c>
      <c r="E321">
        <v>0</v>
      </c>
      <c r="F321">
        <v>1.75</v>
      </c>
      <c r="G321">
        <v>3.25</v>
      </c>
      <c r="H321">
        <v>3.25</v>
      </c>
      <c r="I321">
        <v>0.625</v>
      </c>
      <c r="J321">
        <v>2.0925000000000002</v>
      </c>
      <c r="K321">
        <v>1.7824999999999998</v>
      </c>
      <c r="L321">
        <v>8.875</v>
      </c>
      <c r="M321" t="s">
        <v>31</v>
      </c>
      <c r="N321" t="s">
        <v>32</v>
      </c>
      <c r="O321" t="s">
        <v>43</v>
      </c>
      <c r="P321" t="s">
        <v>42</v>
      </c>
      <c r="Q321">
        <v>81</v>
      </c>
      <c r="S321">
        <v>2.0925000000000002</v>
      </c>
      <c r="T321">
        <v>1.7824999999999998</v>
      </c>
      <c r="U321">
        <v>0</v>
      </c>
      <c r="V321">
        <v>0</v>
      </c>
      <c r="W321">
        <v>0</v>
      </c>
      <c r="X321">
        <v>0.41850000000000009</v>
      </c>
      <c r="Y321">
        <v>0.41850000000000009</v>
      </c>
      <c r="Z321">
        <v>3.25</v>
      </c>
      <c r="AA321">
        <v>1.7824999999999998</v>
      </c>
      <c r="AI321">
        <f t="shared" si="58"/>
        <v>0</v>
      </c>
      <c r="AJ321">
        <f t="shared" si="59"/>
        <v>0</v>
      </c>
      <c r="AK321">
        <f t="shared" si="60"/>
        <v>0</v>
      </c>
      <c r="AL321">
        <f t="shared" si="61"/>
        <v>0.41850000000000009</v>
      </c>
      <c r="AM321">
        <f t="shared" si="62"/>
        <v>0.41850000000000009</v>
      </c>
      <c r="AN321">
        <f t="shared" si="63"/>
        <v>3.25</v>
      </c>
      <c r="AO321">
        <f t="shared" si="64"/>
        <v>1.7824999999999998</v>
      </c>
      <c r="AQ321" t="str">
        <f t="shared" si="65"/>
        <v>92_1_1</v>
      </c>
      <c r="AR321">
        <f t="shared" si="66"/>
        <v>1.75</v>
      </c>
      <c r="AS321">
        <f t="shared" si="67"/>
        <v>0</v>
      </c>
      <c r="AT321">
        <f t="shared" si="68"/>
        <v>3.25</v>
      </c>
      <c r="AU321">
        <f t="shared" si="69"/>
        <v>3.25</v>
      </c>
      <c r="AV321">
        <f t="shared" si="70"/>
        <v>1.7824999999999998</v>
      </c>
    </row>
    <row r="322" spans="1:48">
      <c r="A322">
        <v>92</v>
      </c>
      <c r="B322">
        <v>1</v>
      </c>
      <c r="C322">
        <v>2</v>
      </c>
      <c r="D322" t="str">
        <f t="shared" si="57"/>
        <v>92_1_2</v>
      </c>
      <c r="E322">
        <v>0</v>
      </c>
      <c r="F322">
        <v>0</v>
      </c>
      <c r="G322">
        <v>0</v>
      </c>
      <c r="H322">
        <v>7.5</v>
      </c>
      <c r="I322">
        <v>1.25</v>
      </c>
      <c r="J322">
        <v>4.7250000000000005</v>
      </c>
      <c r="K322">
        <v>4.0249999999999995</v>
      </c>
      <c r="L322">
        <v>8.75</v>
      </c>
      <c r="M322" t="s">
        <v>31</v>
      </c>
      <c r="N322" t="s">
        <v>36</v>
      </c>
      <c r="O322" t="s">
        <v>36</v>
      </c>
      <c r="P322" t="s">
        <v>42</v>
      </c>
      <c r="Q322">
        <v>81</v>
      </c>
      <c r="S322">
        <v>4.7250000000000005</v>
      </c>
      <c r="T322">
        <v>4.0249999999999995</v>
      </c>
      <c r="U322">
        <v>0</v>
      </c>
      <c r="V322">
        <v>0</v>
      </c>
      <c r="W322">
        <v>0</v>
      </c>
      <c r="X322">
        <v>0.94500000000000017</v>
      </c>
      <c r="Y322">
        <v>0.94500000000000017</v>
      </c>
      <c r="Z322">
        <v>0</v>
      </c>
      <c r="AA322">
        <v>4.0249999999999995</v>
      </c>
      <c r="AI322">
        <f t="shared" si="58"/>
        <v>0</v>
      </c>
      <c r="AJ322">
        <f t="shared" si="59"/>
        <v>0</v>
      </c>
      <c r="AK322">
        <f t="shared" si="60"/>
        <v>0</v>
      </c>
      <c r="AL322">
        <f t="shared" si="61"/>
        <v>0.94500000000000017</v>
      </c>
      <c r="AM322">
        <f t="shared" si="62"/>
        <v>0.94500000000000017</v>
      </c>
      <c r="AN322">
        <f t="shared" si="63"/>
        <v>0</v>
      </c>
      <c r="AO322">
        <f t="shared" si="64"/>
        <v>4.0249999999999995</v>
      </c>
      <c r="AQ322" t="str">
        <f t="shared" si="65"/>
        <v>92_1_2</v>
      </c>
      <c r="AR322">
        <f t="shared" si="66"/>
        <v>0</v>
      </c>
      <c r="AS322">
        <f t="shared" si="67"/>
        <v>0</v>
      </c>
      <c r="AT322">
        <f t="shared" si="68"/>
        <v>0</v>
      </c>
      <c r="AU322">
        <f t="shared" si="69"/>
        <v>0</v>
      </c>
      <c r="AV322">
        <f t="shared" si="70"/>
        <v>4.0249999999999995</v>
      </c>
    </row>
    <row r="323" spans="1:48">
      <c r="A323">
        <v>92</v>
      </c>
      <c r="B323">
        <v>1</v>
      </c>
      <c r="C323">
        <v>3</v>
      </c>
      <c r="D323" t="str">
        <f t="shared" si="57"/>
        <v>92_1_3</v>
      </c>
      <c r="E323">
        <v>0</v>
      </c>
      <c r="F323">
        <v>0</v>
      </c>
      <c r="G323">
        <v>0</v>
      </c>
      <c r="H323">
        <v>4.125</v>
      </c>
      <c r="I323">
        <v>0.75</v>
      </c>
      <c r="J323">
        <v>2.6325000000000003</v>
      </c>
      <c r="K323">
        <v>2.2424999999999997</v>
      </c>
      <c r="L323">
        <v>4.875</v>
      </c>
      <c r="M323" t="s">
        <v>31</v>
      </c>
      <c r="N323" t="s">
        <v>36</v>
      </c>
      <c r="O323" t="s">
        <v>36</v>
      </c>
      <c r="P323" t="s">
        <v>42</v>
      </c>
      <c r="Q323">
        <v>81</v>
      </c>
      <c r="S323">
        <v>2.6325000000000003</v>
      </c>
      <c r="T323">
        <v>2.2424999999999997</v>
      </c>
      <c r="U323">
        <v>0</v>
      </c>
      <c r="V323">
        <v>0</v>
      </c>
      <c r="W323">
        <v>0</v>
      </c>
      <c r="X323">
        <v>0.52650000000000008</v>
      </c>
      <c r="Y323">
        <v>0.52650000000000008</v>
      </c>
      <c r="Z323">
        <v>0</v>
      </c>
      <c r="AA323">
        <v>2.2424999999999997</v>
      </c>
      <c r="AI323">
        <f t="shared" si="58"/>
        <v>0</v>
      </c>
      <c r="AJ323">
        <f t="shared" si="59"/>
        <v>0</v>
      </c>
      <c r="AK323">
        <f t="shared" si="60"/>
        <v>0</v>
      </c>
      <c r="AL323">
        <f t="shared" si="61"/>
        <v>0.52650000000000008</v>
      </c>
      <c r="AM323">
        <f t="shared" si="62"/>
        <v>0.52650000000000008</v>
      </c>
      <c r="AN323">
        <f t="shared" si="63"/>
        <v>0</v>
      </c>
      <c r="AO323">
        <f t="shared" si="64"/>
        <v>2.2424999999999997</v>
      </c>
      <c r="AQ323" t="str">
        <f t="shared" si="65"/>
        <v>92_1_3</v>
      </c>
      <c r="AR323">
        <f t="shared" si="66"/>
        <v>0</v>
      </c>
      <c r="AS323">
        <f t="shared" si="67"/>
        <v>0</v>
      </c>
      <c r="AT323">
        <f t="shared" si="68"/>
        <v>0</v>
      </c>
      <c r="AU323">
        <f t="shared" si="69"/>
        <v>0</v>
      </c>
      <c r="AV323">
        <f t="shared" si="70"/>
        <v>2.2424999999999997</v>
      </c>
    </row>
    <row r="324" spans="1:48">
      <c r="A324">
        <v>92</v>
      </c>
      <c r="B324">
        <v>1</v>
      </c>
      <c r="C324">
        <v>4</v>
      </c>
      <c r="D324" t="str">
        <f t="shared" si="57"/>
        <v>92_1_4</v>
      </c>
      <c r="E324">
        <v>0</v>
      </c>
      <c r="F324">
        <v>0</v>
      </c>
      <c r="G324">
        <v>0</v>
      </c>
      <c r="H324">
        <v>3.75</v>
      </c>
      <c r="I324">
        <v>0.625</v>
      </c>
      <c r="J324">
        <v>2.3625000000000003</v>
      </c>
      <c r="K324">
        <v>2.0124999999999997</v>
      </c>
      <c r="L324">
        <v>4.375</v>
      </c>
      <c r="M324" t="s">
        <v>31</v>
      </c>
      <c r="N324" t="s">
        <v>36</v>
      </c>
      <c r="O324" t="s">
        <v>36</v>
      </c>
      <c r="P324" t="s">
        <v>42</v>
      </c>
      <c r="Q324">
        <v>81</v>
      </c>
      <c r="S324">
        <v>2.3625000000000003</v>
      </c>
      <c r="T324">
        <v>2.0124999999999997</v>
      </c>
      <c r="U324">
        <v>0</v>
      </c>
      <c r="V324">
        <v>0</v>
      </c>
      <c r="W324">
        <v>0</v>
      </c>
      <c r="X324">
        <v>0.47250000000000009</v>
      </c>
      <c r="Y324">
        <v>0.47250000000000009</v>
      </c>
      <c r="Z324">
        <v>0</v>
      </c>
      <c r="AA324">
        <v>2.0124999999999997</v>
      </c>
      <c r="AI324">
        <f t="shared" si="58"/>
        <v>0</v>
      </c>
      <c r="AJ324">
        <f t="shared" si="59"/>
        <v>0</v>
      </c>
      <c r="AK324">
        <f t="shared" si="60"/>
        <v>0</v>
      </c>
      <c r="AL324">
        <f t="shared" si="61"/>
        <v>0.47250000000000009</v>
      </c>
      <c r="AM324">
        <f t="shared" si="62"/>
        <v>0.47250000000000009</v>
      </c>
      <c r="AN324">
        <f t="shared" si="63"/>
        <v>0</v>
      </c>
      <c r="AO324">
        <f t="shared" si="64"/>
        <v>2.0124999999999997</v>
      </c>
      <c r="AQ324" t="str">
        <f t="shared" si="65"/>
        <v>92_1_4</v>
      </c>
      <c r="AR324">
        <f t="shared" si="66"/>
        <v>0</v>
      </c>
      <c r="AS324">
        <f t="shared" si="67"/>
        <v>0</v>
      </c>
      <c r="AT324">
        <f t="shared" si="68"/>
        <v>0</v>
      </c>
      <c r="AU324">
        <f t="shared" si="69"/>
        <v>0</v>
      </c>
      <c r="AV324">
        <f t="shared" si="70"/>
        <v>2.0124999999999997</v>
      </c>
    </row>
    <row r="325" spans="1:48">
      <c r="A325">
        <v>92</v>
      </c>
      <c r="B325">
        <v>1</v>
      </c>
      <c r="C325">
        <v>5</v>
      </c>
      <c r="D325" t="str">
        <f t="shared" ref="D325:D388" si="71">A325&amp;IF(B325="","","_")&amp;B325&amp;IF(C325="","","_")&amp;C325</f>
        <v>92_1_5</v>
      </c>
      <c r="E325">
        <v>0</v>
      </c>
      <c r="F325">
        <v>0</v>
      </c>
      <c r="G325">
        <v>0</v>
      </c>
      <c r="H325">
        <v>2.125</v>
      </c>
      <c r="I325">
        <v>0.375</v>
      </c>
      <c r="J325">
        <v>1.35</v>
      </c>
      <c r="K325">
        <v>1.1499999999999999</v>
      </c>
      <c r="L325">
        <v>2.5</v>
      </c>
      <c r="M325" t="s">
        <v>31</v>
      </c>
      <c r="N325" t="s">
        <v>36</v>
      </c>
      <c r="O325" t="s">
        <v>36</v>
      </c>
      <c r="P325" t="s">
        <v>42</v>
      </c>
      <c r="Q325">
        <v>81</v>
      </c>
      <c r="S325">
        <v>1.35</v>
      </c>
      <c r="T325">
        <v>1.1499999999999999</v>
      </c>
      <c r="U325">
        <v>0</v>
      </c>
      <c r="V325">
        <v>0</v>
      </c>
      <c r="W325">
        <v>0</v>
      </c>
      <c r="X325">
        <v>0.27</v>
      </c>
      <c r="Y325">
        <v>0.27</v>
      </c>
      <c r="Z325">
        <v>0</v>
      </c>
      <c r="AA325">
        <v>1.1499999999999999</v>
      </c>
      <c r="AI325">
        <f t="shared" ref="AI325:AI388" si="72">U325+AB325</f>
        <v>0</v>
      </c>
      <c r="AJ325">
        <f t="shared" ref="AJ325:AJ388" si="73">V325+AC325</f>
        <v>0</v>
      </c>
      <c r="AK325">
        <f t="shared" ref="AK325:AK388" si="74">W325+AD325</f>
        <v>0</v>
      </c>
      <c r="AL325">
        <f t="shared" ref="AL325:AL388" si="75">X325+AE325</f>
        <v>0.27</v>
      </c>
      <c r="AM325">
        <f t="shared" ref="AM325:AM388" si="76">Y325+AF325</f>
        <v>0.27</v>
      </c>
      <c r="AN325">
        <f t="shared" ref="AN325:AN388" si="77">Z325+AG325</f>
        <v>0</v>
      </c>
      <c r="AO325">
        <f t="shared" ref="AO325:AO388" si="78">AA325+AH325</f>
        <v>1.1499999999999999</v>
      </c>
      <c r="AQ325" t="str">
        <f t="shared" ref="AQ325:AQ388" si="79">D325</f>
        <v>92_1_5</v>
      </c>
      <c r="AR325">
        <f t="shared" ref="AR325:AR388" si="80">F325</f>
        <v>0</v>
      </c>
      <c r="AS325">
        <f t="shared" ref="AS325:AS388" si="81">AI325</f>
        <v>0</v>
      </c>
      <c r="AT325">
        <f t="shared" ref="AT325:AT388" si="82">G325</f>
        <v>0</v>
      </c>
      <c r="AU325">
        <f t="shared" ref="AU325:AU388" si="83">AN325</f>
        <v>0</v>
      </c>
      <c r="AV325">
        <f t="shared" ref="AV325:AV388" si="84">AO325</f>
        <v>1.1499999999999999</v>
      </c>
    </row>
    <row r="326" spans="1:48">
      <c r="A326">
        <v>92</v>
      </c>
      <c r="B326">
        <v>1</v>
      </c>
      <c r="C326">
        <v>6</v>
      </c>
      <c r="D326" t="str">
        <f t="shared" si="71"/>
        <v>92_1_6</v>
      </c>
      <c r="E326">
        <v>0</v>
      </c>
      <c r="F326">
        <v>0</v>
      </c>
      <c r="G326">
        <v>0</v>
      </c>
      <c r="H326">
        <v>3.75</v>
      </c>
      <c r="I326">
        <v>0.625</v>
      </c>
      <c r="J326">
        <v>2.3625000000000003</v>
      </c>
      <c r="K326">
        <v>2.0124999999999997</v>
      </c>
      <c r="L326">
        <v>4.375</v>
      </c>
      <c r="M326" t="s">
        <v>31</v>
      </c>
      <c r="N326" t="s">
        <v>36</v>
      </c>
      <c r="O326" t="s">
        <v>36</v>
      </c>
      <c r="P326" t="s">
        <v>42</v>
      </c>
      <c r="Q326">
        <v>81</v>
      </c>
      <c r="S326">
        <v>2.3625000000000003</v>
      </c>
      <c r="T326">
        <v>2.0124999999999997</v>
      </c>
      <c r="U326">
        <v>0</v>
      </c>
      <c r="V326">
        <v>0</v>
      </c>
      <c r="W326">
        <v>0</v>
      </c>
      <c r="X326">
        <v>0.47250000000000009</v>
      </c>
      <c r="Y326">
        <v>0.47250000000000009</v>
      </c>
      <c r="Z326">
        <v>0</v>
      </c>
      <c r="AA326">
        <v>2.0124999999999997</v>
      </c>
      <c r="AI326">
        <f t="shared" si="72"/>
        <v>0</v>
      </c>
      <c r="AJ326">
        <f t="shared" si="73"/>
        <v>0</v>
      </c>
      <c r="AK326">
        <f t="shared" si="74"/>
        <v>0</v>
      </c>
      <c r="AL326">
        <f t="shared" si="75"/>
        <v>0.47250000000000009</v>
      </c>
      <c r="AM326">
        <f t="shared" si="76"/>
        <v>0.47250000000000009</v>
      </c>
      <c r="AN326">
        <f t="shared" si="77"/>
        <v>0</v>
      </c>
      <c r="AO326">
        <f t="shared" si="78"/>
        <v>2.0124999999999997</v>
      </c>
      <c r="AQ326" t="str">
        <f t="shared" si="79"/>
        <v>92_1_6</v>
      </c>
      <c r="AR326">
        <f t="shared" si="80"/>
        <v>0</v>
      </c>
      <c r="AS326">
        <f t="shared" si="81"/>
        <v>0</v>
      </c>
      <c r="AT326">
        <f t="shared" si="82"/>
        <v>0</v>
      </c>
      <c r="AU326">
        <f t="shared" si="83"/>
        <v>0</v>
      </c>
      <c r="AV326">
        <f t="shared" si="84"/>
        <v>2.0124999999999997</v>
      </c>
    </row>
    <row r="327" spans="1:48">
      <c r="A327">
        <v>92</v>
      </c>
      <c r="B327">
        <v>1</v>
      </c>
      <c r="C327">
        <v>7</v>
      </c>
      <c r="D327" t="str">
        <f t="shared" si="71"/>
        <v>92_1_7</v>
      </c>
      <c r="E327">
        <v>0</v>
      </c>
      <c r="F327">
        <v>0</v>
      </c>
      <c r="G327">
        <v>0</v>
      </c>
      <c r="H327">
        <v>4.125</v>
      </c>
      <c r="I327">
        <v>0.75</v>
      </c>
      <c r="J327">
        <v>2.6325000000000003</v>
      </c>
      <c r="K327">
        <v>2.2424999999999997</v>
      </c>
      <c r="L327">
        <v>4.875</v>
      </c>
      <c r="M327" t="s">
        <v>31</v>
      </c>
      <c r="N327" t="s">
        <v>36</v>
      </c>
      <c r="O327" t="s">
        <v>36</v>
      </c>
      <c r="P327" t="s">
        <v>42</v>
      </c>
      <c r="Q327">
        <v>81</v>
      </c>
      <c r="S327">
        <v>2.6325000000000003</v>
      </c>
      <c r="T327">
        <v>2.2424999999999997</v>
      </c>
      <c r="U327">
        <v>0</v>
      </c>
      <c r="V327">
        <v>0</v>
      </c>
      <c r="W327">
        <v>0</v>
      </c>
      <c r="X327">
        <v>0.52650000000000008</v>
      </c>
      <c r="Y327">
        <v>0.52650000000000008</v>
      </c>
      <c r="Z327">
        <v>0</v>
      </c>
      <c r="AA327">
        <v>2.2424999999999997</v>
      </c>
      <c r="AI327">
        <f t="shared" si="72"/>
        <v>0</v>
      </c>
      <c r="AJ327">
        <f t="shared" si="73"/>
        <v>0</v>
      </c>
      <c r="AK327">
        <f t="shared" si="74"/>
        <v>0</v>
      </c>
      <c r="AL327">
        <f t="shared" si="75"/>
        <v>0.52650000000000008</v>
      </c>
      <c r="AM327">
        <f t="shared" si="76"/>
        <v>0.52650000000000008</v>
      </c>
      <c r="AN327">
        <f t="shared" si="77"/>
        <v>0</v>
      </c>
      <c r="AO327">
        <f t="shared" si="78"/>
        <v>2.2424999999999997</v>
      </c>
      <c r="AQ327" t="str">
        <f t="shared" si="79"/>
        <v>92_1_7</v>
      </c>
      <c r="AR327">
        <f t="shared" si="80"/>
        <v>0</v>
      </c>
      <c r="AS327">
        <f t="shared" si="81"/>
        <v>0</v>
      </c>
      <c r="AT327">
        <f t="shared" si="82"/>
        <v>0</v>
      </c>
      <c r="AU327">
        <f t="shared" si="83"/>
        <v>0</v>
      </c>
      <c r="AV327">
        <f t="shared" si="84"/>
        <v>2.2424999999999997</v>
      </c>
    </row>
    <row r="328" spans="1:48">
      <c r="A328">
        <v>92</v>
      </c>
      <c r="B328">
        <v>1</v>
      </c>
      <c r="C328">
        <v>8</v>
      </c>
      <c r="D328" t="str">
        <f t="shared" si="71"/>
        <v>92_1_8</v>
      </c>
      <c r="E328">
        <v>0</v>
      </c>
      <c r="F328">
        <v>0</v>
      </c>
      <c r="G328">
        <v>0</v>
      </c>
      <c r="H328">
        <v>3.75</v>
      </c>
      <c r="I328">
        <v>0.625</v>
      </c>
      <c r="J328">
        <v>2.3625000000000003</v>
      </c>
      <c r="K328">
        <v>2.0124999999999997</v>
      </c>
      <c r="L328">
        <v>4.375</v>
      </c>
      <c r="M328" t="s">
        <v>31</v>
      </c>
      <c r="N328" t="s">
        <v>36</v>
      </c>
      <c r="O328" t="s">
        <v>36</v>
      </c>
      <c r="P328" t="s">
        <v>42</v>
      </c>
      <c r="Q328">
        <v>81</v>
      </c>
      <c r="S328">
        <v>2.3625000000000003</v>
      </c>
      <c r="T328">
        <v>2.0124999999999997</v>
      </c>
      <c r="U328">
        <v>0</v>
      </c>
      <c r="V328">
        <v>0</v>
      </c>
      <c r="W328">
        <v>0</v>
      </c>
      <c r="X328">
        <v>0.47250000000000009</v>
      </c>
      <c r="Y328">
        <v>0.47250000000000009</v>
      </c>
      <c r="Z328">
        <v>0</v>
      </c>
      <c r="AA328">
        <v>2.0124999999999997</v>
      </c>
      <c r="AI328">
        <f t="shared" si="72"/>
        <v>0</v>
      </c>
      <c r="AJ328">
        <f t="shared" si="73"/>
        <v>0</v>
      </c>
      <c r="AK328">
        <f t="shared" si="74"/>
        <v>0</v>
      </c>
      <c r="AL328">
        <f t="shared" si="75"/>
        <v>0.47250000000000009</v>
      </c>
      <c r="AM328">
        <f t="shared" si="76"/>
        <v>0.47250000000000009</v>
      </c>
      <c r="AN328">
        <f t="shared" si="77"/>
        <v>0</v>
      </c>
      <c r="AO328">
        <f t="shared" si="78"/>
        <v>2.0124999999999997</v>
      </c>
      <c r="AQ328" t="str">
        <f t="shared" si="79"/>
        <v>92_1_8</v>
      </c>
      <c r="AR328">
        <f t="shared" si="80"/>
        <v>0</v>
      </c>
      <c r="AS328">
        <f t="shared" si="81"/>
        <v>0</v>
      </c>
      <c r="AT328">
        <f t="shared" si="82"/>
        <v>0</v>
      </c>
      <c r="AU328">
        <f t="shared" si="83"/>
        <v>0</v>
      </c>
      <c r="AV328">
        <f t="shared" si="84"/>
        <v>2.0124999999999997</v>
      </c>
    </row>
    <row r="329" spans="1:48">
      <c r="A329">
        <v>92</v>
      </c>
      <c r="B329">
        <v>1</v>
      </c>
      <c r="C329">
        <v>2</v>
      </c>
      <c r="D329" t="str">
        <f t="shared" si="71"/>
        <v>92_1_2</v>
      </c>
      <c r="E329">
        <v>0</v>
      </c>
      <c r="F329">
        <v>0</v>
      </c>
      <c r="G329">
        <v>0</v>
      </c>
      <c r="H329">
        <v>0</v>
      </c>
      <c r="I329">
        <v>0</v>
      </c>
      <c r="L329">
        <v>0</v>
      </c>
      <c r="M329" t="s">
        <v>11</v>
      </c>
      <c r="N329" t="s">
        <v>11</v>
      </c>
      <c r="O329" t="s">
        <v>11</v>
      </c>
      <c r="P329" t="s">
        <v>11</v>
      </c>
      <c r="Q329" t="s">
        <v>11</v>
      </c>
      <c r="S329">
        <v>0</v>
      </c>
      <c r="T329">
        <v>0</v>
      </c>
      <c r="W329">
        <v>0</v>
      </c>
      <c r="X329">
        <v>0</v>
      </c>
      <c r="Z329">
        <v>0</v>
      </c>
      <c r="AI329">
        <f t="shared" si="72"/>
        <v>0</v>
      </c>
      <c r="AJ329">
        <f t="shared" si="73"/>
        <v>0</v>
      </c>
      <c r="AK329">
        <f t="shared" si="74"/>
        <v>0</v>
      </c>
      <c r="AL329">
        <f t="shared" si="75"/>
        <v>0</v>
      </c>
      <c r="AM329">
        <f t="shared" si="76"/>
        <v>0</v>
      </c>
      <c r="AN329">
        <f t="shared" si="77"/>
        <v>0</v>
      </c>
      <c r="AO329">
        <f t="shared" si="78"/>
        <v>0</v>
      </c>
      <c r="AQ329" t="str">
        <f t="shared" si="79"/>
        <v>92_1_2</v>
      </c>
      <c r="AR329">
        <f t="shared" si="80"/>
        <v>0</v>
      </c>
      <c r="AS329">
        <f t="shared" si="81"/>
        <v>0</v>
      </c>
      <c r="AT329">
        <f t="shared" si="82"/>
        <v>0</v>
      </c>
      <c r="AU329">
        <f t="shared" si="83"/>
        <v>0</v>
      </c>
      <c r="AV329">
        <f t="shared" si="84"/>
        <v>0</v>
      </c>
    </row>
    <row r="330" spans="1:48">
      <c r="A330">
        <v>92</v>
      </c>
      <c r="B330">
        <v>1</v>
      </c>
      <c r="C330">
        <v>3</v>
      </c>
      <c r="D330" t="str">
        <f t="shared" si="71"/>
        <v>92_1_3</v>
      </c>
      <c r="E330">
        <v>0</v>
      </c>
      <c r="F330">
        <v>0</v>
      </c>
      <c r="G330">
        <v>0</v>
      </c>
      <c r="H330">
        <v>0</v>
      </c>
      <c r="I330">
        <v>0</v>
      </c>
      <c r="L330">
        <v>0</v>
      </c>
      <c r="M330" t="s">
        <v>11</v>
      </c>
      <c r="N330" t="s">
        <v>11</v>
      </c>
      <c r="O330" t="s">
        <v>11</v>
      </c>
      <c r="P330" t="s">
        <v>11</v>
      </c>
      <c r="Q330" t="s">
        <v>11</v>
      </c>
      <c r="S330">
        <v>0</v>
      </c>
      <c r="T330">
        <v>0</v>
      </c>
      <c r="W330">
        <v>0</v>
      </c>
      <c r="X330">
        <v>0</v>
      </c>
      <c r="Z330">
        <v>0</v>
      </c>
      <c r="AI330">
        <f t="shared" si="72"/>
        <v>0</v>
      </c>
      <c r="AJ330">
        <f t="shared" si="73"/>
        <v>0</v>
      </c>
      <c r="AK330">
        <f t="shared" si="74"/>
        <v>0</v>
      </c>
      <c r="AL330">
        <f t="shared" si="75"/>
        <v>0</v>
      </c>
      <c r="AM330">
        <f t="shared" si="76"/>
        <v>0</v>
      </c>
      <c r="AN330">
        <f t="shared" si="77"/>
        <v>0</v>
      </c>
      <c r="AO330">
        <f t="shared" si="78"/>
        <v>0</v>
      </c>
      <c r="AQ330" t="str">
        <f t="shared" si="79"/>
        <v>92_1_3</v>
      </c>
      <c r="AR330">
        <f t="shared" si="80"/>
        <v>0</v>
      </c>
      <c r="AS330">
        <f t="shared" si="81"/>
        <v>0</v>
      </c>
      <c r="AT330">
        <f t="shared" si="82"/>
        <v>0</v>
      </c>
      <c r="AU330">
        <f t="shared" si="83"/>
        <v>0</v>
      </c>
      <c r="AV330">
        <f t="shared" si="84"/>
        <v>0</v>
      </c>
    </row>
    <row r="331" spans="1:48">
      <c r="A331">
        <v>92</v>
      </c>
      <c r="B331">
        <v>1</v>
      </c>
      <c r="C331">
        <v>4</v>
      </c>
      <c r="D331" t="str">
        <f t="shared" si="71"/>
        <v>92_1_4</v>
      </c>
      <c r="E331">
        <v>0</v>
      </c>
      <c r="F331">
        <v>0</v>
      </c>
      <c r="G331">
        <v>0</v>
      </c>
      <c r="H331">
        <v>0</v>
      </c>
      <c r="I331">
        <v>0</v>
      </c>
      <c r="L331">
        <v>0</v>
      </c>
      <c r="M331" t="s">
        <v>11</v>
      </c>
      <c r="N331" t="s">
        <v>11</v>
      </c>
      <c r="O331" t="s">
        <v>11</v>
      </c>
      <c r="P331" t="s">
        <v>11</v>
      </c>
      <c r="Q331" t="s">
        <v>11</v>
      </c>
      <c r="S331">
        <v>0</v>
      </c>
      <c r="T331">
        <v>0</v>
      </c>
      <c r="W331">
        <v>0</v>
      </c>
      <c r="X331">
        <v>0</v>
      </c>
      <c r="Z331">
        <v>0</v>
      </c>
      <c r="AI331">
        <f t="shared" si="72"/>
        <v>0</v>
      </c>
      <c r="AJ331">
        <f t="shared" si="73"/>
        <v>0</v>
      </c>
      <c r="AK331">
        <f t="shared" si="74"/>
        <v>0</v>
      </c>
      <c r="AL331">
        <f t="shared" si="75"/>
        <v>0</v>
      </c>
      <c r="AM331">
        <f t="shared" si="76"/>
        <v>0</v>
      </c>
      <c r="AN331">
        <f t="shared" si="77"/>
        <v>0</v>
      </c>
      <c r="AO331">
        <f t="shared" si="78"/>
        <v>0</v>
      </c>
      <c r="AQ331" t="str">
        <f t="shared" si="79"/>
        <v>92_1_4</v>
      </c>
      <c r="AR331">
        <f t="shared" si="80"/>
        <v>0</v>
      </c>
      <c r="AS331">
        <f t="shared" si="81"/>
        <v>0</v>
      </c>
      <c r="AT331">
        <f t="shared" si="82"/>
        <v>0</v>
      </c>
      <c r="AU331">
        <f t="shared" si="83"/>
        <v>0</v>
      </c>
      <c r="AV331">
        <f t="shared" si="84"/>
        <v>0</v>
      </c>
    </row>
    <row r="332" spans="1:48">
      <c r="A332">
        <v>92</v>
      </c>
      <c r="B332">
        <v>1</v>
      </c>
      <c r="C332">
        <v>5</v>
      </c>
      <c r="D332" t="str">
        <f t="shared" si="71"/>
        <v>92_1_5</v>
      </c>
      <c r="E332">
        <v>0</v>
      </c>
      <c r="F332">
        <v>0</v>
      </c>
      <c r="G332">
        <v>0</v>
      </c>
      <c r="H332">
        <v>0</v>
      </c>
      <c r="I332">
        <v>0</v>
      </c>
      <c r="L332">
        <v>0</v>
      </c>
      <c r="M332" t="s">
        <v>11</v>
      </c>
      <c r="N332" t="s">
        <v>11</v>
      </c>
      <c r="O332" t="s">
        <v>11</v>
      </c>
      <c r="P332" t="s">
        <v>11</v>
      </c>
      <c r="Q332" t="s">
        <v>11</v>
      </c>
      <c r="S332">
        <v>0</v>
      </c>
      <c r="T332">
        <v>0</v>
      </c>
      <c r="W332">
        <v>0</v>
      </c>
      <c r="X332">
        <v>0</v>
      </c>
      <c r="Z332">
        <v>0</v>
      </c>
      <c r="AI332">
        <f t="shared" si="72"/>
        <v>0</v>
      </c>
      <c r="AJ332">
        <f t="shared" si="73"/>
        <v>0</v>
      </c>
      <c r="AK332">
        <f t="shared" si="74"/>
        <v>0</v>
      </c>
      <c r="AL332">
        <f t="shared" si="75"/>
        <v>0</v>
      </c>
      <c r="AM332">
        <f t="shared" si="76"/>
        <v>0</v>
      </c>
      <c r="AN332">
        <f t="shared" si="77"/>
        <v>0</v>
      </c>
      <c r="AO332">
        <f t="shared" si="78"/>
        <v>0</v>
      </c>
      <c r="AQ332" t="str">
        <f t="shared" si="79"/>
        <v>92_1_5</v>
      </c>
      <c r="AR332">
        <f t="shared" si="80"/>
        <v>0</v>
      </c>
      <c r="AS332">
        <f t="shared" si="81"/>
        <v>0</v>
      </c>
      <c r="AT332">
        <f t="shared" si="82"/>
        <v>0</v>
      </c>
      <c r="AU332">
        <f t="shared" si="83"/>
        <v>0</v>
      </c>
      <c r="AV332">
        <f t="shared" si="84"/>
        <v>0</v>
      </c>
    </row>
    <row r="333" spans="1:48">
      <c r="A333">
        <v>93</v>
      </c>
      <c r="B333" t="s">
        <v>10</v>
      </c>
      <c r="C333" t="s">
        <v>10</v>
      </c>
      <c r="D333" t="str">
        <f t="shared" si="71"/>
        <v>93</v>
      </c>
      <c r="E333" t="s">
        <v>10</v>
      </c>
      <c r="F333" t="s">
        <v>10</v>
      </c>
      <c r="G333" t="s">
        <v>10</v>
      </c>
      <c r="H333" t="s">
        <v>10</v>
      </c>
      <c r="I333" t="s">
        <v>10</v>
      </c>
      <c r="L333">
        <v>0</v>
      </c>
      <c r="M333" t="s">
        <v>11</v>
      </c>
      <c r="Q333">
        <v>82</v>
      </c>
      <c r="R333" t="s">
        <v>30</v>
      </c>
      <c r="AI333">
        <f t="shared" si="72"/>
        <v>0</v>
      </c>
      <c r="AJ333">
        <f t="shared" si="73"/>
        <v>0</v>
      </c>
      <c r="AK333">
        <f t="shared" si="74"/>
        <v>0</v>
      </c>
      <c r="AL333">
        <f t="shared" si="75"/>
        <v>0</v>
      </c>
      <c r="AM333">
        <f t="shared" si="76"/>
        <v>0</v>
      </c>
      <c r="AN333">
        <f t="shared" si="77"/>
        <v>0</v>
      </c>
      <c r="AO333">
        <f t="shared" si="78"/>
        <v>0</v>
      </c>
      <c r="AQ333" t="str">
        <f t="shared" si="79"/>
        <v>93</v>
      </c>
      <c r="AR333" t="str">
        <f t="shared" si="80"/>
        <v/>
      </c>
      <c r="AS333">
        <f t="shared" si="81"/>
        <v>0</v>
      </c>
      <c r="AT333" t="str">
        <f t="shared" si="82"/>
        <v/>
      </c>
      <c r="AU333">
        <f t="shared" si="83"/>
        <v>0</v>
      </c>
      <c r="AV333">
        <f t="shared" si="84"/>
        <v>0</v>
      </c>
    </row>
    <row r="334" spans="1:48">
      <c r="A334">
        <v>93</v>
      </c>
      <c r="B334">
        <v>1</v>
      </c>
      <c r="C334">
        <v>1</v>
      </c>
      <c r="D334" t="str">
        <f t="shared" si="71"/>
        <v>93_1_1</v>
      </c>
      <c r="E334">
        <v>0</v>
      </c>
      <c r="F334">
        <v>0.25</v>
      </c>
      <c r="G334">
        <v>0.375</v>
      </c>
      <c r="H334">
        <v>0.375</v>
      </c>
      <c r="I334">
        <v>0.125</v>
      </c>
      <c r="J334">
        <v>0.27</v>
      </c>
      <c r="K334">
        <v>0.22999999999999998</v>
      </c>
      <c r="L334">
        <v>1.125</v>
      </c>
      <c r="M334" t="s">
        <v>31</v>
      </c>
      <c r="N334" t="s">
        <v>32</v>
      </c>
      <c r="O334" t="s">
        <v>43</v>
      </c>
      <c r="P334" t="s">
        <v>42</v>
      </c>
      <c r="Q334">
        <v>82</v>
      </c>
      <c r="S334">
        <v>0.27</v>
      </c>
      <c r="T334">
        <v>0.22999999999999998</v>
      </c>
      <c r="U334">
        <v>0</v>
      </c>
      <c r="V334">
        <v>0</v>
      </c>
      <c r="W334">
        <v>0</v>
      </c>
      <c r="X334">
        <v>5.4000000000000006E-2</v>
      </c>
      <c r="Y334">
        <v>5.4000000000000006E-2</v>
      </c>
      <c r="Z334">
        <v>0.375</v>
      </c>
      <c r="AA334">
        <v>0.22999999999999998</v>
      </c>
      <c r="AI334">
        <f t="shared" si="72"/>
        <v>0</v>
      </c>
      <c r="AJ334">
        <f t="shared" si="73"/>
        <v>0</v>
      </c>
      <c r="AK334">
        <f t="shared" si="74"/>
        <v>0</v>
      </c>
      <c r="AL334">
        <f t="shared" si="75"/>
        <v>5.4000000000000006E-2</v>
      </c>
      <c r="AM334">
        <f t="shared" si="76"/>
        <v>5.4000000000000006E-2</v>
      </c>
      <c r="AN334">
        <f t="shared" si="77"/>
        <v>0.375</v>
      </c>
      <c r="AO334">
        <f t="shared" si="78"/>
        <v>0.22999999999999998</v>
      </c>
      <c r="AQ334" t="str">
        <f t="shared" si="79"/>
        <v>93_1_1</v>
      </c>
      <c r="AR334">
        <f t="shared" si="80"/>
        <v>0.25</v>
      </c>
      <c r="AS334">
        <f t="shared" si="81"/>
        <v>0</v>
      </c>
      <c r="AT334">
        <f t="shared" si="82"/>
        <v>0.375</v>
      </c>
      <c r="AU334">
        <f t="shared" si="83"/>
        <v>0.375</v>
      </c>
      <c r="AV334">
        <f t="shared" si="84"/>
        <v>0.22999999999999998</v>
      </c>
    </row>
    <row r="335" spans="1:48">
      <c r="A335">
        <v>93</v>
      </c>
      <c r="B335">
        <v>1</v>
      </c>
      <c r="C335">
        <v>2</v>
      </c>
      <c r="D335" t="str">
        <f t="shared" si="71"/>
        <v>93_1_2</v>
      </c>
      <c r="E335">
        <v>0</v>
      </c>
      <c r="F335">
        <v>0.5</v>
      </c>
      <c r="G335">
        <v>1</v>
      </c>
      <c r="H335">
        <v>1</v>
      </c>
      <c r="I335">
        <v>0.25</v>
      </c>
      <c r="J335">
        <v>0.67500000000000004</v>
      </c>
      <c r="K335">
        <v>0.57499999999999996</v>
      </c>
      <c r="L335">
        <v>2.75</v>
      </c>
      <c r="M335" t="s">
        <v>31</v>
      </c>
      <c r="N335" t="s">
        <v>32</v>
      </c>
      <c r="O335" t="s">
        <v>43</v>
      </c>
      <c r="P335" t="s">
        <v>42</v>
      </c>
      <c r="Q335">
        <v>82</v>
      </c>
      <c r="S335">
        <v>0.67500000000000004</v>
      </c>
      <c r="T335">
        <v>0.57499999999999996</v>
      </c>
      <c r="U335">
        <v>0</v>
      </c>
      <c r="V335">
        <v>0</v>
      </c>
      <c r="W335">
        <v>0</v>
      </c>
      <c r="X335">
        <v>0.13500000000000001</v>
      </c>
      <c r="Y335">
        <v>0.13500000000000001</v>
      </c>
      <c r="Z335">
        <v>1</v>
      </c>
      <c r="AA335">
        <v>0.57499999999999996</v>
      </c>
      <c r="AI335">
        <f t="shared" si="72"/>
        <v>0</v>
      </c>
      <c r="AJ335">
        <f t="shared" si="73"/>
        <v>0</v>
      </c>
      <c r="AK335">
        <f t="shared" si="74"/>
        <v>0</v>
      </c>
      <c r="AL335">
        <f t="shared" si="75"/>
        <v>0.13500000000000001</v>
      </c>
      <c r="AM335">
        <f t="shared" si="76"/>
        <v>0.13500000000000001</v>
      </c>
      <c r="AN335">
        <f t="shared" si="77"/>
        <v>1</v>
      </c>
      <c r="AO335">
        <f t="shared" si="78"/>
        <v>0.57499999999999996</v>
      </c>
      <c r="AQ335" t="str">
        <f t="shared" si="79"/>
        <v>93_1_2</v>
      </c>
      <c r="AR335">
        <f t="shared" si="80"/>
        <v>0.5</v>
      </c>
      <c r="AS335">
        <f t="shared" si="81"/>
        <v>0</v>
      </c>
      <c r="AT335">
        <f t="shared" si="82"/>
        <v>1</v>
      </c>
      <c r="AU335">
        <f t="shared" si="83"/>
        <v>1</v>
      </c>
      <c r="AV335">
        <f t="shared" si="84"/>
        <v>0.57499999999999996</v>
      </c>
    </row>
    <row r="336" spans="1:48">
      <c r="A336">
        <v>93</v>
      </c>
      <c r="B336">
        <v>1</v>
      </c>
      <c r="C336">
        <v>3</v>
      </c>
      <c r="D336" t="str">
        <f t="shared" si="71"/>
        <v>93_1_3</v>
      </c>
      <c r="E336">
        <v>0</v>
      </c>
      <c r="F336">
        <v>0.25</v>
      </c>
      <c r="G336">
        <v>0.5</v>
      </c>
      <c r="H336">
        <v>0.5</v>
      </c>
      <c r="I336">
        <v>0.125</v>
      </c>
      <c r="J336">
        <v>0.33750000000000002</v>
      </c>
      <c r="K336">
        <v>0.28749999999999998</v>
      </c>
      <c r="L336">
        <v>1.375</v>
      </c>
      <c r="M336" t="s">
        <v>31</v>
      </c>
      <c r="N336" t="s">
        <v>32</v>
      </c>
      <c r="O336" t="s">
        <v>43</v>
      </c>
      <c r="P336" t="s">
        <v>42</v>
      </c>
      <c r="Q336">
        <v>82</v>
      </c>
      <c r="S336">
        <v>0.33750000000000002</v>
      </c>
      <c r="T336">
        <v>0.28749999999999998</v>
      </c>
      <c r="U336">
        <v>0</v>
      </c>
      <c r="V336">
        <v>0</v>
      </c>
      <c r="W336">
        <v>0</v>
      </c>
      <c r="X336">
        <v>6.7500000000000004E-2</v>
      </c>
      <c r="Y336">
        <v>6.7500000000000004E-2</v>
      </c>
      <c r="Z336">
        <v>0.5</v>
      </c>
      <c r="AA336">
        <v>0.28749999999999998</v>
      </c>
      <c r="AI336">
        <f t="shared" si="72"/>
        <v>0</v>
      </c>
      <c r="AJ336">
        <f t="shared" si="73"/>
        <v>0</v>
      </c>
      <c r="AK336">
        <f t="shared" si="74"/>
        <v>0</v>
      </c>
      <c r="AL336">
        <f t="shared" si="75"/>
        <v>6.7500000000000004E-2</v>
      </c>
      <c r="AM336">
        <f t="shared" si="76"/>
        <v>6.7500000000000004E-2</v>
      </c>
      <c r="AN336">
        <f t="shared" si="77"/>
        <v>0.5</v>
      </c>
      <c r="AO336">
        <f t="shared" si="78"/>
        <v>0.28749999999999998</v>
      </c>
      <c r="AQ336" t="str">
        <f t="shared" si="79"/>
        <v>93_1_3</v>
      </c>
      <c r="AR336">
        <f t="shared" si="80"/>
        <v>0.25</v>
      </c>
      <c r="AS336">
        <f t="shared" si="81"/>
        <v>0</v>
      </c>
      <c r="AT336">
        <f t="shared" si="82"/>
        <v>0.5</v>
      </c>
      <c r="AU336">
        <f t="shared" si="83"/>
        <v>0.5</v>
      </c>
      <c r="AV336">
        <f t="shared" si="84"/>
        <v>0.28749999999999998</v>
      </c>
    </row>
    <row r="337" spans="1:48">
      <c r="A337">
        <v>93</v>
      </c>
      <c r="B337">
        <v>1</v>
      </c>
      <c r="C337">
        <v>4</v>
      </c>
      <c r="D337" t="str">
        <f t="shared" si="71"/>
        <v>93_1_4</v>
      </c>
      <c r="E337">
        <v>0</v>
      </c>
      <c r="F337">
        <v>0.375</v>
      </c>
      <c r="G337">
        <v>0.625</v>
      </c>
      <c r="H337">
        <v>0.625</v>
      </c>
      <c r="I337">
        <v>0.125</v>
      </c>
      <c r="J337">
        <v>0.40500000000000003</v>
      </c>
      <c r="K337">
        <v>0.34499999999999997</v>
      </c>
      <c r="L337">
        <v>1.75</v>
      </c>
      <c r="M337" t="s">
        <v>31</v>
      </c>
      <c r="N337" t="s">
        <v>32</v>
      </c>
      <c r="O337" t="s">
        <v>43</v>
      </c>
      <c r="P337" t="s">
        <v>42</v>
      </c>
      <c r="Q337">
        <v>82</v>
      </c>
      <c r="S337">
        <v>0.40500000000000003</v>
      </c>
      <c r="T337">
        <v>0.34499999999999997</v>
      </c>
      <c r="U337">
        <v>0</v>
      </c>
      <c r="V337">
        <v>0</v>
      </c>
      <c r="W337">
        <v>0</v>
      </c>
      <c r="X337">
        <v>8.1000000000000016E-2</v>
      </c>
      <c r="Y337">
        <v>8.1000000000000016E-2</v>
      </c>
      <c r="Z337">
        <v>0.625</v>
      </c>
      <c r="AA337">
        <v>0.34499999999999997</v>
      </c>
      <c r="AI337">
        <f t="shared" si="72"/>
        <v>0</v>
      </c>
      <c r="AJ337">
        <f t="shared" si="73"/>
        <v>0</v>
      </c>
      <c r="AK337">
        <f t="shared" si="74"/>
        <v>0</v>
      </c>
      <c r="AL337">
        <f t="shared" si="75"/>
        <v>8.1000000000000016E-2</v>
      </c>
      <c r="AM337">
        <f t="shared" si="76"/>
        <v>8.1000000000000016E-2</v>
      </c>
      <c r="AN337">
        <f t="shared" si="77"/>
        <v>0.625</v>
      </c>
      <c r="AO337">
        <f t="shared" si="78"/>
        <v>0.34499999999999997</v>
      </c>
      <c r="AQ337" t="str">
        <f t="shared" si="79"/>
        <v>93_1_4</v>
      </c>
      <c r="AR337">
        <f t="shared" si="80"/>
        <v>0.375</v>
      </c>
      <c r="AS337">
        <f t="shared" si="81"/>
        <v>0</v>
      </c>
      <c r="AT337">
        <f t="shared" si="82"/>
        <v>0.625</v>
      </c>
      <c r="AU337">
        <f t="shared" si="83"/>
        <v>0.625</v>
      </c>
      <c r="AV337">
        <f t="shared" si="84"/>
        <v>0.34499999999999997</v>
      </c>
    </row>
    <row r="338" spans="1:48">
      <c r="A338">
        <v>93</v>
      </c>
      <c r="B338">
        <v>1</v>
      </c>
      <c r="C338">
        <v>5</v>
      </c>
      <c r="D338" t="str">
        <f t="shared" si="71"/>
        <v>93_1_5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11</v>
      </c>
      <c r="N338" t="s">
        <v>11</v>
      </c>
      <c r="O338" t="s">
        <v>11</v>
      </c>
      <c r="P338" t="s">
        <v>11</v>
      </c>
      <c r="Q338" t="s">
        <v>11</v>
      </c>
      <c r="S338">
        <v>0</v>
      </c>
      <c r="T338">
        <v>0</v>
      </c>
      <c r="W338">
        <v>0</v>
      </c>
      <c r="X338">
        <v>0</v>
      </c>
      <c r="Z338">
        <v>0</v>
      </c>
      <c r="AI338">
        <f t="shared" si="72"/>
        <v>0</v>
      </c>
      <c r="AJ338">
        <f t="shared" si="73"/>
        <v>0</v>
      </c>
      <c r="AK338">
        <f t="shared" si="74"/>
        <v>0</v>
      </c>
      <c r="AL338">
        <f t="shared" si="75"/>
        <v>0</v>
      </c>
      <c r="AM338">
        <f t="shared" si="76"/>
        <v>0</v>
      </c>
      <c r="AN338">
        <f t="shared" si="77"/>
        <v>0</v>
      </c>
      <c r="AO338">
        <f t="shared" si="78"/>
        <v>0</v>
      </c>
      <c r="AQ338" t="str">
        <f t="shared" si="79"/>
        <v>93_1_5</v>
      </c>
      <c r="AR338">
        <f t="shared" si="80"/>
        <v>0</v>
      </c>
      <c r="AS338">
        <f t="shared" si="81"/>
        <v>0</v>
      </c>
      <c r="AT338">
        <f t="shared" si="82"/>
        <v>0</v>
      </c>
      <c r="AU338">
        <f t="shared" si="83"/>
        <v>0</v>
      </c>
      <c r="AV338">
        <f t="shared" si="84"/>
        <v>0</v>
      </c>
    </row>
    <row r="339" spans="1:48">
      <c r="A339">
        <v>93</v>
      </c>
      <c r="B339">
        <v>1</v>
      </c>
      <c r="C339">
        <v>6</v>
      </c>
      <c r="D339" t="str">
        <f t="shared" si="71"/>
        <v>93_1_6</v>
      </c>
      <c r="E339">
        <v>0</v>
      </c>
      <c r="F339">
        <v>0.25</v>
      </c>
      <c r="G339">
        <v>0.375</v>
      </c>
      <c r="H339">
        <v>0.375</v>
      </c>
      <c r="I339">
        <v>0.125</v>
      </c>
      <c r="J339">
        <v>0.27</v>
      </c>
      <c r="K339">
        <v>0.22999999999999998</v>
      </c>
      <c r="L339">
        <v>1.125</v>
      </c>
      <c r="M339" t="s">
        <v>31</v>
      </c>
      <c r="N339" t="s">
        <v>32</v>
      </c>
      <c r="O339" t="s">
        <v>43</v>
      </c>
      <c r="P339" t="s">
        <v>42</v>
      </c>
      <c r="Q339">
        <v>82</v>
      </c>
      <c r="S339">
        <v>0.27</v>
      </c>
      <c r="T339">
        <v>0.22999999999999998</v>
      </c>
      <c r="U339">
        <v>0</v>
      </c>
      <c r="V339">
        <v>0</v>
      </c>
      <c r="W339">
        <v>0</v>
      </c>
      <c r="X339">
        <v>5.4000000000000006E-2</v>
      </c>
      <c r="Y339">
        <v>5.4000000000000006E-2</v>
      </c>
      <c r="Z339">
        <v>0.375</v>
      </c>
      <c r="AA339">
        <v>0.22999999999999998</v>
      </c>
      <c r="AI339">
        <f t="shared" si="72"/>
        <v>0</v>
      </c>
      <c r="AJ339">
        <f t="shared" si="73"/>
        <v>0</v>
      </c>
      <c r="AK339">
        <f t="shared" si="74"/>
        <v>0</v>
      </c>
      <c r="AL339">
        <f t="shared" si="75"/>
        <v>5.4000000000000006E-2</v>
      </c>
      <c r="AM339">
        <f t="shared" si="76"/>
        <v>5.4000000000000006E-2</v>
      </c>
      <c r="AN339">
        <f t="shared" si="77"/>
        <v>0.375</v>
      </c>
      <c r="AO339">
        <f t="shared" si="78"/>
        <v>0.22999999999999998</v>
      </c>
      <c r="AQ339" t="str">
        <f t="shared" si="79"/>
        <v>93_1_6</v>
      </c>
      <c r="AR339">
        <f t="shared" si="80"/>
        <v>0.25</v>
      </c>
      <c r="AS339">
        <f t="shared" si="81"/>
        <v>0</v>
      </c>
      <c r="AT339">
        <f t="shared" si="82"/>
        <v>0.375</v>
      </c>
      <c r="AU339">
        <f t="shared" si="83"/>
        <v>0.375</v>
      </c>
      <c r="AV339">
        <f t="shared" si="84"/>
        <v>0.22999999999999998</v>
      </c>
    </row>
    <row r="340" spans="1:48">
      <c r="A340">
        <v>93</v>
      </c>
      <c r="B340">
        <v>1</v>
      </c>
      <c r="C340">
        <v>7</v>
      </c>
      <c r="D340" t="str">
        <f t="shared" si="71"/>
        <v>93_1_7</v>
      </c>
      <c r="E340">
        <v>0</v>
      </c>
      <c r="F340">
        <v>0.25</v>
      </c>
      <c r="G340">
        <v>0.375</v>
      </c>
      <c r="H340">
        <v>0.375</v>
      </c>
      <c r="I340">
        <v>0.125</v>
      </c>
      <c r="J340">
        <v>0.27</v>
      </c>
      <c r="K340">
        <v>0.22999999999999998</v>
      </c>
      <c r="L340">
        <v>1.125</v>
      </c>
      <c r="M340" t="s">
        <v>31</v>
      </c>
      <c r="N340" t="s">
        <v>32</v>
      </c>
      <c r="O340" t="s">
        <v>43</v>
      </c>
      <c r="P340" t="s">
        <v>42</v>
      </c>
      <c r="Q340">
        <v>82</v>
      </c>
      <c r="S340">
        <v>0.27</v>
      </c>
      <c r="T340">
        <v>0.22999999999999998</v>
      </c>
      <c r="U340">
        <v>0</v>
      </c>
      <c r="V340">
        <v>0</v>
      </c>
      <c r="W340">
        <v>0</v>
      </c>
      <c r="X340">
        <v>5.4000000000000006E-2</v>
      </c>
      <c r="Y340">
        <v>5.4000000000000006E-2</v>
      </c>
      <c r="Z340">
        <v>0.375</v>
      </c>
      <c r="AA340">
        <v>0.22999999999999998</v>
      </c>
      <c r="AI340">
        <f t="shared" si="72"/>
        <v>0</v>
      </c>
      <c r="AJ340">
        <f t="shared" si="73"/>
        <v>0</v>
      </c>
      <c r="AK340">
        <f t="shared" si="74"/>
        <v>0</v>
      </c>
      <c r="AL340">
        <f t="shared" si="75"/>
        <v>5.4000000000000006E-2</v>
      </c>
      <c r="AM340">
        <f t="shared" si="76"/>
        <v>5.4000000000000006E-2</v>
      </c>
      <c r="AN340">
        <f t="shared" si="77"/>
        <v>0.375</v>
      </c>
      <c r="AO340">
        <f t="shared" si="78"/>
        <v>0.22999999999999998</v>
      </c>
      <c r="AQ340" t="str">
        <f t="shared" si="79"/>
        <v>93_1_7</v>
      </c>
      <c r="AR340">
        <f t="shared" si="80"/>
        <v>0.25</v>
      </c>
      <c r="AS340">
        <f t="shared" si="81"/>
        <v>0</v>
      </c>
      <c r="AT340">
        <f t="shared" si="82"/>
        <v>0.375</v>
      </c>
      <c r="AU340">
        <f t="shared" si="83"/>
        <v>0.375</v>
      </c>
      <c r="AV340">
        <f t="shared" si="84"/>
        <v>0.22999999999999998</v>
      </c>
    </row>
    <row r="341" spans="1:48">
      <c r="A341">
        <v>93</v>
      </c>
      <c r="B341">
        <v>1</v>
      </c>
      <c r="C341">
        <v>8</v>
      </c>
      <c r="D341" t="str">
        <f t="shared" si="71"/>
        <v>93_1_8</v>
      </c>
      <c r="E341">
        <v>0</v>
      </c>
      <c r="F341">
        <v>0.375</v>
      </c>
      <c r="G341">
        <v>0.75</v>
      </c>
      <c r="H341">
        <v>0.75</v>
      </c>
      <c r="I341">
        <v>0.125</v>
      </c>
      <c r="J341">
        <v>0.47250000000000003</v>
      </c>
      <c r="K341">
        <v>0.40249999999999997</v>
      </c>
      <c r="L341">
        <v>2</v>
      </c>
      <c r="M341" t="s">
        <v>31</v>
      </c>
      <c r="N341" t="s">
        <v>32</v>
      </c>
      <c r="O341" t="s">
        <v>43</v>
      </c>
      <c r="P341" t="s">
        <v>42</v>
      </c>
      <c r="Q341">
        <v>82</v>
      </c>
      <c r="S341">
        <v>0.47250000000000003</v>
      </c>
      <c r="T341">
        <v>0.40249999999999997</v>
      </c>
      <c r="U341">
        <v>0</v>
      </c>
      <c r="V341">
        <v>0</v>
      </c>
      <c r="W341">
        <v>0</v>
      </c>
      <c r="X341">
        <v>9.4500000000000015E-2</v>
      </c>
      <c r="Y341">
        <v>9.4500000000000015E-2</v>
      </c>
      <c r="Z341">
        <v>0.75</v>
      </c>
      <c r="AA341">
        <v>0.40249999999999997</v>
      </c>
      <c r="AI341">
        <f t="shared" si="72"/>
        <v>0</v>
      </c>
      <c r="AJ341">
        <f t="shared" si="73"/>
        <v>0</v>
      </c>
      <c r="AK341">
        <f t="shared" si="74"/>
        <v>0</v>
      </c>
      <c r="AL341">
        <f t="shared" si="75"/>
        <v>9.4500000000000015E-2</v>
      </c>
      <c r="AM341">
        <f t="shared" si="76"/>
        <v>9.4500000000000015E-2</v>
      </c>
      <c r="AN341">
        <f t="shared" si="77"/>
        <v>0.75</v>
      </c>
      <c r="AO341">
        <f t="shared" si="78"/>
        <v>0.40249999999999997</v>
      </c>
      <c r="AQ341" t="str">
        <f t="shared" si="79"/>
        <v>93_1_8</v>
      </c>
      <c r="AR341">
        <f t="shared" si="80"/>
        <v>0.375</v>
      </c>
      <c r="AS341">
        <f t="shared" si="81"/>
        <v>0</v>
      </c>
      <c r="AT341">
        <f t="shared" si="82"/>
        <v>0.75</v>
      </c>
      <c r="AU341">
        <f t="shared" si="83"/>
        <v>0.75</v>
      </c>
      <c r="AV341">
        <f t="shared" si="84"/>
        <v>0.40249999999999997</v>
      </c>
    </row>
    <row r="342" spans="1:48">
      <c r="A342">
        <v>93</v>
      </c>
      <c r="B342">
        <v>1</v>
      </c>
      <c r="C342">
        <v>9</v>
      </c>
      <c r="D342" t="str">
        <f t="shared" si="71"/>
        <v>93_1_9</v>
      </c>
      <c r="E342">
        <v>0</v>
      </c>
      <c r="F342">
        <v>0.25</v>
      </c>
      <c r="G342">
        <v>0.375</v>
      </c>
      <c r="H342">
        <v>0.375</v>
      </c>
      <c r="I342">
        <v>0.125</v>
      </c>
      <c r="J342">
        <v>0.27</v>
      </c>
      <c r="K342">
        <v>0.22999999999999998</v>
      </c>
      <c r="L342">
        <v>1.125</v>
      </c>
      <c r="M342" t="s">
        <v>31</v>
      </c>
      <c r="N342" t="s">
        <v>32</v>
      </c>
      <c r="O342" t="s">
        <v>43</v>
      </c>
      <c r="P342" t="s">
        <v>42</v>
      </c>
      <c r="Q342">
        <v>82</v>
      </c>
      <c r="S342">
        <v>0.27</v>
      </c>
      <c r="T342">
        <v>0.22999999999999998</v>
      </c>
      <c r="U342">
        <v>0</v>
      </c>
      <c r="V342">
        <v>0</v>
      </c>
      <c r="W342">
        <v>0</v>
      </c>
      <c r="X342">
        <v>5.4000000000000006E-2</v>
      </c>
      <c r="Y342">
        <v>5.4000000000000006E-2</v>
      </c>
      <c r="Z342">
        <v>0.375</v>
      </c>
      <c r="AA342">
        <v>0.22999999999999998</v>
      </c>
      <c r="AI342">
        <f t="shared" si="72"/>
        <v>0</v>
      </c>
      <c r="AJ342">
        <f t="shared" si="73"/>
        <v>0</v>
      </c>
      <c r="AK342">
        <f t="shared" si="74"/>
        <v>0</v>
      </c>
      <c r="AL342">
        <f t="shared" si="75"/>
        <v>5.4000000000000006E-2</v>
      </c>
      <c r="AM342">
        <f t="shared" si="76"/>
        <v>5.4000000000000006E-2</v>
      </c>
      <c r="AN342">
        <f t="shared" si="77"/>
        <v>0.375</v>
      </c>
      <c r="AO342">
        <f t="shared" si="78"/>
        <v>0.22999999999999998</v>
      </c>
      <c r="AQ342" t="str">
        <f t="shared" si="79"/>
        <v>93_1_9</v>
      </c>
      <c r="AR342">
        <f t="shared" si="80"/>
        <v>0.25</v>
      </c>
      <c r="AS342">
        <f t="shared" si="81"/>
        <v>0</v>
      </c>
      <c r="AT342">
        <f t="shared" si="82"/>
        <v>0.375</v>
      </c>
      <c r="AU342">
        <f t="shared" si="83"/>
        <v>0.375</v>
      </c>
      <c r="AV342">
        <f t="shared" si="84"/>
        <v>0.22999999999999998</v>
      </c>
    </row>
    <row r="343" spans="1:48">
      <c r="A343">
        <v>93</v>
      </c>
      <c r="B343">
        <v>1</v>
      </c>
      <c r="C343">
        <v>10</v>
      </c>
      <c r="D343" t="str">
        <f t="shared" si="71"/>
        <v>93_1_10</v>
      </c>
      <c r="E343">
        <v>0</v>
      </c>
      <c r="F343">
        <v>0.25</v>
      </c>
      <c r="G343">
        <v>0.375</v>
      </c>
      <c r="H343">
        <v>0.375</v>
      </c>
      <c r="I343">
        <v>0.125</v>
      </c>
      <c r="J343">
        <v>0.27</v>
      </c>
      <c r="K343">
        <v>0.22999999999999998</v>
      </c>
      <c r="L343">
        <v>1.125</v>
      </c>
      <c r="M343" t="s">
        <v>31</v>
      </c>
      <c r="N343" t="s">
        <v>32</v>
      </c>
      <c r="O343" t="s">
        <v>43</v>
      </c>
      <c r="P343" t="s">
        <v>42</v>
      </c>
      <c r="Q343">
        <v>82</v>
      </c>
      <c r="S343">
        <v>0.27</v>
      </c>
      <c r="T343">
        <v>0.22999999999999998</v>
      </c>
      <c r="U343">
        <v>0</v>
      </c>
      <c r="V343">
        <v>0</v>
      </c>
      <c r="W343">
        <v>0</v>
      </c>
      <c r="X343">
        <v>5.4000000000000006E-2</v>
      </c>
      <c r="Y343">
        <v>5.4000000000000006E-2</v>
      </c>
      <c r="Z343">
        <v>0.375</v>
      </c>
      <c r="AA343">
        <v>0.22999999999999998</v>
      </c>
      <c r="AI343">
        <f t="shared" si="72"/>
        <v>0</v>
      </c>
      <c r="AJ343">
        <f t="shared" si="73"/>
        <v>0</v>
      </c>
      <c r="AK343">
        <f t="shared" si="74"/>
        <v>0</v>
      </c>
      <c r="AL343">
        <f t="shared" si="75"/>
        <v>5.4000000000000006E-2</v>
      </c>
      <c r="AM343">
        <f t="shared" si="76"/>
        <v>5.4000000000000006E-2</v>
      </c>
      <c r="AN343">
        <f t="shared" si="77"/>
        <v>0.375</v>
      </c>
      <c r="AO343">
        <f t="shared" si="78"/>
        <v>0.22999999999999998</v>
      </c>
      <c r="AQ343" t="str">
        <f t="shared" si="79"/>
        <v>93_1_10</v>
      </c>
      <c r="AR343">
        <f t="shared" si="80"/>
        <v>0.25</v>
      </c>
      <c r="AS343">
        <f t="shared" si="81"/>
        <v>0</v>
      </c>
      <c r="AT343">
        <f t="shared" si="82"/>
        <v>0.375</v>
      </c>
      <c r="AU343">
        <f t="shared" si="83"/>
        <v>0.375</v>
      </c>
      <c r="AV343">
        <f t="shared" si="84"/>
        <v>0.22999999999999998</v>
      </c>
    </row>
    <row r="344" spans="1:48">
      <c r="A344">
        <v>93</v>
      </c>
      <c r="B344">
        <v>1</v>
      </c>
      <c r="C344">
        <v>11</v>
      </c>
      <c r="D344" t="str">
        <f t="shared" si="71"/>
        <v>93_1_11</v>
      </c>
      <c r="E344">
        <v>0</v>
      </c>
      <c r="F344">
        <v>0.25</v>
      </c>
      <c r="G344">
        <v>0.375</v>
      </c>
      <c r="H344">
        <v>0.375</v>
      </c>
      <c r="I344">
        <v>0.125</v>
      </c>
      <c r="J344">
        <v>0.27</v>
      </c>
      <c r="K344">
        <v>0.22999999999999998</v>
      </c>
      <c r="L344">
        <v>1.125</v>
      </c>
      <c r="M344" t="s">
        <v>31</v>
      </c>
      <c r="N344" t="s">
        <v>32</v>
      </c>
      <c r="O344" t="s">
        <v>43</v>
      </c>
      <c r="P344" t="s">
        <v>42</v>
      </c>
      <c r="Q344">
        <v>82</v>
      </c>
      <c r="S344">
        <v>0.27</v>
      </c>
      <c r="T344">
        <v>0.22999999999999998</v>
      </c>
      <c r="U344">
        <v>0</v>
      </c>
      <c r="V344">
        <v>0</v>
      </c>
      <c r="W344">
        <v>0</v>
      </c>
      <c r="X344">
        <v>5.4000000000000006E-2</v>
      </c>
      <c r="Y344">
        <v>5.4000000000000006E-2</v>
      </c>
      <c r="Z344">
        <v>0.375</v>
      </c>
      <c r="AA344">
        <v>0.22999999999999998</v>
      </c>
      <c r="AI344">
        <f t="shared" si="72"/>
        <v>0</v>
      </c>
      <c r="AJ344">
        <f t="shared" si="73"/>
        <v>0</v>
      </c>
      <c r="AK344">
        <f t="shared" si="74"/>
        <v>0</v>
      </c>
      <c r="AL344">
        <f t="shared" si="75"/>
        <v>5.4000000000000006E-2</v>
      </c>
      <c r="AM344">
        <f t="shared" si="76"/>
        <v>5.4000000000000006E-2</v>
      </c>
      <c r="AN344">
        <f t="shared" si="77"/>
        <v>0.375</v>
      </c>
      <c r="AO344">
        <f t="shared" si="78"/>
        <v>0.22999999999999998</v>
      </c>
      <c r="AQ344" t="str">
        <f t="shared" si="79"/>
        <v>93_1_11</v>
      </c>
      <c r="AR344">
        <f t="shared" si="80"/>
        <v>0.25</v>
      </c>
      <c r="AS344">
        <f t="shared" si="81"/>
        <v>0</v>
      </c>
      <c r="AT344">
        <f t="shared" si="82"/>
        <v>0.375</v>
      </c>
      <c r="AU344">
        <f t="shared" si="83"/>
        <v>0.375</v>
      </c>
      <c r="AV344">
        <f t="shared" si="84"/>
        <v>0.22999999999999998</v>
      </c>
    </row>
    <row r="345" spans="1:48">
      <c r="A345">
        <v>93</v>
      </c>
      <c r="B345">
        <v>1</v>
      </c>
      <c r="C345">
        <v>12</v>
      </c>
      <c r="D345" t="str">
        <f t="shared" si="71"/>
        <v>93_1_12</v>
      </c>
      <c r="E345">
        <v>0</v>
      </c>
      <c r="F345">
        <v>0.25</v>
      </c>
      <c r="G345">
        <v>0.5</v>
      </c>
      <c r="H345">
        <v>0.5</v>
      </c>
      <c r="I345">
        <v>0.125</v>
      </c>
      <c r="J345">
        <v>0.33750000000000002</v>
      </c>
      <c r="K345">
        <v>0.28749999999999998</v>
      </c>
      <c r="L345">
        <v>1.375</v>
      </c>
      <c r="M345" t="s">
        <v>31</v>
      </c>
      <c r="N345" t="s">
        <v>32</v>
      </c>
      <c r="O345" t="s">
        <v>43</v>
      </c>
      <c r="P345" t="s">
        <v>42</v>
      </c>
      <c r="Q345">
        <v>82</v>
      </c>
      <c r="S345">
        <v>0.33750000000000002</v>
      </c>
      <c r="T345">
        <v>0.28749999999999998</v>
      </c>
      <c r="U345">
        <v>0</v>
      </c>
      <c r="V345">
        <v>0</v>
      </c>
      <c r="W345">
        <v>0</v>
      </c>
      <c r="X345">
        <v>6.7500000000000004E-2</v>
      </c>
      <c r="Y345">
        <v>6.7500000000000004E-2</v>
      </c>
      <c r="Z345">
        <v>0.5</v>
      </c>
      <c r="AA345">
        <v>0.28749999999999998</v>
      </c>
      <c r="AI345">
        <f t="shared" si="72"/>
        <v>0</v>
      </c>
      <c r="AJ345">
        <f t="shared" si="73"/>
        <v>0</v>
      </c>
      <c r="AK345">
        <f t="shared" si="74"/>
        <v>0</v>
      </c>
      <c r="AL345">
        <f t="shared" si="75"/>
        <v>6.7500000000000004E-2</v>
      </c>
      <c r="AM345">
        <f t="shared" si="76"/>
        <v>6.7500000000000004E-2</v>
      </c>
      <c r="AN345">
        <f t="shared" si="77"/>
        <v>0.5</v>
      </c>
      <c r="AO345">
        <f t="shared" si="78"/>
        <v>0.28749999999999998</v>
      </c>
      <c r="AQ345" t="str">
        <f t="shared" si="79"/>
        <v>93_1_12</v>
      </c>
      <c r="AR345">
        <f t="shared" si="80"/>
        <v>0.25</v>
      </c>
      <c r="AS345">
        <f t="shared" si="81"/>
        <v>0</v>
      </c>
      <c r="AT345">
        <f t="shared" si="82"/>
        <v>0.5</v>
      </c>
      <c r="AU345">
        <f t="shared" si="83"/>
        <v>0.5</v>
      </c>
      <c r="AV345">
        <f t="shared" si="84"/>
        <v>0.28749999999999998</v>
      </c>
    </row>
    <row r="346" spans="1:48">
      <c r="A346">
        <v>93</v>
      </c>
      <c r="B346">
        <v>1</v>
      </c>
      <c r="C346">
        <v>13</v>
      </c>
      <c r="D346" t="str">
        <f t="shared" si="71"/>
        <v>93_1_13</v>
      </c>
      <c r="E346">
        <v>0</v>
      </c>
      <c r="F346">
        <v>0.25</v>
      </c>
      <c r="G346">
        <v>0.5</v>
      </c>
      <c r="H346">
        <v>0.5</v>
      </c>
      <c r="I346">
        <v>0.125</v>
      </c>
      <c r="J346">
        <v>0.33750000000000002</v>
      </c>
      <c r="K346">
        <v>0.28749999999999998</v>
      </c>
      <c r="L346">
        <v>1.375</v>
      </c>
      <c r="M346" t="s">
        <v>31</v>
      </c>
      <c r="N346" t="s">
        <v>32</v>
      </c>
      <c r="O346" t="s">
        <v>43</v>
      </c>
      <c r="P346" t="s">
        <v>42</v>
      </c>
      <c r="Q346">
        <v>82</v>
      </c>
      <c r="S346">
        <v>0.33750000000000002</v>
      </c>
      <c r="T346">
        <v>0.28749999999999998</v>
      </c>
      <c r="U346">
        <v>0</v>
      </c>
      <c r="V346">
        <v>0</v>
      </c>
      <c r="W346">
        <v>0</v>
      </c>
      <c r="X346">
        <v>6.7500000000000004E-2</v>
      </c>
      <c r="Y346">
        <v>6.7500000000000004E-2</v>
      </c>
      <c r="Z346">
        <v>0.5</v>
      </c>
      <c r="AA346">
        <v>0.28749999999999998</v>
      </c>
      <c r="AI346">
        <f t="shared" si="72"/>
        <v>0</v>
      </c>
      <c r="AJ346">
        <f t="shared" si="73"/>
        <v>0</v>
      </c>
      <c r="AK346">
        <f t="shared" si="74"/>
        <v>0</v>
      </c>
      <c r="AL346">
        <f t="shared" si="75"/>
        <v>6.7500000000000004E-2</v>
      </c>
      <c r="AM346">
        <f t="shared" si="76"/>
        <v>6.7500000000000004E-2</v>
      </c>
      <c r="AN346">
        <f t="shared" si="77"/>
        <v>0.5</v>
      </c>
      <c r="AO346">
        <f t="shared" si="78"/>
        <v>0.28749999999999998</v>
      </c>
      <c r="AQ346" t="str">
        <f t="shared" si="79"/>
        <v>93_1_13</v>
      </c>
      <c r="AR346">
        <f t="shared" si="80"/>
        <v>0.25</v>
      </c>
      <c r="AS346">
        <f t="shared" si="81"/>
        <v>0</v>
      </c>
      <c r="AT346">
        <f t="shared" si="82"/>
        <v>0.5</v>
      </c>
      <c r="AU346">
        <f t="shared" si="83"/>
        <v>0.5</v>
      </c>
      <c r="AV346">
        <f t="shared" si="84"/>
        <v>0.28749999999999998</v>
      </c>
    </row>
    <row r="347" spans="1:48">
      <c r="A347">
        <v>93</v>
      </c>
      <c r="B347">
        <v>1</v>
      </c>
      <c r="C347">
        <v>14</v>
      </c>
      <c r="D347" t="str">
        <f t="shared" si="71"/>
        <v>93_1_14</v>
      </c>
      <c r="E347">
        <v>0</v>
      </c>
      <c r="F347">
        <v>0.25</v>
      </c>
      <c r="G347">
        <v>0.5</v>
      </c>
      <c r="H347">
        <v>0.5</v>
      </c>
      <c r="I347">
        <v>0.125</v>
      </c>
      <c r="J347">
        <v>0.33750000000000002</v>
      </c>
      <c r="K347">
        <v>0.28749999999999998</v>
      </c>
      <c r="L347">
        <v>1.375</v>
      </c>
      <c r="M347" t="s">
        <v>31</v>
      </c>
      <c r="N347" t="s">
        <v>32</v>
      </c>
      <c r="O347" t="s">
        <v>43</v>
      </c>
      <c r="P347" t="s">
        <v>42</v>
      </c>
      <c r="Q347">
        <v>82</v>
      </c>
      <c r="S347">
        <v>0.33750000000000002</v>
      </c>
      <c r="T347">
        <v>0.28749999999999998</v>
      </c>
      <c r="U347">
        <v>0</v>
      </c>
      <c r="V347">
        <v>0</v>
      </c>
      <c r="W347">
        <v>0</v>
      </c>
      <c r="X347">
        <v>6.7500000000000004E-2</v>
      </c>
      <c r="Y347">
        <v>6.7500000000000004E-2</v>
      </c>
      <c r="Z347">
        <v>0.5</v>
      </c>
      <c r="AA347">
        <v>0.28749999999999998</v>
      </c>
      <c r="AI347">
        <f t="shared" si="72"/>
        <v>0</v>
      </c>
      <c r="AJ347">
        <f t="shared" si="73"/>
        <v>0</v>
      </c>
      <c r="AK347">
        <f t="shared" si="74"/>
        <v>0</v>
      </c>
      <c r="AL347">
        <f t="shared" si="75"/>
        <v>6.7500000000000004E-2</v>
      </c>
      <c r="AM347">
        <f t="shared" si="76"/>
        <v>6.7500000000000004E-2</v>
      </c>
      <c r="AN347">
        <f t="shared" si="77"/>
        <v>0.5</v>
      </c>
      <c r="AO347">
        <f t="shared" si="78"/>
        <v>0.28749999999999998</v>
      </c>
      <c r="AQ347" t="str">
        <f t="shared" si="79"/>
        <v>93_1_14</v>
      </c>
      <c r="AR347">
        <f t="shared" si="80"/>
        <v>0.25</v>
      </c>
      <c r="AS347">
        <f t="shared" si="81"/>
        <v>0</v>
      </c>
      <c r="AT347">
        <f t="shared" si="82"/>
        <v>0.5</v>
      </c>
      <c r="AU347">
        <f t="shared" si="83"/>
        <v>0.5</v>
      </c>
      <c r="AV347">
        <f t="shared" si="84"/>
        <v>0.28749999999999998</v>
      </c>
    </row>
    <row r="348" spans="1:48">
      <c r="A348">
        <v>93</v>
      </c>
      <c r="B348">
        <v>1</v>
      </c>
      <c r="C348">
        <v>15</v>
      </c>
      <c r="D348" t="str">
        <f t="shared" si="71"/>
        <v>93_1_15</v>
      </c>
      <c r="E348">
        <v>0</v>
      </c>
      <c r="F348">
        <v>0.25</v>
      </c>
      <c r="G348">
        <v>0.375</v>
      </c>
      <c r="H348">
        <v>0.375</v>
      </c>
      <c r="I348">
        <v>0.125</v>
      </c>
      <c r="J348">
        <v>0.27</v>
      </c>
      <c r="K348">
        <v>0.22999999999999998</v>
      </c>
      <c r="L348">
        <v>1.125</v>
      </c>
      <c r="M348" t="s">
        <v>31</v>
      </c>
      <c r="N348" t="s">
        <v>11</v>
      </c>
      <c r="O348" t="s">
        <v>11</v>
      </c>
      <c r="P348" t="s">
        <v>11</v>
      </c>
      <c r="Q348" t="s">
        <v>34</v>
      </c>
      <c r="S348">
        <v>0.27</v>
      </c>
      <c r="T348">
        <v>0.22999999999999998</v>
      </c>
      <c r="AB348">
        <v>0.25</v>
      </c>
      <c r="AD348">
        <v>0.05</v>
      </c>
      <c r="AE348">
        <v>0.27</v>
      </c>
      <c r="AF348">
        <v>5.4000000000000006E-2</v>
      </c>
      <c r="AG348">
        <v>0.375</v>
      </c>
      <c r="AH348">
        <v>0.22999999999999998</v>
      </c>
      <c r="AI348">
        <f t="shared" si="72"/>
        <v>0.25</v>
      </c>
      <c r="AJ348">
        <f t="shared" si="73"/>
        <v>0</v>
      </c>
      <c r="AK348">
        <f t="shared" si="74"/>
        <v>0.05</v>
      </c>
      <c r="AL348">
        <f t="shared" si="75"/>
        <v>0.27</v>
      </c>
      <c r="AM348">
        <f t="shared" si="76"/>
        <v>5.4000000000000006E-2</v>
      </c>
      <c r="AN348">
        <f t="shared" si="77"/>
        <v>0.375</v>
      </c>
      <c r="AO348">
        <f t="shared" si="78"/>
        <v>0.22999999999999998</v>
      </c>
      <c r="AQ348" t="str">
        <f t="shared" si="79"/>
        <v>93_1_15</v>
      </c>
      <c r="AR348">
        <f t="shared" si="80"/>
        <v>0.25</v>
      </c>
      <c r="AS348">
        <f t="shared" si="81"/>
        <v>0.25</v>
      </c>
      <c r="AT348">
        <f t="shared" si="82"/>
        <v>0.375</v>
      </c>
      <c r="AU348">
        <f t="shared" si="83"/>
        <v>0.375</v>
      </c>
      <c r="AV348">
        <f t="shared" si="84"/>
        <v>0.22999999999999998</v>
      </c>
    </row>
    <row r="349" spans="1:48">
      <c r="A349">
        <v>93</v>
      </c>
      <c r="B349">
        <v>1</v>
      </c>
      <c r="C349">
        <v>16</v>
      </c>
      <c r="D349" t="str">
        <f t="shared" si="71"/>
        <v>93_1_16</v>
      </c>
      <c r="E349">
        <v>0</v>
      </c>
      <c r="F349">
        <v>0.625</v>
      </c>
      <c r="G349">
        <v>1.125</v>
      </c>
      <c r="H349">
        <v>1.125</v>
      </c>
      <c r="I349">
        <v>0.25</v>
      </c>
      <c r="J349">
        <v>0.74250000000000005</v>
      </c>
      <c r="K349">
        <v>0.63249999999999995</v>
      </c>
      <c r="L349">
        <v>3.125</v>
      </c>
      <c r="M349" t="s">
        <v>31</v>
      </c>
      <c r="N349" t="s">
        <v>11</v>
      </c>
      <c r="O349" t="s">
        <v>11</v>
      </c>
      <c r="P349" t="s">
        <v>11</v>
      </c>
      <c r="Q349" t="s">
        <v>34</v>
      </c>
      <c r="S349">
        <v>0.74250000000000005</v>
      </c>
      <c r="T349">
        <v>0.63249999999999995</v>
      </c>
      <c r="AB349">
        <v>0.625</v>
      </c>
      <c r="AD349">
        <v>0.125</v>
      </c>
      <c r="AE349">
        <v>0.74250000000000005</v>
      </c>
      <c r="AF349">
        <v>0.14850000000000002</v>
      </c>
      <c r="AG349">
        <v>1.125</v>
      </c>
      <c r="AH349">
        <v>0.63249999999999995</v>
      </c>
      <c r="AI349">
        <f t="shared" si="72"/>
        <v>0.625</v>
      </c>
      <c r="AJ349">
        <f t="shared" si="73"/>
        <v>0</v>
      </c>
      <c r="AK349">
        <f t="shared" si="74"/>
        <v>0.125</v>
      </c>
      <c r="AL349">
        <f t="shared" si="75"/>
        <v>0.74250000000000005</v>
      </c>
      <c r="AM349">
        <f t="shared" si="76"/>
        <v>0.14850000000000002</v>
      </c>
      <c r="AN349">
        <f t="shared" si="77"/>
        <v>1.125</v>
      </c>
      <c r="AO349">
        <f t="shared" si="78"/>
        <v>0.63249999999999995</v>
      </c>
      <c r="AQ349" t="str">
        <f t="shared" si="79"/>
        <v>93_1_16</v>
      </c>
      <c r="AR349">
        <f t="shared" si="80"/>
        <v>0.625</v>
      </c>
      <c r="AS349">
        <f t="shared" si="81"/>
        <v>0.625</v>
      </c>
      <c r="AT349">
        <f t="shared" si="82"/>
        <v>1.125</v>
      </c>
      <c r="AU349">
        <f t="shared" si="83"/>
        <v>1.125</v>
      </c>
      <c r="AV349">
        <f t="shared" si="84"/>
        <v>0.63249999999999995</v>
      </c>
    </row>
    <row r="350" spans="1:48">
      <c r="A350">
        <v>94</v>
      </c>
      <c r="B350" t="s">
        <v>10</v>
      </c>
      <c r="C350" t="s">
        <v>10</v>
      </c>
      <c r="D350" t="str">
        <f t="shared" si="71"/>
        <v>94</v>
      </c>
      <c r="E350" t="s">
        <v>10</v>
      </c>
      <c r="F350" t="s">
        <v>10</v>
      </c>
      <c r="G350" t="s">
        <v>10</v>
      </c>
      <c r="H350" t="s">
        <v>10</v>
      </c>
      <c r="I350" t="s">
        <v>10</v>
      </c>
      <c r="L350">
        <v>0</v>
      </c>
      <c r="M350" t="s">
        <v>11</v>
      </c>
      <c r="Q350">
        <v>72</v>
      </c>
      <c r="R350" t="s">
        <v>35</v>
      </c>
      <c r="AI350">
        <f t="shared" si="72"/>
        <v>0</v>
      </c>
      <c r="AJ350">
        <f t="shared" si="73"/>
        <v>0</v>
      </c>
      <c r="AK350">
        <f t="shared" si="74"/>
        <v>0</v>
      </c>
      <c r="AL350">
        <f t="shared" si="75"/>
        <v>0</v>
      </c>
      <c r="AM350">
        <f t="shared" si="76"/>
        <v>0</v>
      </c>
      <c r="AN350">
        <f t="shared" si="77"/>
        <v>0</v>
      </c>
      <c r="AO350">
        <f t="shared" si="78"/>
        <v>0</v>
      </c>
      <c r="AQ350" t="str">
        <f t="shared" si="79"/>
        <v>94</v>
      </c>
      <c r="AR350" t="str">
        <f t="shared" si="80"/>
        <v/>
      </c>
      <c r="AS350">
        <f t="shared" si="81"/>
        <v>0</v>
      </c>
      <c r="AT350" t="str">
        <f t="shared" si="82"/>
        <v/>
      </c>
      <c r="AU350">
        <f t="shared" si="83"/>
        <v>0</v>
      </c>
      <c r="AV350">
        <f t="shared" si="84"/>
        <v>0</v>
      </c>
    </row>
    <row r="351" spans="1:48">
      <c r="A351">
        <v>94</v>
      </c>
      <c r="B351">
        <v>1</v>
      </c>
      <c r="C351">
        <v>1</v>
      </c>
      <c r="D351" t="str">
        <f t="shared" si="71"/>
        <v>94_1_1</v>
      </c>
      <c r="E351">
        <v>0</v>
      </c>
      <c r="F351">
        <v>1.625</v>
      </c>
      <c r="G351">
        <v>3</v>
      </c>
      <c r="H351">
        <v>3</v>
      </c>
      <c r="I351">
        <v>0.5</v>
      </c>
      <c r="J351">
        <v>1.8900000000000001</v>
      </c>
      <c r="K351">
        <v>1.6099999999999999</v>
      </c>
      <c r="L351">
        <v>8.125</v>
      </c>
      <c r="M351" t="s">
        <v>31</v>
      </c>
      <c r="N351" t="s">
        <v>32</v>
      </c>
      <c r="O351" t="s">
        <v>32</v>
      </c>
      <c r="P351" t="s">
        <v>33</v>
      </c>
      <c r="Q351">
        <v>72</v>
      </c>
      <c r="S351">
        <v>1.8900000000000001</v>
      </c>
      <c r="T351">
        <v>1.6099999999999999</v>
      </c>
      <c r="U351">
        <v>0</v>
      </c>
      <c r="V351">
        <v>0</v>
      </c>
      <c r="W351">
        <v>0</v>
      </c>
      <c r="X351">
        <v>0.37800000000000006</v>
      </c>
      <c r="Y351">
        <v>0.37800000000000006</v>
      </c>
      <c r="Z351">
        <v>0</v>
      </c>
      <c r="AA351">
        <v>1.6099999999999999</v>
      </c>
      <c r="AI351">
        <f t="shared" si="72"/>
        <v>0</v>
      </c>
      <c r="AJ351">
        <f t="shared" si="73"/>
        <v>0</v>
      </c>
      <c r="AK351">
        <f t="shared" si="74"/>
        <v>0</v>
      </c>
      <c r="AL351">
        <f t="shared" si="75"/>
        <v>0.37800000000000006</v>
      </c>
      <c r="AM351">
        <f t="shared" si="76"/>
        <v>0.37800000000000006</v>
      </c>
      <c r="AN351">
        <f t="shared" si="77"/>
        <v>0</v>
      </c>
      <c r="AO351">
        <f t="shared" si="78"/>
        <v>1.6099999999999999</v>
      </c>
      <c r="AQ351" t="str">
        <f t="shared" si="79"/>
        <v>94_1_1</v>
      </c>
      <c r="AR351">
        <f t="shared" si="80"/>
        <v>1.625</v>
      </c>
      <c r="AS351">
        <f t="shared" si="81"/>
        <v>0</v>
      </c>
      <c r="AT351">
        <f t="shared" si="82"/>
        <v>3</v>
      </c>
      <c r="AU351">
        <f t="shared" si="83"/>
        <v>0</v>
      </c>
      <c r="AV351">
        <f t="shared" si="84"/>
        <v>1.6099999999999999</v>
      </c>
    </row>
    <row r="352" spans="1:48">
      <c r="A352">
        <v>94</v>
      </c>
      <c r="B352">
        <v>1</v>
      </c>
      <c r="C352">
        <v>2</v>
      </c>
      <c r="D352" t="str">
        <f t="shared" si="71"/>
        <v>94_1_2</v>
      </c>
      <c r="E352">
        <v>0</v>
      </c>
      <c r="F352">
        <v>0</v>
      </c>
      <c r="G352">
        <v>0</v>
      </c>
      <c r="H352">
        <v>0</v>
      </c>
      <c r="I352">
        <v>0</v>
      </c>
      <c r="L352">
        <v>0</v>
      </c>
      <c r="M352" t="s">
        <v>11</v>
      </c>
      <c r="N352" t="s">
        <v>11</v>
      </c>
      <c r="O352" t="s">
        <v>11</v>
      </c>
      <c r="P352" t="s">
        <v>11</v>
      </c>
      <c r="Q352" t="s">
        <v>11</v>
      </c>
      <c r="S352">
        <v>0</v>
      </c>
      <c r="T352">
        <v>0</v>
      </c>
      <c r="W352">
        <v>0</v>
      </c>
      <c r="X352">
        <v>0</v>
      </c>
      <c r="Z352">
        <v>0</v>
      </c>
      <c r="AI352">
        <f t="shared" si="72"/>
        <v>0</v>
      </c>
      <c r="AJ352">
        <f t="shared" si="73"/>
        <v>0</v>
      </c>
      <c r="AK352">
        <f t="shared" si="74"/>
        <v>0</v>
      </c>
      <c r="AL352">
        <f t="shared" si="75"/>
        <v>0</v>
      </c>
      <c r="AM352">
        <f t="shared" si="76"/>
        <v>0</v>
      </c>
      <c r="AN352">
        <f t="shared" si="77"/>
        <v>0</v>
      </c>
      <c r="AO352">
        <f t="shared" si="78"/>
        <v>0</v>
      </c>
      <c r="AQ352" t="str">
        <f t="shared" si="79"/>
        <v>94_1_2</v>
      </c>
      <c r="AR352">
        <f t="shared" si="80"/>
        <v>0</v>
      </c>
      <c r="AS352">
        <f t="shared" si="81"/>
        <v>0</v>
      </c>
      <c r="AT352">
        <f t="shared" si="82"/>
        <v>0</v>
      </c>
      <c r="AU352">
        <f t="shared" si="83"/>
        <v>0</v>
      </c>
      <c r="AV352">
        <f t="shared" si="84"/>
        <v>0</v>
      </c>
    </row>
    <row r="353" spans="1:48">
      <c r="A353">
        <v>94</v>
      </c>
      <c r="B353">
        <v>1</v>
      </c>
      <c r="C353">
        <v>3</v>
      </c>
      <c r="D353" t="str">
        <f t="shared" si="71"/>
        <v>94_1_3</v>
      </c>
      <c r="E353">
        <v>0</v>
      </c>
      <c r="F353">
        <v>0</v>
      </c>
      <c r="G353">
        <v>0</v>
      </c>
      <c r="H353">
        <v>0</v>
      </c>
      <c r="I353">
        <v>0</v>
      </c>
      <c r="L353">
        <v>0</v>
      </c>
      <c r="M353" t="s">
        <v>11</v>
      </c>
      <c r="N353" t="s">
        <v>11</v>
      </c>
      <c r="O353" t="s">
        <v>11</v>
      </c>
      <c r="P353" t="s">
        <v>11</v>
      </c>
      <c r="Q353" t="s">
        <v>11</v>
      </c>
      <c r="S353">
        <v>0</v>
      </c>
      <c r="T353">
        <v>0</v>
      </c>
      <c r="W353">
        <v>0</v>
      </c>
      <c r="X353">
        <v>0</v>
      </c>
      <c r="Z353">
        <v>0</v>
      </c>
      <c r="AI353">
        <f t="shared" si="72"/>
        <v>0</v>
      </c>
      <c r="AJ353">
        <f t="shared" si="73"/>
        <v>0</v>
      </c>
      <c r="AK353">
        <f t="shared" si="74"/>
        <v>0</v>
      </c>
      <c r="AL353">
        <f t="shared" si="75"/>
        <v>0</v>
      </c>
      <c r="AM353">
        <f t="shared" si="76"/>
        <v>0</v>
      </c>
      <c r="AN353">
        <f t="shared" si="77"/>
        <v>0</v>
      </c>
      <c r="AO353">
        <f t="shared" si="78"/>
        <v>0</v>
      </c>
      <c r="AQ353" t="str">
        <f t="shared" si="79"/>
        <v>94_1_3</v>
      </c>
      <c r="AR353">
        <f t="shared" si="80"/>
        <v>0</v>
      </c>
      <c r="AS353">
        <f t="shared" si="81"/>
        <v>0</v>
      </c>
      <c r="AT353">
        <f t="shared" si="82"/>
        <v>0</v>
      </c>
      <c r="AU353">
        <f t="shared" si="83"/>
        <v>0</v>
      </c>
      <c r="AV353">
        <f t="shared" si="84"/>
        <v>0</v>
      </c>
    </row>
    <row r="354" spans="1:48">
      <c r="A354">
        <v>94</v>
      </c>
      <c r="B354">
        <v>1</v>
      </c>
      <c r="C354">
        <v>4</v>
      </c>
      <c r="D354" t="str">
        <f t="shared" si="71"/>
        <v>94_1_4</v>
      </c>
      <c r="E354">
        <v>0</v>
      </c>
      <c r="F354">
        <v>0</v>
      </c>
      <c r="G354">
        <v>0</v>
      </c>
      <c r="H354">
        <v>0</v>
      </c>
      <c r="I354">
        <v>0</v>
      </c>
      <c r="L354">
        <v>0</v>
      </c>
      <c r="M354" t="s">
        <v>11</v>
      </c>
      <c r="N354" t="s">
        <v>11</v>
      </c>
      <c r="O354" t="s">
        <v>11</v>
      </c>
      <c r="P354" t="s">
        <v>11</v>
      </c>
      <c r="Q354" t="s">
        <v>11</v>
      </c>
      <c r="S354">
        <v>0</v>
      </c>
      <c r="T354">
        <v>0</v>
      </c>
      <c r="W354">
        <v>0</v>
      </c>
      <c r="X354">
        <v>0</v>
      </c>
      <c r="Z354">
        <v>0</v>
      </c>
      <c r="AI354">
        <f t="shared" si="72"/>
        <v>0</v>
      </c>
      <c r="AJ354">
        <f t="shared" si="73"/>
        <v>0</v>
      </c>
      <c r="AK354">
        <f t="shared" si="74"/>
        <v>0</v>
      </c>
      <c r="AL354">
        <f t="shared" si="75"/>
        <v>0</v>
      </c>
      <c r="AM354">
        <f t="shared" si="76"/>
        <v>0</v>
      </c>
      <c r="AN354">
        <f t="shared" si="77"/>
        <v>0</v>
      </c>
      <c r="AO354">
        <f t="shared" si="78"/>
        <v>0</v>
      </c>
      <c r="AQ354" t="str">
        <f t="shared" si="79"/>
        <v>94_1_4</v>
      </c>
      <c r="AR354">
        <f t="shared" si="80"/>
        <v>0</v>
      </c>
      <c r="AS354">
        <f t="shared" si="81"/>
        <v>0</v>
      </c>
      <c r="AT354">
        <f t="shared" si="82"/>
        <v>0</v>
      </c>
      <c r="AU354">
        <f t="shared" si="83"/>
        <v>0</v>
      </c>
      <c r="AV354">
        <f t="shared" si="84"/>
        <v>0</v>
      </c>
    </row>
    <row r="355" spans="1:48">
      <c r="A355">
        <v>94</v>
      </c>
      <c r="B355">
        <v>1</v>
      </c>
      <c r="C355">
        <v>5</v>
      </c>
      <c r="D355" t="str">
        <f t="shared" si="71"/>
        <v>94_1_5</v>
      </c>
      <c r="E355">
        <v>0</v>
      </c>
      <c r="F355">
        <v>0</v>
      </c>
      <c r="G355">
        <v>0</v>
      </c>
      <c r="H355">
        <v>0</v>
      </c>
      <c r="I355">
        <v>0</v>
      </c>
      <c r="L355">
        <v>0</v>
      </c>
      <c r="M355" t="s">
        <v>11</v>
      </c>
      <c r="N355" t="s">
        <v>11</v>
      </c>
      <c r="O355" t="s">
        <v>11</v>
      </c>
      <c r="P355" t="s">
        <v>11</v>
      </c>
      <c r="Q355" t="s">
        <v>11</v>
      </c>
      <c r="S355">
        <v>0</v>
      </c>
      <c r="T355">
        <v>0</v>
      </c>
      <c r="W355">
        <v>0</v>
      </c>
      <c r="X355">
        <v>0</v>
      </c>
      <c r="Z355">
        <v>0</v>
      </c>
      <c r="AI355">
        <f t="shared" si="72"/>
        <v>0</v>
      </c>
      <c r="AJ355">
        <f t="shared" si="73"/>
        <v>0</v>
      </c>
      <c r="AK355">
        <f t="shared" si="74"/>
        <v>0</v>
      </c>
      <c r="AL355">
        <f t="shared" si="75"/>
        <v>0</v>
      </c>
      <c r="AM355">
        <f t="shared" si="76"/>
        <v>0</v>
      </c>
      <c r="AN355">
        <f t="shared" si="77"/>
        <v>0</v>
      </c>
      <c r="AO355">
        <f t="shared" si="78"/>
        <v>0</v>
      </c>
      <c r="AQ355" t="str">
        <f t="shared" si="79"/>
        <v>94_1_5</v>
      </c>
      <c r="AR355">
        <f t="shared" si="80"/>
        <v>0</v>
      </c>
      <c r="AS355">
        <f t="shared" si="81"/>
        <v>0</v>
      </c>
      <c r="AT355">
        <f t="shared" si="82"/>
        <v>0</v>
      </c>
      <c r="AU355">
        <f t="shared" si="83"/>
        <v>0</v>
      </c>
      <c r="AV355">
        <f t="shared" si="84"/>
        <v>0</v>
      </c>
    </row>
    <row r="356" spans="1:48">
      <c r="A356">
        <v>94</v>
      </c>
      <c r="B356">
        <v>1</v>
      </c>
      <c r="C356">
        <v>6</v>
      </c>
      <c r="D356" t="str">
        <f t="shared" si="71"/>
        <v>94_1_6</v>
      </c>
      <c r="E356">
        <v>0</v>
      </c>
      <c r="F356">
        <v>0</v>
      </c>
      <c r="G356">
        <v>0</v>
      </c>
      <c r="H356">
        <v>0</v>
      </c>
      <c r="I356">
        <v>0</v>
      </c>
      <c r="L356">
        <v>0</v>
      </c>
      <c r="M356" t="s">
        <v>11</v>
      </c>
      <c r="N356" t="s">
        <v>11</v>
      </c>
      <c r="O356" t="s">
        <v>11</v>
      </c>
      <c r="P356" t="s">
        <v>11</v>
      </c>
      <c r="Q356" t="s">
        <v>11</v>
      </c>
      <c r="S356">
        <v>0</v>
      </c>
      <c r="T356">
        <v>0</v>
      </c>
      <c r="W356">
        <v>0</v>
      </c>
      <c r="X356">
        <v>0</v>
      </c>
      <c r="Z356">
        <v>0</v>
      </c>
      <c r="AI356">
        <f t="shared" si="72"/>
        <v>0</v>
      </c>
      <c r="AJ356">
        <f t="shared" si="73"/>
        <v>0</v>
      </c>
      <c r="AK356">
        <f t="shared" si="74"/>
        <v>0</v>
      </c>
      <c r="AL356">
        <f t="shared" si="75"/>
        <v>0</v>
      </c>
      <c r="AM356">
        <f t="shared" si="76"/>
        <v>0</v>
      </c>
      <c r="AN356">
        <f t="shared" si="77"/>
        <v>0</v>
      </c>
      <c r="AO356">
        <f t="shared" si="78"/>
        <v>0</v>
      </c>
      <c r="AQ356" t="str">
        <f t="shared" si="79"/>
        <v>94_1_6</v>
      </c>
      <c r="AR356">
        <f t="shared" si="80"/>
        <v>0</v>
      </c>
      <c r="AS356">
        <f t="shared" si="81"/>
        <v>0</v>
      </c>
      <c r="AT356">
        <f t="shared" si="82"/>
        <v>0</v>
      </c>
      <c r="AU356">
        <f t="shared" si="83"/>
        <v>0</v>
      </c>
      <c r="AV356">
        <f t="shared" si="84"/>
        <v>0</v>
      </c>
    </row>
    <row r="357" spans="1:48">
      <c r="A357">
        <v>94</v>
      </c>
      <c r="B357">
        <v>1</v>
      </c>
      <c r="C357">
        <v>7</v>
      </c>
      <c r="D357" t="str">
        <f t="shared" si="71"/>
        <v>94_1_7</v>
      </c>
      <c r="E357">
        <v>0</v>
      </c>
      <c r="F357">
        <v>0</v>
      </c>
      <c r="G357">
        <v>0</v>
      </c>
      <c r="H357">
        <v>0</v>
      </c>
      <c r="I357">
        <v>0</v>
      </c>
      <c r="L357">
        <v>0</v>
      </c>
      <c r="M357" t="s">
        <v>11</v>
      </c>
      <c r="N357" t="s">
        <v>11</v>
      </c>
      <c r="O357" t="s">
        <v>11</v>
      </c>
      <c r="P357" t="s">
        <v>11</v>
      </c>
      <c r="Q357" t="s">
        <v>11</v>
      </c>
      <c r="S357">
        <v>0</v>
      </c>
      <c r="T357">
        <v>0</v>
      </c>
      <c r="W357">
        <v>0</v>
      </c>
      <c r="X357">
        <v>0</v>
      </c>
      <c r="Z357">
        <v>0</v>
      </c>
      <c r="AI357">
        <f t="shared" si="72"/>
        <v>0</v>
      </c>
      <c r="AJ357">
        <f t="shared" si="73"/>
        <v>0</v>
      </c>
      <c r="AK357">
        <f t="shared" si="74"/>
        <v>0</v>
      </c>
      <c r="AL357">
        <f t="shared" si="75"/>
        <v>0</v>
      </c>
      <c r="AM357">
        <f t="shared" si="76"/>
        <v>0</v>
      </c>
      <c r="AN357">
        <f t="shared" si="77"/>
        <v>0</v>
      </c>
      <c r="AO357">
        <f t="shared" si="78"/>
        <v>0</v>
      </c>
      <c r="AQ357" t="str">
        <f t="shared" si="79"/>
        <v>94_1_7</v>
      </c>
      <c r="AR357">
        <f t="shared" si="80"/>
        <v>0</v>
      </c>
      <c r="AS357">
        <f t="shared" si="81"/>
        <v>0</v>
      </c>
      <c r="AT357">
        <f t="shared" si="82"/>
        <v>0</v>
      </c>
      <c r="AU357">
        <f t="shared" si="83"/>
        <v>0</v>
      </c>
      <c r="AV357">
        <f t="shared" si="84"/>
        <v>0</v>
      </c>
    </row>
    <row r="358" spans="1:48">
      <c r="A358">
        <v>94</v>
      </c>
      <c r="B358">
        <v>1</v>
      </c>
      <c r="C358">
        <v>8</v>
      </c>
      <c r="D358" t="str">
        <f t="shared" si="71"/>
        <v>94_1_8</v>
      </c>
      <c r="E358">
        <v>0</v>
      </c>
      <c r="F358">
        <v>0</v>
      </c>
      <c r="G358">
        <v>0</v>
      </c>
      <c r="H358">
        <v>0</v>
      </c>
      <c r="I358">
        <v>0</v>
      </c>
      <c r="L358">
        <v>0</v>
      </c>
      <c r="M358" t="s">
        <v>11</v>
      </c>
      <c r="N358" t="s">
        <v>11</v>
      </c>
      <c r="O358" t="s">
        <v>11</v>
      </c>
      <c r="P358" t="s">
        <v>11</v>
      </c>
      <c r="Q358" t="s">
        <v>11</v>
      </c>
      <c r="S358">
        <v>0</v>
      </c>
      <c r="T358">
        <v>0</v>
      </c>
      <c r="W358">
        <v>0</v>
      </c>
      <c r="X358">
        <v>0</v>
      </c>
      <c r="Z358">
        <v>0</v>
      </c>
      <c r="AI358">
        <f t="shared" si="72"/>
        <v>0</v>
      </c>
      <c r="AJ358">
        <f t="shared" si="73"/>
        <v>0</v>
      </c>
      <c r="AK358">
        <f t="shared" si="74"/>
        <v>0</v>
      </c>
      <c r="AL358">
        <f t="shared" si="75"/>
        <v>0</v>
      </c>
      <c r="AM358">
        <f t="shared" si="76"/>
        <v>0</v>
      </c>
      <c r="AN358">
        <f t="shared" si="77"/>
        <v>0</v>
      </c>
      <c r="AO358">
        <f t="shared" si="78"/>
        <v>0</v>
      </c>
      <c r="AQ358" t="str">
        <f t="shared" si="79"/>
        <v>94_1_8</v>
      </c>
      <c r="AR358">
        <f t="shared" si="80"/>
        <v>0</v>
      </c>
      <c r="AS358">
        <f t="shared" si="81"/>
        <v>0</v>
      </c>
      <c r="AT358">
        <f t="shared" si="82"/>
        <v>0</v>
      </c>
      <c r="AU358">
        <f t="shared" si="83"/>
        <v>0</v>
      </c>
      <c r="AV358">
        <f t="shared" si="84"/>
        <v>0</v>
      </c>
    </row>
    <row r="359" spans="1:48">
      <c r="A359">
        <v>94</v>
      </c>
      <c r="B359">
        <v>1</v>
      </c>
      <c r="C359">
        <v>9</v>
      </c>
      <c r="D359" t="str">
        <f t="shared" si="71"/>
        <v>94_1_9</v>
      </c>
      <c r="E359">
        <v>0</v>
      </c>
      <c r="F359">
        <v>0</v>
      </c>
      <c r="G359">
        <v>0</v>
      </c>
      <c r="H359">
        <v>0</v>
      </c>
      <c r="I359">
        <v>0</v>
      </c>
      <c r="L359">
        <v>0</v>
      </c>
      <c r="M359" t="s">
        <v>11</v>
      </c>
      <c r="N359" t="s">
        <v>11</v>
      </c>
      <c r="O359" t="s">
        <v>11</v>
      </c>
      <c r="P359" t="s">
        <v>11</v>
      </c>
      <c r="Q359" t="s">
        <v>11</v>
      </c>
      <c r="S359">
        <v>0</v>
      </c>
      <c r="T359">
        <v>0</v>
      </c>
      <c r="W359">
        <v>0</v>
      </c>
      <c r="X359">
        <v>0</v>
      </c>
      <c r="Z359">
        <v>0</v>
      </c>
      <c r="AI359">
        <f t="shared" si="72"/>
        <v>0</v>
      </c>
      <c r="AJ359">
        <f t="shared" si="73"/>
        <v>0</v>
      </c>
      <c r="AK359">
        <f t="shared" si="74"/>
        <v>0</v>
      </c>
      <c r="AL359">
        <f t="shared" si="75"/>
        <v>0</v>
      </c>
      <c r="AM359">
        <f t="shared" si="76"/>
        <v>0</v>
      </c>
      <c r="AN359">
        <f t="shared" si="77"/>
        <v>0</v>
      </c>
      <c r="AO359">
        <f t="shared" si="78"/>
        <v>0</v>
      </c>
      <c r="AQ359" t="str">
        <f t="shared" si="79"/>
        <v>94_1_9</v>
      </c>
      <c r="AR359">
        <f t="shared" si="80"/>
        <v>0</v>
      </c>
      <c r="AS359">
        <f t="shared" si="81"/>
        <v>0</v>
      </c>
      <c r="AT359">
        <f t="shared" si="82"/>
        <v>0</v>
      </c>
      <c r="AU359">
        <f t="shared" si="83"/>
        <v>0</v>
      </c>
      <c r="AV359">
        <f t="shared" si="84"/>
        <v>0</v>
      </c>
    </row>
    <row r="360" spans="1:48">
      <c r="A360">
        <v>94</v>
      </c>
      <c r="B360">
        <v>1</v>
      </c>
      <c r="C360">
        <v>10</v>
      </c>
      <c r="D360" t="str">
        <f t="shared" si="71"/>
        <v>94_1_10</v>
      </c>
      <c r="E360">
        <v>0</v>
      </c>
      <c r="F360">
        <v>0.625</v>
      </c>
      <c r="G360">
        <v>1.125</v>
      </c>
      <c r="H360">
        <v>1.125</v>
      </c>
      <c r="I360">
        <v>0.25</v>
      </c>
      <c r="J360">
        <v>0.74250000000000005</v>
      </c>
      <c r="K360">
        <v>0.63249999999999995</v>
      </c>
      <c r="L360">
        <v>3.125</v>
      </c>
      <c r="M360" t="s">
        <v>31</v>
      </c>
      <c r="N360" t="s">
        <v>32</v>
      </c>
      <c r="O360" t="s">
        <v>32</v>
      </c>
      <c r="P360" t="s">
        <v>33</v>
      </c>
      <c r="Q360">
        <v>72</v>
      </c>
      <c r="S360">
        <v>0.74250000000000005</v>
      </c>
      <c r="T360">
        <v>0.63249999999999995</v>
      </c>
      <c r="U360">
        <v>0</v>
      </c>
      <c r="V360">
        <v>0</v>
      </c>
      <c r="W360">
        <v>0</v>
      </c>
      <c r="X360">
        <v>0.14850000000000002</v>
      </c>
      <c r="Y360">
        <v>0.14850000000000002</v>
      </c>
      <c r="Z360">
        <v>0</v>
      </c>
      <c r="AA360">
        <v>0.63249999999999995</v>
      </c>
      <c r="AI360">
        <f t="shared" si="72"/>
        <v>0</v>
      </c>
      <c r="AJ360">
        <f t="shared" si="73"/>
        <v>0</v>
      </c>
      <c r="AK360">
        <f t="shared" si="74"/>
        <v>0</v>
      </c>
      <c r="AL360">
        <f t="shared" si="75"/>
        <v>0.14850000000000002</v>
      </c>
      <c r="AM360">
        <f t="shared" si="76"/>
        <v>0.14850000000000002</v>
      </c>
      <c r="AN360">
        <f t="shared" si="77"/>
        <v>0</v>
      </c>
      <c r="AO360">
        <f t="shared" si="78"/>
        <v>0.63249999999999995</v>
      </c>
      <c r="AQ360" t="str">
        <f t="shared" si="79"/>
        <v>94_1_10</v>
      </c>
      <c r="AR360">
        <f t="shared" si="80"/>
        <v>0.625</v>
      </c>
      <c r="AS360">
        <f t="shared" si="81"/>
        <v>0</v>
      </c>
      <c r="AT360">
        <f t="shared" si="82"/>
        <v>1.125</v>
      </c>
      <c r="AU360">
        <f t="shared" si="83"/>
        <v>0</v>
      </c>
      <c r="AV360">
        <f t="shared" si="84"/>
        <v>0.63249999999999995</v>
      </c>
    </row>
    <row r="361" spans="1:48">
      <c r="A361">
        <v>94</v>
      </c>
      <c r="B361">
        <v>2</v>
      </c>
      <c r="C361">
        <v>1</v>
      </c>
      <c r="D361" t="str">
        <f t="shared" si="71"/>
        <v>94_2_1</v>
      </c>
      <c r="E361">
        <v>0</v>
      </c>
      <c r="F361">
        <v>1.625</v>
      </c>
      <c r="G361">
        <v>0</v>
      </c>
      <c r="H361">
        <v>3</v>
      </c>
      <c r="I361">
        <v>0.5</v>
      </c>
      <c r="J361">
        <v>1.8900000000000001</v>
      </c>
      <c r="K361">
        <v>1.6099999999999999</v>
      </c>
      <c r="L361">
        <v>5.125</v>
      </c>
      <c r="M361" t="s">
        <v>31</v>
      </c>
      <c r="N361" t="s">
        <v>32</v>
      </c>
      <c r="O361" t="s">
        <v>43</v>
      </c>
      <c r="P361" t="s">
        <v>33</v>
      </c>
      <c r="Q361">
        <v>72</v>
      </c>
      <c r="S361">
        <v>1.8900000000000001</v>
      </c>
      <c r="T361">
        <v>1.6099999999999999</v>
      </c>
      <c r="U361">
        <v>0</v>
      </c>
      <c r="V361">
        <v>0</v>
      </c>
      <c r="W361">
        <v>0</v>
      </c>
      <c r="X361">
        <v>0.37800000000000006</v>
      </c>
      <c r="Y361">
        <v>0.37800000000000006</v>
      </c>
      <c r="Z361">
        <v>0</v>
      </c>
      <c r="AA361">
        <v>1.6099999999999999</v>
      </c>
      <c r="AI361">
        <f t="shared" si="72"/>
        <v>0</v>
      </c>
      <c r="AJ361">
        <f t="shared" si="73"/>
        <v>0</v>
      </c>
      <c r="AK361">
        <f t="shared" si="74"/>
        <v>0</v>
      </c>
      <c r="AL361">
        <f t="shared" si="75"/>
        <v>0.37800000000000006</v>
      </c>
      <c r="AM361">
        <f t="shared" si="76"/>
        <v>0.37800000000000006</v>
      </c>
      <c r="AN361">
        <f t="shared" si="77"/>
        <v>0</v>
      </c>
      <c r="AO361">
        <f t="shared" si="78"/>
        <v>1.6099999999999999</v>
      </c>
      <c r="AQ361" t="str">
        <f t="shared" si="79"/>
        <v>94_2_1</v>
      </c>
      <c r="AR361">
        <f t="shared" si="80"/>
        <v>1.625</v>
      </c>
      <c r="AS361">
        <f t="shared" si="81"/>
        <v>0</v>
      </c>
      <c r="AT361">
        <f t="shared" si="82"/>
        <v>0</v>
      </c>
      <c r="AU361">
        <f t="shared" si="83"/>
        <v>0</v>
      </c>
      <c r="AV361">
        <f t="shared" si="84"/>
        <v>1.6099999999999999</v>
      </c>
    </row>
    <row r="362" spans="1:48">
      <c r="A362">
        <v>94</v>
      </c>
      <c r="B362">
        <v>3</v>
      </c>
      <c r="C362">
        <v>1</v>
      </c>
      <c r="D362" t="str">
        <f t="shared" si="71"/>
        <v>94_3_1</v>
      </c>
      <c r="E362">
        <v>0</v>
      </c>
      <c r="F362">
        <v>0.625</v>
      </c>
      <c r="G362">
        <v>0</v>
      </c>
      <c r="H362">
        <v>1.125</v>
      </c>
      <c r="I362">
        <v>0.25</v>
      </c>
      <c r="J362">
        <v>0.74250000000000005</v>
      </c>
      <c r="K362">
        <v>0.63249999999999995</v>
      </c>
      <c r="L362">
        <v>2</v>
      </c>
      <c r="M362" t="s">
        <v>31</v>
      </c>
      <c r="N362" t="s">
        <v>32</v>
      </c>
      <c r="O362" t="s">
        <v>43</v>
      </c>
      <c r="P362" t="s">
        <v>33</v>
      </c>
      <c r="Q362">
        <v>72</v>
      </c>
      <c r="S362">
        <v>0.74250000000000005</v>
      </c>
      <c r="T362">
        <v>0.63249999999999995</v>
      </c>
      <c r="U362">
        <v>0</v>
      </c>
      <c r="V362">
        <v>0</v>
      </c>
      <c r="W362">
        <v>0</v>
      </c>
      <c r="X362">
        <v>0.14850000000000002</v>
      </c>
      <c r="Y362">
        <v>0.14850000000000002</v>
      </c>
      <c r="Z362">
        <v>0</v>
      </c>
      <c r="AA362">
        <v>0.63249999999999995</v>
      </c>
      <c r="AI362">
        <f t="shared" si="72"/>
        <v>0</v>
      </c>
      <c r="AJ362">
        <f t="shared" si="73"/>
        <v>0</v>
      </c>
      <c r="AK362">
        <f t="shared" si="74"/>
        <v>0</v>
      </c>
      <c r="AL362">
        <f t="shared" si="75"/>
        <v>0.14850000000000002</v>
      </c>
      <c r="AM362">
        <f t="shared" si="76"/>
        <v>0.14850000000000002</v>
      </c>
      <c r="AN362">
        <f t="shared" si="77"/>
        <v>0</v>
      </c>
      <c r="AO362">
        <f t="shared" si="78"/>
        <v>0.63249999999999995</v>
      </c>
      <c r="AQ362" t="str">
        <f t="shared" si="79"/>
        <v>94_3_1</v>
      </c>
      <c r="AR362">
        <f t="shared" si="80"/>
        <v>0.625</v>
      </c>
      <c r="AS362">
        <f t="shared" si="81"/>
        <v>0</v>
      </c>
      <c r="AT362">
        <f t="shared" si="82"/>
        <v>0</v>
      </c>
      <c r="AU362">
        <f t="shared" si="83"/>
        <v>0</v>
      </c>
      <c r="AV362">
        <f t="shared" si="84"/>
        <v>0.63249999999999995</v>
      </c>
    </row>
    <row r="363" spans="1:48">
      <c r="A363">
        <v>95</v>
      </c>
      <c r="B363" t="s">
        <v>10</v>
      </c>
      <c r="C363" t="s">
        <v>10</v>
      </c>
      <c r="D363" t="str">
        <f t="shared" si="71"/>
        <v>95</v>
      </c>
      <c r="E363" t="s">
        <v>10</v>
      </c>
      <c r="F363" t="s">
        <v>10</v>
      </c>
      <c r="G363" t="s">
        <v>10</v>
      </c>
      <c r="H363" t="s">
        <v>10</v>
      </c>
      <c r="I363" t="s">
        <v>10</v>
      </c>
      <c r="L363">
        <v>0</v>
      </c>
      <c r="M363" t="s">
        <v>11</v>
      </c>
      <c r="N363" t="s">
        <v>11</v>
      </c>
      <c r="O363" t="s">
        <v>11</v>
      </c>
      <c r="P363" t="s">
        <v>11</v>
      </c>
      <c r="Q363" t="s">
        <v>11</v>
      </c>
      <c r="R363" t="s">
        <v>46</v>
      </c>
      <c r="AI363">
        <f t="shared" si="72"/>
        <v>0</v>
      </c>
      <c r="AJ363">
        <f t="shared" si="73"/>
        <v>0</v>
      </c>
      <c r="AK363">
        <f t="shared" si="74"/>
        <v>0</v>
      </c>
      <c r="AL363">
        <f t="shared" si="75"/>
        <v>0</v>
      </c>
      <c r="AM363">
        <f t="shared" si="76"/>
        <v>0</v>
      </c>
      <c r="AN363">
        <f t="shared" si="77"/>
        <v>0</v>
      </c>
      <c r="AO363">
        <f t="shared" si="78"/>
        <v>0</v>
      </c>
      <c r="AQ363" t="str">
        <f t="shared" si="79"/>
        <v>95</v>
      </c>
      <c r="AR363" t="str">
        <f t="shared" si="80"/>
        <v/>
      </c>
      <c r="AS363">
        <f t="shared" si="81"/>
        <v>0</v>
      </c>
      <c r="AT363" t="str">
        <f t="shared" si="82"/>
        <v/>
      </c>
      <c r="AU363">
        <f t="shared" si="83"/>
        <v>0</v>
      </c>
      <c r="AV363">
        <f t="shared" si="84"/>
        <v>0</v>
      </c>
    </row>
    <row r="364" spans="1:48">
      <c r="A364">
        <v>95</v>
      </c>
      <c r="B364">
        <v>1</v>
      </c>
      <c r="C364" t="s">
        <v>10</v>
      </c>
      <c r="D364" t="str">
        <f t="shared" si="71"/>
        <v>95_1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11</v>
      </c>
      <c r="N364" t="s">
        <v>11</v>
      </c>
      <c r="O364" t="s">
        <v>11</v>
      </c>
      <c r="P364" t="s">
        <v>11</v>
      </c>
      <c r="Q364" t="s">
        <v>11</v>
      </c>
      <c r="S364">
        <v>0</v>
      </c>
      <c r="T364">
        <v>0</v>
      </c>
      <c r="W364">
        <v>0</v>
      </c>
      <c r="X364">
        <v>0</v>
      </c>
      <c r="Z364">
        <v>0</v>
      </c>
      <c r="AI364">
        <f t="shared" si="72"/>
        <v>0</v>
      </c>
      <c r="AJ364">
        <f t="shared" si="73"/>
        <v>0</v>
      </c>
      <c r="AK364">
        <f t="shared" si="74"/>
        <v>0</v>
      </c>
      <c r="AL364">
        <f t="shared" si="75"/>
        <v>0</v>
      </c>
      <c r="AM364">
        <f t="shared" si="76"/>
        <v>0</v>
      </c>
      <c r="AN364">
        <f t="shared" si="77"/>
        <v>0</v>
      </c>
      <c r="AO364">
        <f t="shared" si="78"/>
        <v>0</v>
      </c>
      <c r="AQ364" t="str">
        <f t="shared" si="79"/>
        <v>95_1</v>
      </c>
      <c r="AR364">
        <f t="shared" si="80"/>
        <v>0</v>
      </c>
      <c r="AS364">
        <f t="shared" si="81"/>
        <v>0</v>
      </c>
      <c r="AT364">
        <f t="shared" si="82"/>
        <v>0</v>
      </c>
      <c r="AU364">
        <f t="shared" si="83"/>
        <v>0</v>
      </c>
      <c r="AV364">
        <f t="shared" si="84"/>
        <v>0</v>
      </c>
    </row>
    <row r="365" spans="1:48">
      <c r="A365">
        <v>96</v>
      </c>
      <c r="B365" t="s">
        <v>10</v>
      </c>
      <c r="C365" t="s">
        <v>10</v>
      </c>
      <c r="D365" t="str">
        <f t="shared" si="71"/>
        <v>96</v>
      </c>
      <c r="E365" t="s">
        <v>10</v>
      </c>
      <c r="F365" t="s">
        <v>10</v>
      </c>
      <c r="G365" t="s">
        <v>10</v>
      </c>
      <c r="H365" t="s">
        <v>10</v>
      </c>
      <c r="I365" t="s">
        <v>10</v>
      </c>
      <c r="L365">
        <v>0</v>
      </c>
      <c r="M365" t="s">
        <v>11</v>
      </c>
      <c r="N365" t="s">
        <v>11</v>
      </c>
      <c r="O365" t="s">
        <v>11</v>
      </c>
      <c r="P365" t="s">
        <v>11</v>
      </c>
      <c r="Q365" t="s">
        <v>11</v>
      </c>
      <c r="R365" t="s">
        <v>46</v>
      </c>
      <c r="AI365">
        <f t="shared" si="72"/>
        <v>0</v>
      </c>
      <c r="AJ365">
        <f t="shared" si="73"/>
        <v>0</v>
      </c>
      <c r="AK365">
        <f t="shared" si="74"/>
        <v>0</v>
      </c>
      <c r="AL365">
        <f t="shared" si="75"/>
        <v>0</v>
      </c>
      <c r="AM365">
        <f t="shared" si="76"/>
        <v>0</v>
      </c>
      <c r="AN365">
        <f t="shared" si="77"/>
        <v>0</v>
      </c>
      <c r="AO365">
        <f t="shared" si="78"/>
        <v>0</v>
      </c>
      <c r="AQ365" t="str">
        <f t="shared" si="79"/>
        <v>96</v>
      </c>
      <c r="AR365" t="str">
        <f t="shared" si="80"/>
        <v/>
      </c>
      <c r="AS365">
        <f t="shared" si="81"/>
        <v>0</v>
      </c>
      <c r="AT365" t="str">
        <f t="shared" si="82"/>
        <v/>
      </c>
      <c r="AU365">
        <f t="shared" si="83"/>
        <v>0</v>
      </c>
      <c r="AV365">
        <f t="shared" si="84"/>
        <v>0</v>
      </c>
    </row>
    <row r="366" spans="1:48">
      <c r="A366">
        <v>96</v>
      </c>
      <c r="B366">
        <v>1</v>
      </c>
      <c r="D366" t="str">
        <f t="shared" si="71"/>
        <v>96_1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11</v>
      </c>
      <c r="N366" t="s">
        <v>11</v>
      </c>
      <c r="O366" t="s">
        <v>11</v>
      </c>
      <c r="P366" t="s">
        <v>11</v>
      </c>
      <c r="Q366" t="s">
        <v>11</v>
      </c>
      <c r="S366">
        <v>0</v>
      </c>
      <c r="T366">
        <v>0</v>
      </c>
      <c r="W366">
        <v>0</v>
      </c>
      <c r="X366">
        <v>0</v>
      </c>
      <c r="Z366">
        <v>0</v>
      </c>
      <c r="AI366">
        <f t="shared" si="72"/>
        <v>0</v>
      </c>
      <c r="AJ366">
        <f t="shared" si="73"/>
        <v>0</v>
      </c>
      <c r="AK366">
        <f t="shared" si="74"/>
        <v>0</v>
      </c>
      <c r="AL366">
        <f t="shared" si="75"/>
        <v>0</v>
      </c>
      <c r="AM366">
        <f t="shared" si="76"/>
        <v>0</v>
      </c>
      <c r="AN366">
        <f t="shared" si="77"/>
        <v>0</v>
      </c>
      <c r="AO366">
        <f t="shared" si="78"/>
        <v>0</v>
      </c>
      <c r="AQ366" t="str">
        <f t="shared" si="79"/>
        <v>96_1</v>
      </c>
      <c r="AR366">
        <f t="shared" si="80"/>
        <v>0</v>
      </c>
      <c r="AS366">
        <f t="shared" si="81"/>
        <v>0</v>
      </c>
      <c r="AT366">
        <f t="shared" si="82"/>
        <v>0</v>
      </c>
      <c r="AU366">
        <f t="shared" si="83"/>
        <v>0</v>
      </c>
      <c r="AV366">
        <f t="shared" si="84"/>
        <v>0</v>
      </c>
    </row>
    <row r="367" spans="1:48">
      <c r="A367">
        <v>97</v>
      </c>
      <c r="B367" t="s">
        <v>10</v>
      </c>
      <c r="C367" t="s">
        <v>10</v>
      </c>
      <c r="D367" t="str">
        <f t="shared" si="71"/>
        <v>97</v>
      </c>
      <c r="E367" t="s">
        <v>10</v>
      </c>
      <c r="F367" t="s">
        <v>10</v>
      </c>
      <c r="G367" t="s">
        <v>10</v>
      </c>
      <c r="H367" t="s">
        <v>10</v>
      </c>
      <c r="I367" t="s">
        <v>10</v>
      </c>
      <c r="L367">
        <v>0</v>
      </c>
      <c r="M367" t="s">
        <v>11</v>
      </c>
      <c r="N367" t="s">
        <v>11</v>
      </c>
      <c r="O367" t="s">
        <v>11</v>
      </c>
      <c r="P367" t="s">
        <v>11</v>
      </c>
      <c r="Q367" t="s">
        <v>11</v>
      </c>
      <c r="R367" t="s">
        <v>46</v>
      </c>
      <c r="AI367">
        <f t="shared" si="72"/>
        <v>0</v>
      </c>
      <c r="AJ367">
        <f t="shared" si="73"/>
        <v>0</v>
      </c>
      <c r="AK367">
        <f t="shared" si="74"/>
        <v>0</v>
      </c>
      <c r="AL367">
        <f t="shared" si="75"/>
        <v>0</v>
      </c>
      <c r="AM367">
        <f t="shared" si="76"/>
        <v>0</v>
      </c>
      <c r="AN367">
        <f t="shared" si="77"/>
        <v>0</v>
      </c>
      <c r="AO367">
        <f t="shared" si="78"/>
        <v>0</v>
      </c>
      <c r="AQ367" t="str">
        <f t="shared" si="79"/>
        <v>97</v>
      </c>
      <c r="AR367" t="str">
        <f t="shared" si="80"/>
        <v/>
      </c>
      <c r="AS367">
        <f t="shared" si="81"/>
        <v>0</v>
      </c>
      <c r="AT367" t="str">
        <f t="shared" si="82"/>
        <v/>
      </c>
      <c r="AU367">
        <f t="shared" si="83"/>
        <v>0</v>
      </c>
      <c r="AV367">
        <f t="shared" si="84"/>
        <v>0</v>
      </c>
    </row>
    <row r="368" spans="1:48">
      <c r="A368">
        <v>97</v>
      </c>
      <c r="B368">
        <v>1</v>
      </c>
      <c r="C368" t="s">
        <v>10</v>
      </c>
      <c r="D368" t="str">
        <f t="shared" si="71"/>
        <v>97_1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11</v>
      </c>
      <c r="N368" t="s">
        <v>11</v>
      </c>
      <c r="O368" t="s">
        <v>11</v>
      </c>
      <c r="P368" t="s">
        <v>11</v>
      </c>
      <c r="Q368" t="s">
        <v>11</v>
      </c>
      <c r="S368">
        <v>0</v>
      </c>
      <c r="T368">
        <v>0</v>
      </c>
      <c r="W368">
        <v>0</v>
      </c>
      <c r="X368">
        <v>0</v>
      </c>
      <c r="Z368">
        <v>0</v>
      </c>
      <c r="AI368">
        <f t="shared" si="72"/>
        <v>0</v>
      </c>
      <c r="AJ368">
        <f t="shared" si="73"/>
        <v>0</v>
      </c>
      <c r="AK368">
        <f t="shared" si="74"/>
        <v>0</v>
      </c>
      <c r="AL368">
        <f t="shared" si="75"/>
        <v>0</v>
      </c>
      <c r="AM368">
        <f t="shared" si="76"/>
        <v>0</v>
      </c>
      <c r="AN368">
        <f t="shared" si="77"/>
        <v>0</v>
      </c>
      <c r="AO368">
        <f t="shared" si="78"/>
        <v>0</v>
      </c>
      <c r="AQ368" t="str">
        <f t="shared" si="79"/>
        <v>97_1</v>
      </c>
      <c r="AR368">
        <f t="shared" si="80"/>
        <v>0</v>
      </c>
      <c r="AS368">
        <f t="shared" si="81"/>
        <v>0</v>
      </c>
      <c r="AT368">
        <f t="shared" si="82"/>
        <v>0</v>
      </c>
      <c r="AU368">
        <f t="shared" si="83"/>
        <v>0</v>
      </c>
      <c r="AV368">
        <f t="shared" si="84"/>
        <v>0</v>
      </c>
    </row>
    <row r="369" spans="1:48">
      <c r="A369">
        <v>98</v>
      </c>
      <c r="B369" t="s">
        <v>10</v>
      </c>
      <c r="C369" t="s">
        <v>10</v>
      </c>
      <c r="D369" t="str">
        <f t="shared" si="71"/>
        <v>98</v>
      </c>
      <c r="E369" t="s">
        <v>10</v>
      </c>
      <c r="F369" t="s">
        <v>10</v>
      </c>
      <c r="G369" t="s">
        <v>10</v>
      </c>
      <c r="H369" t="s">
        <v>10</v>
      </c>
      <c r="I369" t="s">
        <v>10</v>
      </c>
      <c r="L369">
        <v>0</v>
      </c>
      <c r="M369" t="s">
        <v>11</v>
      </c>
      <c r="N369" t="s">
        <v>11</v>
      </c>
      <c r="O369" t="s">
        <v>11</v>
      </c>
      <c r="P369" t="s">
        <v>11</v>
      </c>
      <c r="Q369" t="s">
        <v>11</v>
      </c>
      <c r="R369" t="s">
        <v>46</v>
      </c>
      <c r="AI369">
        <f t="shared" si="72"/>
        <v>0</v>
      </c>
      <c r="AJ369">
        <f t="shared" si="73"/>
        <v>0</v>
      </c>
      <c r="AK369">
        <f t="shared" si="74"/>
        <v>0</v>
      </c>
      <c r="AL369">
        <f t="shared" si="75"/>
        <v>0</v>
      </c>
      <c r="AM369">
        <f t="shared" si="76"/>
        <v>0</v>
      </c>
      <c r="AN369">
        <f t="shared" si="77"/>
        <v>0</v>
      </c>
      <c r="AO369">
        <f t="shared" si="78"/>
        <v>0</v>
      </c>
      <c r="AQ369" t="str">
        <f t="shared" si="79"/>
        <v>98</v>
      </c>
      <c r="AR369" t="str">
        <f t="shared" si="80"/>
        <v/>
      </c>
      <c r="AS369">
        <f t="shared" si="81"/>
        <v>0</v>
      </c>
      <c r="AT369" t="str">
        <f t="shared" si="82"/>
        <v/>
      </c>
      <c r="AU369">
        <f t="shared" si="83"/>
        <v>0</v>
      </c>
      <c r="AV369">
        <f t="shared" si="84"/>
        <v>0</v>
      </c>
    </row>
    <row r="370" spans="1:48">
      <c r="A370">
        <v>98</v>
      </c>
      <c r="B370">
        <v>1</v>
      </c>
      <c r="C370" t="s">
        <v>10</v>
      </c>
      <c r="D370" t="str">
        <f t="shared" si="71"/>
        <v>98_1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11</v>
      </c>
      <c r="N370" t="s">
        <v>11</v>
      </c>
      <c r="O370" t="s">
        <v>11</v>
      </c>
      <c r="P370" t="s">
        <v>11</v>
      </c>
      <c r="Q370" t="s">
        <v>11</v>
      </c>
      <c r="S370">
        <v>0</v>
      </c>
      <c r="T370">
        <v>0</v>
      </c>
      <c r="W370">
        <v>0</v>
      </c>
      <c r="X370">
        <v>0</v>
      </c>
      <c r="Z370">
        <v>0</v>
      </c>
      <c r="AI370">
        <f t="shared" si="72"/>
        <v>0</v>
      </c>
      <c r="AJ370">
        <f t="shared" si="73"/>
        <v>0</v>
      </c>
      <c r="AK370">
        <f t="shared" si="74"/>
        <v>0</v>
      </c>
      <c r="AL370">
        <f t="shared" si="75"/>
        <v>0</v>
      </c>
      <c r="AM370">
        <f t="shared" si="76"/>
        <v>0</v>
      </c>
      <c r="AN370">
        <f t="shared" si="77"/>
        <v>0</v>
      </c>
      <c r="AO370">
        <f t="shared" si="78"/>
        <v>0</v>
      </c>
      <c r="AQ370" t="str">
        <f t="shared" si="79"/>
        <v>98_1</v>
      </c>
      <c r="AR370">
        <f t="shared" si="80"/>
        <v>0</v>
      </c>
      <c r="AS370">
        <f t="shared" si="81"/>
        <v>0</v>
      </c>
      <c r="AT370">
        <f t="shared" si="82"/>
        <v>0</v>
      </c>
      <c r="AU370">
        <f t="shared" si="83"/>
        <v>0</v>
      </c>
      <c r="AV370">
        <f t="shared" si="84"/>
        <v>0</v>
      </c>
    </row>
    <row r="371" spans="1:48">
      <c r="A371">
        <v>99</v>
      </c>
      <c r="B371" t="s">
        <v>10</v>
      </c>
      <c r="C371" t="s">
        <v>10</v>
      </c>
      <c r="D371" t="str">
        <f t="shared" si="71"/>
        <v>99</v>
      </c>
      <c r="E371" t="s">
        <v>10</v>
      </c>
      <c r="F371" t="s">
        <v>10</v>
      </c>
      <c r="G371" t="s">
        <v>10</v>
      </c>
      <c r="H371" t="s">
        <v>10</v>
      </c>
      <c r="I371" t="s">
        <v>10</v>
      </c>
      <c r="L371">
        <v>0</v>
      </c>
      <c r="M371" t="s">
        <v>11</v>
      </c>
      <c r="Q371">
        <v>61</v>
      </c>
      <c r="R371" t="s">
        <v>35</v>
      </c>
      <c r="AI371">
        <f t="shared" si="72"/>
        <v>0</v>
      </c>
      <c r="AJ371">
        <f t="shared" si="73"/>
        <v>0</v>
      </c>
      <c r="AK371">
        <f t="shared" si="74"/>
        <v>0</v>
      </c>
      <c r="AL371">
        <f t="shared" si="75"/>
        <v>0</v>
      </c>
      <c r="AM371">
        <f t="shared" si="76"/>
        <v>0</v>
      </c>
      <c r="AN371">
        <f t="shared" si="77"/>
        <v>0</v>
      </c>
      <c r="AO371">
        <f t="shared" si="78"/>
        <v>0</v>
      </c>
      <c r="AQ371" t="str">
        <f t="shared" si="79"/>
        <v>99</v>
      </c>
      <c r="AR371" t="str">
        <f t="shared" si="80"/>
        <v/>
      </c>
      <c r="AS371">
        <f t="shared" si="81"/>
        <v>0</v>
      </c>
      <c r="AT371" t="str">
        <f t="shared" si="82"/>
        <v/>
      </c>
      <c r="AU371">
        <f t="shared" si="83"/>
        <v>0</v>
      </c>
      <c r="AV371">
        <f t="shared" si="84"/>
        <v>0</v>
      </c>
    </row>
    <row r="372" spans="1:48">
      <c r="A372">
        <v>99</v>
      </c>
      <c r="B372">
        <v>1</v>
      </c>
      <c r="C372" t="s">
        <v>10</v>
      </c>
      <c r="D372" t="str">
        <f t="shared" si="71"/>
        <v>99_1</v>
      </c>
      <c r="E372">
        <v>0</v>
      </c>
      <c r="F372">
        <v>1.25</v>
      </c>
      <c r="G372">
        <v>2.25</v>
      </c>
      <c r="H372">
        <v>2.25</v>
      </c>
      <c r="I372">
        <v>0.375</v>
      </c>
      <c r="J372">
        <v>1.4175</v>
      </c>
      <c r="K372">
        <v>1.2075</v>
      </c>
      <c r="L372">
        <v>6.125</v>
      </c>
      <c r="M372" t="s">
        <v>31</v>
      </c>
      <c r="N372" t="s">
        <v>32</v>
      </c>
      <c r="O372" t="s">
        <v>43</v>
      </c>
      <c r="P372" t="s">
        <v>42</v>
      </c>
      <c r="Q372">
        <v>61</v>
      </c>
      <c r="S372">
        <v>1.4175</v>
      </c>
      <c r="T372">
        <v>1.2075</v>
      </c>
      <c r="U372">
        <v>0</v>
      </c>
      <c r="V372">
        <v>0</v>
      </c>
      <c r="W372">
        <v>0</v>
      </c>
      <c r="X372">
        <v>0.28350000000000003</v>
      </c>
      <c r="Y372">
        <v>0.28350000000000003</v>
      </c>
      <c r="Z372">
        <v>2.25</v>
      </c>
      <c r="AA372">
        <v>1.2075</v>
      </c>
      <c r="AI372">
        <f t="shared" si="72"/>
        <v>0</v>
      </c>
      <c r="AJ372">
        <f t="shared" si="73"/>
        <v>0</v>
      </c>
      <c r="AK372">
        <f t="shared" si="74"/>
        <v>0</v>
      </c>
      <c r="AL372">
        <f t="shared" si="75"/>
        <v>0.28350000000000003</v>
      </c>
      <c r="AM372">
        <f t="shared" si="76"/>
        <v>0.28350000000000003</v>
      </c>
      <c r="AN372">
        <f t="shared" si="77"/>
        <v>2.25</v>
      </c>
      <c r="AO372">
        <f t="shared" si="78"/>
        <v>1.2075</v>
      </c>
      <c r="AQ372" t="str">
        <f t="shared" si="79"/>
        <v>99_1</v>
      </c>
      <c r="AR372">
        <f t="shared" si="80"/>
        <v>1.25</v>
      </c>
      <c r="AS372">
        <f t="shared" si="81"/>
        <v>0</v>
      </c>
      <c r="AT372">
        <f t="shared" si="82"/>
        <v>2.25</v>
      </c>
      <c r="AU372">
        <f t="shared" si="83"/>
        <v>2.25</v>
      </c>
      <c r="AV372">
        <f t="shared" si="84"/>
        <v>1.2075</v>
      </c>
    </row>
    <row r="373" spans="1:48">
      <c r="A373">
        <v>100</v>
      </c>
      <c r="B373" t="s">
        <v>10</v>
      </c>
      <c r="C373" t="s">
        <v>10</v>
      </c>
      <c r="D373" t="str">
        <f t="shared" si="71"/>
        <v>100</v>
      </c>
      <c r="E373" t="s">
        <v>10</v>
      </c>
      <c r="F373" t="s">
        <v>10</v>
      </c>
      <c r="G373" t="s">
        <v>10</v>
      </c>
      <c r="H373" t="s">
        <v>10</v>
      </c>
      <c r="I373" t="s">
        <v>10</v>
      </c>
      <c r="L373">
        <v>0</v>
      </c>
      <c r="M373" t="s">
        <v>11</v>
      </c>
      <c r="Q373">
        <v>31</v>
      </c>
      <c r="R373" t="s">
        <v>46</v>
      </c>
      <c r="AI373">
        <f t="shared" si="72"/>
        <v>0</v>
      </c>
      <c r="AJ373">
        <f t="shared" si="73"/>
        <v>0</v>
      </c>
      <c r="AK373">
        <f t="shared" si="74"/>
        <v>0</v>
      </c>
      <c r="AL373">
        <f t="shared" si="75"/>
        <v>0</v>
      </c>
      <c r="AM373">
        <f t="shared" si="76"/>
        <v>0</v>
      </c>
      <c r="AN373">
        <f t="shared" si="77"/>
        <v>0</v>
      </c>
      <c r="AO373">
        <f t="shared" si="78"/>
        <v>0</v>
      </c>
      <c r="AQ373" t="str">
        <f t="shared" si="79"/>
        <v>100</v>
      </c>
      <c r="AR373" t="str">
        <f t="shared" si="80"/>
        <v/>
      </c>
      <c r="AS373">
        <f t="shared" si="81"/>
        <v>0</v>
      </c>
      <c r="AT373" t="str">
        <f t="shared" si="82"/>
        <v/>
      </c>
      <c r="AU373">
        <f t="shared" si="83"/>
        <v>0</v>
      </c>
      <c r="AV373">
        <f t="shared" si="84"/>
        <v>0</v>
      </c>
    </row>
    <row r="374" spans="1:48">
      <c r="A374">
        <v>100</v>
      </c>
      <c r="B374">
        <v>1</v>
      </c>
      <c r="C374" t="s">
        <v>10</v>
      </c>
      <c r="D374" t="str">
        <f t="shared" si="71"/>
        <v>100_1</v>
      </c>
      <c r="E374">
        <v>0</v>
      </c>
      <c r="F374">
        <v>0</v>
      </c>
      <c r="G374">
        <v>0</v>
      </c>
      <c r="H374">
        <v>0</v>
      </c>
      <c r="I374">
        <v>0</v>
      </c>
      <c r="L374">
        <v>0</v>
      </c>
      <c r="M374" t="s">
        <v>11</v>
      </c>
      <c r="N374" t="s">
        <v>36</v>
      </c>
      <c r="O374" t="s">
        <v>36</v>
      </c>
      <c r="P374" t="s">
        <v>36</v>
      </c>
      <c r="Q374">
        <v>31</v>
      </c>
      <c r="S374">
        <v>0</v>
      </c>
      <c r="T374">
        <v>0</v>
      </c>
      <c r="W374">
        <v>0</v>
      </c>
      <c r="X374">
        <v>0</v>
      </c>
      <c r="Z374">
        <v>0</v>
      </c>
      <c r="AI374">
        <f t="shared" si="72"/>
        <v>0</v>
      </c>
      <c r="AJ374">
        <f t="shared" si="73"/>
        <v>0</v>
      </c>
      <c r="AK374">
        <f t="shared" si="74"/>
        <v>0</v>
      </c>
      <c r="AL374">
        <f t="shared" si="75"/>
        <v>0</v>
      </c>
      <c r="AM374">
        <f t="shared" si="76"/>
        <v>0</v>
      </c>
      <c r="AN374">
        <f t="shared" si="77"/>
        <v>0</v>
      </c>
      <c r="AO374">
        <f t="shared" si="78"/>
        <v>0</v>
      </c>
      <c r="AQ374" t="str">
        <f t="shared" si="79"/>
        <v>100_1</v>
      </c>
      <c r="AR374">
        <f t="shared" si="80"/>
        <v>0</v>
      </c>
      <c r="AS374">
        <f t="shared" si="81"/>
        <v>0</v>
      </c>
      <c r="AT374">
        <f t="shared" si="82"/>
        <v>0</v>
      </c>
      <c r="AU374">
        <f t="shared" si="83"/>
        <v>0</v>
      </c>
      <c r="AV374">
        <f t="shared" si="84"/>
        <v>0</v>
      </c>
    </row>
    <row r="375" spans="1:48">
      <c r="A375">
        <v>101</v>
      </c>
      <c r="B375" t="s">
        <v>10</v>
      </c>
      <c r="C375" t="s">
        <v>10</v>
      </c>
      <c r="D375" t="str">
        <f t="shared" si="71"/>
        <v>101</v>
      </c>
      <c r="E375" t="s">
        <v>10</v>
      </c>
      <c r="F375" t="s">
        <v>10</v>
      </c>
      <c r="G375" t="s">
        <v>10</v>
      </c>
      <c r="H375" t="s">
        <v>10</v>
      </c>
      <c r="I375" t="s">
        <v>10</v>
      </c>
      <c r="L375">
        <v>0</v>
      </c>
      <c r="M375" t="s">
        <v>11</v>
      </c>
      <c r="N375" t="s">
        <v>11</v>
      </c>
      <c r="O375" t="s">
        <v>11</v>
      </c>
      <c r="P375" t="s">
        <v>11</v>
      </c>
      <c r="Q375">
        <v>3</v>
      </c>
      <c r="R375" t="s">
        <v>35</v>
      </c>
      <c r="AI375">
        <f t="shared" si="72"/>
        <v>0</v>
      </c>
      <c r="AJ375">
        <f t="shared" si="73"/>
        <v>0</v>
      </c>
      <c r="AK375">
        <f t="shared" si="74"/>
        <v>0</v>
      </c>
      <c r="AL375">
        <f t="shared" si="75"/>
        <v>0</v>
      </c>
      <c r="AM375">
        <f t="shared" si="76"/>
        <v>0</v>
      </c>
      <c r="AN375">
        <f t="shared" si="77"/>
        <v>0</v>
      </c>
      <c r="AO375">
        <f t="shared" si="78"/>
        <v>0</v>
      </c>
      <c r="AQ375" t="str">
        <f t="shared" si="79"/>
        <v>101</v>
      </c>
      <c r="AR375" t="str">
        <f t="shared" si="80"/>
        <v/>
      </c>
      <c r="AS375">
        <f t="shared" si="81"/>
        <v>0</v>
      </c>
      <c r="AT375" t="str">
        <f t="shared" si="82"/>
        <v/>
      </c>
      <c r="AU375">
        <f t="shared" si="83"/>
        <v>0</v>
      </c>
      <c r="AV375">
        <f t="shared" si="84"/>
        <v>0</v>
      </c>
    </row>
    <row r="376" spans="1:48">
      <c r="A376">
        <v>101</v>
      </c>
      <c r="B376">
        <v>1</v>
      </c>
      <c r="D376" t="str">
        <f t="shared" si="71"/>
        <v>101_1</v>
      </c>
      <c r="E376">
        <v>2.25</v>
      </c>
      <c r="F376">
        <v>3.5</v>
      </c>
      <c r="G376">
        <v>9.875</v>
      </c>
      <c r="H376">
        <v>7</v>
      </c>
      <c r="I376">
        <v>1.625</v>
      </c>
      <c r="J376">
        <v>4.6575000000000006</v>
      </c>
      <c r="K376">
        <v>3.9674999999999998</v>
      </c>
      <c r="L376">
        <v>22</v>
      </c>
      <c r="M376" t="s">
        <v>31</v>
      </c>
      <c r="N376" t="s">
        <v>33</v>
      </c>
      <c r="O376" t="s">
        <v>43</v>
      </c>
      <c r="P376" t="s">
        <v>37</v>
      </c>
      <c r="Q376">
        <v>3</v>
      </c>
      <c r="S376">
        <v>4.6575000000000006</v>
      </c>
      <c r="T376">
        <v>3.9674999999999998</v>
      </c>
      <c r="U376">
        <v>0.70000000000000007</v>
      </c>
      <c r="V376">
        <v>0</v>
      </c>
      <c r="W376">
        <v>0.70000000000000007</v>
      </c>
      <c r="X376">
        <v>4.6575000000000006</v>
      </c>
      <c r="Y376">
        <v>0.93150000000000022</v>
      </c>
      <c r="Z376">
        <v>9.875</v>
      </c>
      <c r="AA376">
        <v>3.9674999999999998</v>
      </c>
      <c r="AI376">
        <f t="shared" si="72"/>
        <v>0.70000000000000007</v>
      </c>
      <c r="AJ376">
        <f t="shared" si="73"/>
        <v>0</v>
      </c>
      <c r="AK376">
        <f t="shared" si="74"/>
        <v>0.70000000000000007</v>
      </c>
      <c r="AL376">
        <f t="shared" si="75"/>
        <v>4.6575000000000006</v>
      </c>
      <c r="AM376">
        <f t="shared" si="76"/>
        <v>0.93150000000000022</v>
      </c>
      <c r="AN376">
        <f t="shared" si="77"/>
        <v>9.875</v>
      </c>
      <c r="AO376">
        <f t="shared" si="78"/>
        <v>3.9674999999999998</v>
      </c>
      <c r="AQ376" t="str">
        <f t="shared" si="79"/>
        <v>101_1</v>
      </c>
      <c r="AR376">
        <f t="shared" si="80"/>
        <v>3.5</v>
      </c>
      <c r="AS376">
        <f t="shared" si="81"/>
        <v>0.70000000000000007</v>
      </c>
      <c r="AT376">
        <f t="shared" si="82"/>
        <v>9.875</v>
      </c>
      <c r="AU376">
        <f t="shared" si="83"/>
        <v>9.875</v>
      </c>
      <c r="AV376">
        <f t="shared" si="84"/>
        <v>3.9674999999999998</v>
      </c>
    </row>
    <row r="377" spans="1:48">
      <c r="A377">
        <v>101</v>
      </c>
      <c r="B377">
        <v>2</v>
      </c>
      <c r="D377" t="str">
        <f t="shared" si="71"/>
        <v>101_2</v>
      </c>
      <c r="E377">
        <v>2.25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11</v>
      </c>
      <c r="N377" t="s">
        <v>36</v>
      </c>
      <c r="O377" t="s">
        <v>36</v>
      </c>
      <c r="P377" t="s">
        <v>36</v>
      </c>
      <c r="Q377">
        <v>3</v>
      </c>
      <c r="S377">
        <v>0</v>
      </c>
      <c r="T377">
        <v>0</v>
      </c>
      <c r="W377">
        <v>0</v>
      </c>
      <c r="X377">
        <v>0</v>
      </c>
      <c r="Z377">
        <v>0</v>
      </c>
      <c r="AI377">
        <f t="shared" si="72"/>
        <v>0</v>
      </c>
      <c r="AJ377">
        <f t="shared" si="73"/>
        <v>0</v>
      </c>
      <c r="AK377">
        <f t="shared" si="74"/>
        <v>0</v>
      </c>
      <c r="AL377">
        <f t="shared" si="75"/>
        <v>0</v>
      </c>
      <c r="AM377">
        <f t="shared" si="76"/>
        <v>0</v>
      </c>
      <c r="AN377">
        <f t="shared" si="77"/>
        <v>0</v>
      </c>
      <c r="AO377">
        <f t="shared" si="78"/>
        <v>0</v>
      </c>
      <c r="AQ377" t="str">
        <f t="shared" si="79"/>
        <v>101_2</v>
      </c>
      <c r="AR377">
        <f t="shared" si="80"/>
        <v>0</v>
      </c>
      <c r="AS377">
        <f t="shared" si="81"/>
        <v>0</v>
      </c>
      <c r="AT377">
        <f t="shared" si="82"/>
        <v>0</v>
      </c>
      <c r="AU377">
        <f t="shared" si="83"/>
        <v>0</v>
      </c>
      <c r="AV377">
        <f t="shared" si="84"/>
        <v>0</v>
      </c>
    </row>
    <row r="378" spans="1:48">
      <c r="A378">
        <v>101</v>
      </c>
      <c r="B378">
        <v>3</v>
      </c>
      <c r="D378" t="str">
        <f t="shared" si="71"/>
        <v>101_3</v>
      </c>
      <c r="E378">
        <v>2.125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11</v>
      </c>
      <c r="N378" t="s">
        <v>36</v>
      </c>
      <c r="O378" t="s">
        <v>36</v>
      </c>
      <c r="P378" t="s">
        <v>36</v>
      </c>
      <c r="Q378">
        <v>3</v>
      </c>
      <c r="S378">
        <v>0</v>
      </c>
      <c r="T378">
        <v>0</v>
      </c>
      <c r="W378">
        <v>0</v>
      </c>
      <c r="X378">
        <v>0</v>
      </c>
      <c r="Z378">
        <v>0</v>
      </c>
      <c r="AI378">
        <f t="shared" si="72"/>
        <v>0</v>
      </c>
      <c r="AJ378">
        <f t="shared" si="73"/>
        <v>0</v>
      </c>
      <c r="AK378">
        <f t="shared" si="74"/>
        <v>0</v>
      </c>
      <c r="AL378">
        <f t="shared" si="75"/>
        <v>0</v>
      </c>
      <c r="AM378">
        <f t="shared" si="76"/>
        <v>0</v>
      </c>
      <c r="AN378">
        <f t="shared" si="77"/>
        <v>0</v>
      </c>
      <c r="AO378">
        <f t="shared" si="78"/>
        <v>0</v>
      </c>
      <c r="AQ378" t="str">
        <f t="shared" si="79"/>
        <v>101_3</v>
      </c>
      <c r="AR378">
        <f t="shared" si="80"/>
        <v>0</v>
      </c>
      <c r="AS378">
        <f t="shared" si="81"/>
        <v>0</v>
      </c>
      <c r="AT378">
        <f t="shared" si="82"/>
        <v>0</v>
      </c>
      <c r="AU378">
        <f t="shared" si="83"/>
        <v>0</v>
      </c>
      <c r="AV378">
        <f t="shared" si="84"/>
        <v>0</v>
      </c>
    </row>
    <row r="379" spans="1:48">
      <c r="A379">
        <v>101</v>
      </c>
      <c r="B379">
        <v>4</v>
      </c>
      <c r="D379" t="str">
        <f t="shared" si="71"/>
        <v>101_4</v>
      </c>
      <c r="E379">
        <v>1.5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11</v>
      </c>
      <c r="N379" t="s">
        <v>36</v>
      </c>
      <c r="O379" t="s">
        <v>36</v>
      </c>
      <c r="P379" t="s">
        <v>36</v>
      </c>
      <c r="Q379">
        <v>3</v>
      </c>
      <c r="S379">
        <v>0</v>
      </c>
      <c r="T379">
        <v>0</v>
      </c>
      <c r="W379">
        <v>0</v>
      </c>
      <c r="X379">
        <v>0</v>
      </c>
      <c r="Z379">
        <v>0</v>
      </c>
      <c r="AI379">
        <f t="shared" si="72"/>
        <v>0</v>
      </c>
      <c r="AJ379">
        <f t="shared" si="73"/>
        <v>0</v>
      </c>
      <c r="AK379">
        <f t="shared" si="74"/>
        <v>0</v>
      </c>
      <c r="AL379">
        <f t="shared" si="75"/>
        <v>0</v>
      </c>
      <c r="AM379">
        <f t="shared" si="76"/>
        <v>0</v>
      </c>
      <c r="AN379">
        <f t="shared" si="77"/>
        <v>0</v>
      </c>
      <c r="AO379">
        <f t="shared" si="78"/>
        <v>0</v>
      </c>
      <c r="AQ379" t="str">
        <f t="shared" si="79"/>
        <v>101_4</v>
      </c>
      <c r="AR379">
        <f t="shared" si="80"/>
        <v>0</v>
      </c>
      <c r="AS379">
        <f t="shared" si="81"/>
        <v>0</v>
      </c>
      <c r="AT379">
        <f t="shared" si="82"/>
        <v>0</v>
      </c>
      <c r="AU379">
        <f t="shared" si="83"/>
        <v>0</v>
      </c>
      <c r="AV379">
        <f t="shared" si="84"/>
        <v>0</v>
      </c>
    </row>
    <row r="380" spans="1:48">
      <c r="A380">
        <v>102</v>
      </c>
      <c r="B380" t="s">
        <v>10</v>
      </c>
      <c r="D380" t="str">
        <f t="shared" si="71"/>
        <v>102</v>
      </c>
      <c r="E380" t="s">
        <v>10</v>
      </c>
      <c r="F380" t="s">
        <v>10</v>
      </c>
      <c r="G380" t="s">
        <v>10</v>
      </c>
      <c r="H380" t="s">
        <v>10</v>
      </c>
      <c r="I380" t="s">
        <v>10</v>
      </c>
      <c r="L380">
        <v>0</v>
      </c>
      <c r="M380" t="s">
        <v>11</v>
      </c>
      <c r="Q380">
        <v>75</v>
      </c>
      <c r="R380" t="s">
        <v>35</v>
      </c>
      <c r="AI380">
        <f t="shared" si="72"/>
        <v>0</v>
      </c>
      <c r="AJ380">
        <f t="shared" si="73"/>
        <v>0</v>
      </c>
      <c r="AK380">
        <f t="shared" si="74"/>
        <v>0</v>
      </c>
      <c r="AL380">
        <f t="shared" si="75"/>
        <v>0</v>
      </c>
      <c r="AM380">
        <f t="shared" si="76"/>
        <v>0</v>
      </c>
      <c r="AN380">
        <f t="shared" si="77"/>
        <v>0</v>
      </c>
      <c r="AO380">
        <f t="shared" si="78"/>
        <v>0</v>
      </c>
      <c r="AQ380" t="str">
        <f t="shared" si="79"/>
        <v>102</v>
      </c>
      <c r="AR380" t="str">
        <f t="shared" si="80"/>
        <v/>
      </c>
      <c r="AS380">
        <f t="shared" si="81"/>
        <v>0</v>
      </c>
      <c r="AT380" t="str">
        <f t="shared" si="82"/>
        <v/>
      </c>
      <c r="AU380">
        <f t="shared" si="83"/>
        <v>0</v>
      </c>
      <c r="AV380">
        <f t="shared" si="84"/>
        <v>0</v>
      </c>
    </row>
    <row r="381" spans="1:48">
      <c r="A381">
        <v>102</v>
      </c>
      <c r="B381">
        <v>1</v>
      </c>
      <c r="C381" t="s">
        <v>10</v>
      </c>
      <c r="D381" t="str">
        <f t="shared" si="71"/>
        <v>102_1</v>
      </c>
      <c r="E381">
        <v>0</v>
      </c>
      <c r="F381">
        <v>0.625</v>
      </c>
      <c r="G381">
        <v>1.125</v>
      </c>
      <c r="H381">
        <v>1.125</v>
      </c>
      <c r="I381">
        <v>0.25</v>
      </c>
      <c r="J381">
        <v>0.74250000000000005</v>
      </c>
      <c r="K381">
        <v>0.63249999999999995</v>
      </c>
      <c r="L381">
        <v>3.125</v>
      </c>
      <c r="M381" t="s">
        <v>31</v>
      </c>
      <c r="N381" t="s">
        <v>32</v>
      </c>
      <c r="O381" t="s">
        <v>32</v>
      </c>
      <c r="P381" t="s">
        <v>33</v>
      </c>
      <c r="Q381">
        <v>75</v>
      </c>
      <c r="S381">
        <v>0.74250000000000005</v>
      </c>
      <c r="T381">
        <v>0.63249999999999995</v>
      </c>
      <c r="U381">
        <v>0</v>
      </c>
      <c r="V381">
        <v>0</v>
      </c>
      <c r="W381">
        <v>0</v>
      </c>
      <c r="X381">
        <v>0.14850000000000002</v>
      </c>
      <c r="Y381">
        <v>0.14850000000000002</v>
      </c>
      <c r="Z381">
        <v>0</v>
      </c>
      <c r="AA381">
        <v>0.63249999999999995</v>
      </c>
      <c r="AI381">
        <f t="shared" si="72"/>
        <v>0</v>
      </c>
      <c r="AJ381">
        <f t="shared" si="73"/>
        <v>0</v>
      </c>
      <c r="AK381">
        <f t="shared" si="74"/>
        <v>0</v>
      </c>
      <c r="AL381">
        <f t="shared" si="75"/>
        <v>0.14850000000000002</v>
      </c>
      <c r="AM381">
        <f t="shared" si="76"/>
        <v>0.14850000000000002</v>
      </c>
      <c r="AN381">
        <f t="shared" si="77"/>
        <v>0</v>
      </c>
      <c r="AO381">
        <f t="shared" si="78"/>
        <v>0.63249999999999995</v>
      </c>
      <c r="AQ381" t="str">
        <f t="shared" si="79"/>
        <v>102_1</v>
      </c>
      <c r="AR381">
        <f t="shared" si="80"/>
        <v>0.625</v>
      </c>
      <c r="AS381">
        <f t="shared" si="81"/>
        <v>0</v>
      </c>
      <c r="AT381">
        <f t="shared" si="82"/>
        <v>1.125</v>
      </c>
      <c r="AU381">
        <f t="shared" si="83"/>
        <v>0</v>
      </c>
      <c r="AV381">
        <f t="shared" si="84"/>
        <v>0.63249999999999995</v>
      </c>
    </row>
    <row r="382" spans="1:48">
      <c r="A382">
        <v>102</v>
      </c>
      <c r="B382">
        <v>2</v>
      </c>
      <c r="D382" t="str">
        <f t="shared" si="71"/>
        <v>102_2</v>
      </c>
      <c r="E382">
        <v>0</v>
      </c>
      <c r="F382">
        <v>0.625</v>
      </c>
      <c r="G382">
        <v>1.125</v>
      </c>
      <c r="H382">
        <v>1.125</v>
      </c>
      <c r="I382">
        <v>0.25</v>
      </c>
      <c r="J382">
        <v>0.74250000000000005</v>
      </c>
      <c r="K382">
        <v>0.63249999999999995</v>
      </c>
      <c r="L382">
        <v>3.125</v>
      </c>
      <c r="M382" t="s">
        <v>31</v>
      </c>
      <c r="N382" t="s">
        <v>32</v>
      </c>
      <c r="O382" t="s">
        <v>32</v>
      </c>
      <c r="P382" t="s">
        <v>33</v>
      </c>
      <c r="Q382">
        <v>75</v>
      </c>
      <c r="S382">
        <v>0.74250000000000005</v>
      </c>
      <c r="T382">
        <v>0.63249999999999995</v>
      </c>
      <c r="U382">
        <v>0</v>
      </c>
      <c r="V382">
        <v>0</v>
      </c>
      <c r="W382">
        <v>0</v>
      </c>
      <c r="X382">
        <v>0.14850000000000002</v>
      </c>
      <c r="Y382">
        <v>0.14850000000000002</v>
      </c>
      <c r="Z382">
        <v>0</v>
      </c>
      <c r="AA382">
        <v>0.63249999999999995</v>
      </c>
      <c r="AI382">
        <f t="shared" si="72"/>
        <v>0</v>
      </c>
      <c r="AJ382">
        <f t="shared" si="73"/>
        <v>0</v>
      </c>
      <c r="AK382">
        <f t="shared" si="74"/>
        <v>0</v>
      </c>
      <c r="AL382">
        <f t="shared" si="75"/>
        <v>0.14850000000000002</v>
      </c>
      <c r="AM382">
        <f t="shared" si="76"/>
        <v>0.14850000000000002</v>
      </c>
      <c r="AN382">
        <f t="shared" si="77"/>
        <v>0</v>
      </c>
      <c r="AO382">
        <f t="shared" si="78"/>
        <v>0.63249999999999995</v>
      </c>
      <c r="AQ382" t="str">
        <f t="shared" si="79"/>
        <v>102_2</v>
      </c>
      <c r="AR382">
        <f t="shared" si="80"/>
        <v>0.625</v>
      </c>
      <c r="AS382">
        <f t="shared" si="81"/>
        <v>0</v>
      </c>
      <c r="AT382">
        <f t="shared" si="82"/>
        <v>1.125</v>
      </c>
      <c r="AU382">
        <f t="shared" si="83"/>
        <v>0</v>
      </c>
      <c r="AV382">
        <f t="shared" si="84"/>
        <v>0.63249999999999995</v>
      </c>
    </row>
    <row r="383" spans="1:48">
      <c r="A383">
        <v>102</v>
      </c>
      <c r="B383">
        <v>3</v>
      </c>
      <c r="D383" t="str">
        <f t="shared" si="71"/>
        <v>102_3</v>
      </c>
      <c r="E383">
        <v>0</v>
      </c>
      <c r="F383">
        <v>0.625</v>
      </c>
      <c r="G383">
        <v>1.125</v>
      </c>
      <c r="H383">
        <v>1.125</v>
      </c>
      <c r="I383">
        <v>0.25</v>
      </c>
      <c r="J383">
        <v>0.74250000000000005</v>
      </c>
      <c r="K383">
        <v>0.63249999999999995</v>
      </c>
      <c r="L383">
        <v>3.125</v>
      </c>
      <c r="M383" t="s">
        <v>31</v>
      </c>
      <c r="N383" t="s">
        <v>33</v>
      </c>
      <c r="O383" t="s">
        <v>43</v>
      </c>
      <c r="P383" t="s">
        <v>43</v>
      </c>
      <c r="Q383">
        <v>75</v>
      </c>
      <c r="S383">
        <v>0.74250000000000005</v>
      </c>
      <c r="T383">
        <v>0.63249999999999995</v>
      </c>
      <c r="U383">
        <v>0.125</v>
      </c>
      <c r="V383">
        <v>0</v>
      </c>
      <c r="W383">
        <v>0.125</v>
      </c>
      <c r="X383">
        <v>0.74250000000000005</v>
      </c>
      <c r="Y383">
        <v>0.14850000000000002</v>
      </c>
      <c r="Z383">
        <v>1.125</v>
      </c>
      <c r="AA383">
        <v>0.63249999999999995</v>
      </c>
      <c r="AI383">
        <f t="shared" si="72"/>
        <v>0.125</v>
      </c>
      <c r="AJ383">
        <f t="shared" si="73"/>
        <v>0</v>
      </c>
      <c r="AK383">
        <f t="shared" si="74"/>
        <v>0.125</v>
      </c>
      <c r="AL383">
        <f t="shared" si="75"/>
        <v>0.74250000000000005</v>
      </c>
      <c r="AM383">
        <f t="shared" si="76"/>
        <v>0.14850000000000002</v>
      </c>
      <c r="AN383">
        <f t="shared" si="77"/>
        <v>1.125</v>
      </c>
      <c r="AO383">
        <f t="shared" si="78"/>
        <v>0.63249999999999995</v>
      </c>
      <c r="AQ383" t="str">
        <f t="shared" si="79"/>
        <v>102_3</v>
      </c>
      <c r="AR383">
        <f t="shared" si="80"/>
        <v>0.625</v>
      </c>
      <c r="AS383">
        <f t="shared" si="81"/>
        <v>0.125</v>
      </c>
      <c r="AT383">
        <f t="shared" si="82"/>
        <v>1.125</v>
      </c>
      <c r="AU383">
        <f t="shared" si="83"/>
        <v>1.125</v>
      </c>
      <c r="AV383">
        <f t="shared" si="84"/>
        <v>0.63249999999999995</v>
      </c>
    </row>
    <row r="384" spans="1:48">
      <c r="A384">
        <v>102</v>
      </c>
      <c r="B384">
        <v>4</v>
      </c>
      <c r="D384" t="str">
        <f t="shared" si="71"/>
        <v>102_4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11</v>
      </c>
      <c r="N384" t="s">
        <v>11</v>
      </c>
      <c r="O384" t="s">
        <v>11</v>
      </c>
      <c r="P384" t="s">
        <v>11</v>
      </c>
      <c r="Q384" t="s">
        <v>11</v>
      </c>
      <c r="S384">
        <v>0</v>
      </c>
      <c r="T384">
        <v>0</v>
      </c>
      <c r="U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I384">
        <f t="shared" si="72"/>
        <v>0</v>
      </c>
      <c r="AJ384">
        <f t="shared" si="73"/>
        <v>0</v>
      </c>
      <c r="AK384">
        <f t="shared" si="74"/>
        <v>0</v>
      </c>
      <c r="AL384">
        <f t="shared" si="75"/>
        <v>0</v>
      </c>
      <c r="AM384">
        <f t="shared" si="76"/>
        <v>0</v>
      </c>
      <c r="AN384">
        <f t="shared" si="77"/>
        <v>0</v>
      </c>
      <c r="AO384">
        <f t="shared" si="78"/>
        <v>0</v>
      </c>
      <c r="AQ384" t="str">
        <f t="shared" si="79"/>
        <v>102_4</v>
      </c>
      <c r="AR384">
        <f t="shared" si="80"/>
        <v>0</v>
      </c>
      <c r="AS384">
        <f t="shared" si="81"/>
        <v>0</v>
      </c>
      <c r="AT384">
        <f t="shared" si="82"/>
        <v>0</v>
      </c>
      <c r="AU384">
        <f t="shared" si="83"/>
        <v>0</v>
      </c>
      <c r="AV384">
        <f t="shared" si="84"/>
        <v>0</v>
      </c>
    </row>
    <row r="385" spans="1:48">
      <c r="A385">
        <v>102</v>
      </c>
      <c r="B385">
        <v>5</v>
      </c>
      <c r="D385" t="str">
        <f t="shared" si="71"/>
        <v>102_5</v>
      </c>
      <c r="E385">
        <v>0</v>
      </c>
      <c r="F385">
        <v>0.625</v>
      </c>
      <c r="G385">
        <v>1.125</v>
      </c>
      <c r="H385">
        <v>1.125</v>
      </c>
      <c r="I385">
        <v>0.25</v>
      </c>
      <c r="J385">
        <v>0.74250000000000005</v>
      </c>
      <c r="K385">
        <v>0.63249999999999995</v>
      </c>
      <c r="L385">
        <v>3.125</v>
      </c>
      <c r="M385" t="s">
        <v>31</v>
      </c>
      <c r="N385" t="s">
        <v>33</v>
      </c>
      <c r="O385" t="s">
        <v>43</v>
      </c>
      <c r="P385" t="s">
        <v>43</v>
      </c>
      <c r="Q385">
        <v>75</v>
      </c>
      <c r="S385">
        <v>0.74250000000000005</v>
      </c>
      <c r="T385">
        <v>0.63249999999999995</v>
      </c>
      <c r="U385">
        <v>0.125</v>
      </c>
      <c r="V385">
        <v>0</v>
      </c>
      <c r="W385">
        <v>0.125</v>
      </c>
      <c r="X385">
        <v>0.74250000000000005</v>
      </c>
      <c r="Y385">
        <v>0.14850000000000002</v>
      </c>
      <c r="Z385">
        <v>1.125</v>
      </c>
      <c r="AA385">
        <v>0.63249999999999995</v>
      </c>
      <c r="AI385">
        <f t="shared" si="72"/>
        <v>0.125</v>
      </c>
      <c r="AJ385">
        <f t="shared" si="73"/>
        <v>0</v>
      </c>
      <c r="AK385">
        <f t="shared" si="74"/>
        <v>0.125</v>
      </c>
      <c r="AL385">
        <f t="shared" si="75"/>
        <v>0.74250000000000005</v>
      </c>
      <c r="AM385">
        <f t="shared" si="76"/>
        <v>0.14850000000000002</v>
      </c>
      <c r="AN385">
        <f t="shared" si="77"/>
        <v>1.125</v>
      </c>
      <c r="AO385">
        <f t="shared" si="78"/>
        <v>0.63249999999999995</v>
      </c>
      <c r="AQ385" t="str">
        <f t="shared" si="79"/>
        <v>102_5</v>
      </c>
      <c r="AR385">
        <f t="shared" si="80"/>
        <v>0.625</v>
      </c>
      <c r="AS385">
        <f t="shared" si="81"/>
        <v>0.125</v>
      </c>
      <c r="AT385">
        <f t="shared" si="82"/>
        <v>1.125</v>
      </c>
      <c r="AU385">
        <f t="shared" si="83"/>
        <v>1.125</v>
      </c>
      <c r="AV385">
        <f t="shared" si="84"/>
        <v>0.63249999999999995</v>
      </c>
    </row>
    <row r="386" spans="1:48">
      <c r="A386">
        <v>103</v>
      </c>
      <c r="B386" t="s">
        <v>10</v>
      </c>
      <c r="C386" t="s">
        <v>10</v>
      </c>
      <c r="D386" t="str">
        <f t="shared" si="71"/>
        <v>103</v>
      </c>
      <c r="E386" t="s">
        <v>10</v>
      </c>
      <c r="F386" t="s">
        <v>10</v>
      </c>
      <c r="G386" t="s">
        <v>10</v>
      </c>
      <c r="H386" t="s">
        <v>10</v>
      </c>
      <c r="I386" t="s">
        <v>10</v>
      </c>
      <c r="L386">
        <v>0</v>
      </c>
      <c r="M386" t="s">
        <v>11</v>
      </c>
      <c r="Q386">
        <v>67</v>
      </c>
      <c r="R386" t="s">
        <v>35</v>
      </c>
      <c r="AI386">
        <f t="shared" si="72"/>
        <v>0</v>
      </c>
      <c r="AJ386">
        <f t="shared" si="73"/>
        <v>0</v>
      </c>
      <c r="AK386">
        <f t="shared" si="74"/>
        <v>0</v>
      </c>
      <c r="AL386">
        <f t="shared" si="75"/>
        <v>0</v>
      </c>
      <c r="AM386">
        <f t="shared" si="76"/>
        <v>0</v>
      </c>
      <c r="AN386">
        <f t="shared" si="77"/>
        <v>0</v>
      </c>
      <c r="AO386">
        <f t="shared" si="78"/>
        <v>0</v>
      </c>
      <c r="AQ386" t="str">
        <f t="shared" si="79"/>
        <v>103</v>
      </c>
      <c r="AR386" t="str">
        <f t="shared" si="80"/>
        <v/>
      </c>
      <c r="AS386">
        <f t="shared" si="81"/>
        <v>0</v>
      </c>
      <c r="AT386" t="str">
        <f t="shared" si="82"/>
        <v/>
      </c>
      <c r="AU386">
        <f t="shared" si="83"/>
        <v>0</v>
      </c>
      <c r="AV386">
        <f t="shared" si="84"/>
        <v>0</v>
      </c>
    </row>
    <row r="387" spans="1:48">
      <c r="A387">
        <v>103</v>
      </c>
      <c r="B387">
        <v>1</v>
      </c>
      <c r="C387" t="s">
        <v>10</v>
      </c>
      <c r="D387" t="str">
        <f t="shared" si="71"/>
        <v>103_1</v>
      </c>
      <c r="E387">
        <v>0</v>
      </c>
      <c r="F387">
        <v>0.625</v>
      </c>
      <c r="G387">
        <v>1.125</v>
      </c>
      <c r="H387">
        <v>1.125</v>
      </c>
      <c r="I387">
        <v>0.25</v>
      </c>
      <c r="J387">
        <v>0.74250000000000005</v>
      </c>
      <c r="K387">
        <v>0.63249999999999995</v>
      </c>
      <c r="L387">
        <v>3.125</v>
      </c>
      <c r="M387" t="s">
        <v>31</v>
      </c>
      <c r="N387" t="s">
        <v>45</v>
      </c>
      <c r="O387" t="s">
        <v>32</v>
      </c>
      <c r="P387" t="s">
        <v>33</v>
      </c>
      <c r="Q387">
        <v>67</v>
      </c>
      <c r="S387">
        <v>0.74250000000000005</v>
      </c>
      <c r="T387">
        <v>0.63249999999999995</v>
      </c>
      <c r="U387">
        <v>0</v>
      </c>
      <c r="V387">
        <v>0</v>
      </c>
      <c r="W387">
        <v>0</v>
      </c>
      <c r="X387">
        <v>0.14850000000000002</v>
      </c>
      <c r="Y387">
        <v>0.14850000000000002</v>
      </c>
      <c r="Z387">
        <v>0</v>
      </c>
      <c r="AA387">
        <v>0.63249999999999995</v>
      </c>
      <c r="AI387">
        <f t="shared" si="72"/>
        <v>0</v>
      </c>
      <c r="AJ387">
        <f t="shared" si="73"/>
        <v>0</v>
      </c>
      <c r="AK387">
        <f t="shared" si="74"/>
        <v>0</v>
      </c>
      <c r="AL387">
        <f t="shared" si="75"/>
        <v>0.14850000000000002</v>
      </c>
      <c r="AM387">
        <f t="shared" si="76"/>
        <v>0.14850000000000002</v>
      </c>
      <c r="AN387">
        <f t="shared" si="77"/>
        <v>0</v>
      </c>
      <c r="AO387">
        <f t="shared" si="78"/>
        <v>0.63249999999999995</v>
      </c>
      <c r="AQ387" t="str">
        <f t="shared" si="79"/>
        <v>103_1</v>
      </c>
      <c r="AR387">
        <f t="shared" si="80"/>
        <v>0.625</v>
      </c>
      <c r="AS387">
        <f t="shared" si="81"/>
        <v>0</v>
      </c>
      <c r="AT387">
        <f t="shared" si="82"/>
        <v>1.125</v>
      </c>
      <c r="AU387">
        <f t="shared" si="83"/>
        <v>0</v>
      </c>
      <c r="AV387">
        <f t="shared" si="84"/>
        <v>0.63249999999999995</v>
      </c>
    </row>
    <row r="388" spans="1:48">
      <c r="A388">
        <v>103</v>
      </c>
      <c r="B388">
        <v>2</v>
      </c>
      <c r="D388" t="str">
        <f t="shared" si="71"/>
        <v>103_2</v>
      </c>
      <c r="E388">
        <v>0</v>
      </c>
      <c r="F388">
        <v>0.625</v>
      </c>
      <c r="G388">
        <v>1.125</v>
      </c>
      <c r="H388">
        <v>1.125</v>
      </c>
      <c r="I388">
        <v>0.25</v>
      </c>
      <c r="J388">
        <v>0.74250000000000005</v>
      </c>
      <c r="K388">
        <v>0.63249999999999995</v>
      </c>
      <c r="L388">
        <v>3.125</v>
      </c>
      <c r="M388" t="s">
        <v>31</v>
      </c>
      <c r="N388" t="s">
        <v>45</v>
      </c>
      <c r="O388" t="s">
        <v>32</v>
      </c>
      <c r="P388" t="s">
        <v>33</v>
      </c>
      <c r="Q388">
        <v>67</v>
      </c>
      <c r="S388">
        <v>0.74250000000000005</v>
      </c>
      <c r="T388">
        <v>0.63249999999999995</v>
      </c>
      <c r="U388">
        <v>0</v>
      </c>
      <c r="V388">
        <v>0</v>
      </c>
      <c r="W388">
        <v>0</v>
      </c>
      <c r="X388">
        <v>0.14850000000000002</v>
      </c>
      <c r="Y388">
        <v>0.14850000000000002</v>
      </c>
      <c r="Z388">
        <v>0</v>
      </c>
      <c r="AA388">
        <v>0.63249999999999995</v>
      </c>
      <c r="AI388">
        <f t="shared" si="72"/>
        <v>0</v>
      </c>
      <c r="AJ388">
        <f t="shared" si="73"/>
        <v>0</v>
      </c>
      <c r="AK388">
        <f t="shared" si="74"/>
        <v>0</v>
      </c>
      <c r="AL388">
        <f t="shared" si="75"/>
        <v>0.14850000000000002</v>
      </c>
      <c r="AM388">
        <f t="shared" si="76"/>
        <v>0.14850000000000002</v>
      </c>
      <c r="AN388">
        <f t="shared" si="77"/>
        <v>0</v>
      </c>
      <c r="AO388">
        <f t="shared" si="78"/>
        <v>0.63249999999999995</v>
      </c>
      <c r="AQ388" t="str">
        <f t="shared" si="79"/>
        <v>103_2</v>
      </c>
      <c r="AR388">
        <f t="shared" si="80"/>
        <v>0.625</v>
      </c>
      <c r="AS388">
        <f t="shared" si="81"/>
        <v>0</v>
      </c>
      <c r="AT388">
        <f t="shared" si="82"/>
        <v>1.125</v>
      </c>
      <c r="AU388">
        <f t="shared" si="83"/>
        <v>0</v>
      </c>
      <c r="AV388">
        <f t="shared" si="84"/>
        <v>0.63249999999999995</v>
      </c>
    </row>
    <row r="389" spans="1:48">
      <c r="A389">
        <v>103</v>
      </c>
      <c r="B389">
        <v>3</v>
      </c>
      <c r="D389" t="str">
        <f t="shared" ref="D389:D452" si="85">A389&amp;IF(B389="","","_")&amp;B389&amp;IF(C389="","","_")&amp;C389</f>
        <v>103_3</v>
      </c>
      <c r="E389">
        <v>0</v>
      </c>
      <c r="F389">
        <v>0.625</v>
      </c>
      <c r="G389">
        <v>1.125</v>
      </c>
      <c r="H389">
        <v>1.125</v>
      </c>
      <c r="I389">
        <v>0.25</v>
      </c>
      <c r="J389">
        <v>0.74250000000000005</v>
      </c>
      <c r="K389">
        <v>0.63249999999999995</v>
      </c>
      <c r="L389">
        <v>3.125</v>
      </c>
      <c r="M389" t="s">
        <v>31</v>
      </c>
      <c r="N389" t="s">
        <v>45</v>
      </c>
      <c r="O389" t="s">
        <v>43</v>
      </c>
      <c r="P389" t="s">
        <v>37</v>
      </c>
      <c r="Q389">
        <v>67</v>
      </c>
      <c r="S389">
        <v>0.74250000000000005</v>
      </c>
      <c r="T389">
        <v>0.63249999999999995</v>
      </c>
      <c r="U389">
        <v>0</v>
      </c>
      <c r="V389">
        <v>0</v>
      </c>
      <c r="W389">
        <v>0</v>
      </c>
      <c r="X389">
        <v>0.74250000000000005</v>
      </c>
      <c r="Y389">
        <v>0.14850000000000002</v>
      </c>
      <c r="Z389">
        <v>1.125</v>
      </c>
      <c r="AA389">
        <v>0.63249999999999995</v>
      </c>
      <c r="AI389">
        <f t="shared" ref="AI389:AI452" si="86">U389+AB389</f>
        <v>0</v>
      </c>
      <c r="AJ389">
        <f t="shared" ref="AJ389:AJ452" si="87">V389+AC389</f>
        <v>0</v>
      </c>
      <c r="AK389">
        <f t="shared" ref="AK389:AK452" si="88">W389+AD389</f>
        <v>0</v>
      </c>
      <c r="AL389">
        <f t="shared" ref="AL389:AL452" si="89">X389+AE389</f>
        <v>0.74250000000000005</v>
      </c>
      <c r="AM389">
        <f t="shared" ref="AM389:AM452" si="90">Y389+AF389</f>
        <v>0.14850000000000002</v>
      </c>
      <c r="AN389">
        <f t="shared" ref="AN389:AN452" si="91">Z389+AG389</f>
        <v>1.125</v>
      </c>
      <c r="AO389">
        <f t="shared" ref="AO389:AO452" si="92">AA389+AH389</f>
        <v>0.63249999999999995</v>
      </c>
      <c r="AQ389" t="str">
        <f t="shared" ref="AQ389:AQ452" si="93">D389</f>
        <v>103_3</v>
      </c>
      <c r="AR389">
        <f t="shared" ref="AR389:AR452" si="94">F389</f>
        <v>0.625</v>
      </c>
      <c r="AS389">
        <f t="shared" ref="AS389:AS452" si="95">AI389</f>
        <v>0</v>
      </c>
      <c r="AT389">
        <f t="shared" ref="AT389:AT452" si="96">G389</f>
        <v>1.125</v>
      </c>
      <c r="AU389">
        <f t="shared" ref="AU389:AU452" si="97">AN389</f>
        <v>1.125</v>
      </c>
      <c r="AV389">
        <f t="shared" ref="AV389:AV452" si="98">AO389</f>
        <v>0.63249999999999995</v>
      </c>
    </row>
    <row r="390" spans="1:48">
      <c r="A390">
        <v>103</v>
      </c>
      <c r="B390">
        <v>4</v>
      </c>
      <c r="D390" t="str">
        <f t="shared" si="85"/>
        <v>103_4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 t="s">
        <v>11</v>
      </c>
      <c r="N390" t="s">
        <v>11</v>
      </c>
      <c r="O390" t="s">
        <v>11</v>
      </c>
      <c r="P390" t="s">
        <v>11</v>
      </c>
      <c r="Q390" t="s">
        <v>11</v>
      </c>
      <c r="S390">
        <v>0</v>
      </c>
      <c r="T390">
        <v>0</v>
      </c>
      <c r="U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I390">
        <f t="shared" si="86"/>
        <v>0</v>
      </c>
      <c r="AJ390">
        <f t="shared" si="87"/>
        <v>0</v>
      </c>
      <c r="AK390">
        <f t="shared" si="88"/>
        <v>0</v>
      </c>
      <c r="AL390">
        <f t="shared" si="89"/>
        <v>0</v>
      </c>
      <c r="AM390">
        <f t="shared" si="90"/>
        <v>0</v>
      </c>
      <c r="AN390">
        <f t="shared" si="91"/>
        <v>0</v>
      </c>
      <c r="AO390">
        <f t="shared" si="92"/>
        <v>0</v>
      </c>
      <c r="AQ390" t="str">
        <f t="shared" si="93"/>
        <v>103_4</v>
      </c>
      <c r="AR390">
        <f t="shared" si="94"/>
        <v>0</v>
      </c>
      <c r="AS390">
        <f t="shared" si="95"/>
        <v>0</v>
      </c>
      <c r="AT390">
        <f t="shared" si="96"/>
        <v>0</v>
      </c>
      <c r="AU390">
        <f t="shared" si="97"/>
        <v>0</v>
      </c>
      <c r="AV390">
        <f t="shared" si="98"/>
        <v>0</v>
      </c>
    </row>
    <row r="391" spans="1:48">
      <c r="A391">
        <v>103</v>
      </c>
      <c r="B391">
        <v>5</v>
      </c>
      <c r="D391" t="str">
        <f t="shared" si="85"/>
        <v>103_5</v>
      </c>
      <c r="E391">
        <v>0</v>
      </c>
      <c r="F391">
        <v>0.625</v>
      </c>
      <c r="G391">
        <v>1.125</v>
      </c>
      <c r="H391">
        <v>1.125</v>
      </c>
      <c r="I391">
        <v>0.25</v>
      </c>
      <c r="J391">
        <v>0.74250000000000005</v>
      </c>
      <c r="K391">
        <v>0.63249999999999995</v>
      </c>
      <c r="L391">
        <v>3.125</v>
      </c>
      <c r="M391" t="s">
        <v>31</v>
      </c>
      <c r="N391" t="s">
        <v>45</v>
      </c>
      <c r="O391" t="s">
        <v>43</v>
      </c>
      <c r="P391" t="s">
        <v>37</v>
      </c>
      <c r="Q391">
        <v>67</v>
      </c>
      <c r="S391">
        <v>0.74250000000000005</v>
      </c>
      <c r="T391">
        <v>0.63249999999999995</v>
      </c>
      <c r="U391">
        <v>0</v>
      </c>
      <c r="V391">
        <v>0</v>
      </c>
      <c r="W391">
        <v>0</v>
      </c>
      <c r="X391">
        <v>0.74250000000000005</v>
      </c>
      <c r="Y391">
        <v>0.14850000000000002</v>
      </c>
      <c r="Z391">
        <v>1.125</v>
      </c>
      <c r="AA391">
        <v>0.63249999999999995</v>
      </c>
      <c r="AI391">
        <f t="shared" si="86"/>
        <v>0</v>
      </c>
      <c r="AJ391">
        <f t="shared" si="87"/>
        <v>0</v>
      </c>
      <c r="AK391">
        <f t="shared" si="88"/>
        <v>0</v>
      </c>
      <c r="AL391">
        <f t="shared" si="89"/>
        <v>0.74250000000000005</v>
      </c>
      <c r="AM391">
        <f t="shared" si="90"/>
        <v>0.14850000000000002</v>
      </c>
      <c r="AN391">
        <f t="shared" si="91"/>
        <v>1.125</v>
      </c>
      <c r="AO391">
        <f t="shared" si="92"/>
        <v>0.63249999999999995</v>
      </c>
      <c r="AQ391" t="str">
        <f t="shared" si="93"/>
        <v>103_5</v>
      </c>
      <c r="AR391">
        <f t="shared" si="94"/>
        <v>0.625</v>
      </c>
      <c r="AS391">
        <f t="shared" si="95"/>
        <v>0</v>
      </c>
      <c r="AT391">
        <f t="shared" si="96"/>
        <v>1.125</v>
      </c>
      <c r="AU391">
        <f t="shared" si="97"/>
        <v>1.125</v>
      </c>
      <c r="AV391">
        <f t="shared" si="98"/>
        <v>0.63249999999999995</v>
      </c>
    </row>
    <row r="392" spans="1:48">
      <c r="A392">
        <v>104</v>
      </c>
      <c r="B392" t="s">
        <v>10</v>
      </c>
      <c r="C392" t="s">
        <v>10</v>
      </c>
      <c r="D392" t="str">
        <f t="shared" si="85"/>
        <v>104</v>
      </c>
      <c r="E392" t="s">
        <v>10</v>
      </c>
      <c r="F392" t="s">
        <v>10</v>
      </c>
      <c r="G392" t="s">
        <v>10</v>
      </c>
      <c r="H392" t="s">
        <v>10</v>
      </c>
      <c r="I392" t="s">
        <v>10</v>
      </c>
      <c r="L392">
        <v>0</v>
      </c>
      <c r="M392" t="s">
        <v>11</v>
      </c>
      <c r="Q392">
        <v>68</v>
      </c>
      <c r="R392" t="s">
        <v>35</v>
      </c>
      <c r="AI392">
        <f t="shared" si="86"/>
        <v>0</v>
      </c>
      <c r="AJ392">
        <f t="shared" si="87"/>
        <v>0</v>
      </c>
      <c r="AK392">
        <f t="shared" si="88"/>
        <v>0</v>
      </c>
      <c r="AL392">
        <f t="shared" si="89"/>
        <v>0</v>
      </c>
      <c r="AM392">
        <f t="shared" si="90"/>
        <v>0</v>
      </c>
      <c r="AN392">
        <f t="shared" si="91"/>
        <v>0</v>
      </c>
      <c r="AO392">
        <f t="shared" si="92"/>
        <v>0</v>
      </c>
      <c r="AQ392" t="str">
        <f t="shared" si="93"/>
        <v>104</v>
      </c>
      <c r="AR392" t="str">
        <f t="shared" si="94"/>
        <v/>
      </c>
      <c r="AS392">
        <f t="shared" si="95"/>
        <v>0</v>
      </c>
      <c r="AT392" t="str">
        <f t="shared" si="96"/>
        <v/>
      </c>
      <c r="AU392">
        <f t="shared" si="97"/>
        <v>0</v>
      </c>
      <c r="AV392">
        <f t="shared" si="98"/>
        <v>0</v>
      </c>
    </row>
    <row r="393" spans="1:48">
      <c r="A393">
        <v>104</v>
      </c>
      <c r="B393">
        <v>1</v>
      </c>
      <c r="C393" t="s">
        <v>10</v>
      </c>
      <c r="D393" t="str">
        <f t="shared" si="85"/>
        <v>104_1</v>
      </c>
      <c r="E393">
        <v>0</v>
      </c>
      <c r="F393">
        <v>0.625</v>
      </c>
      <c r="G393">
        <v>1.125</v>
      </c>
      <c r="H393">
        <v>1.125</v>
      </c>
      <c r="I393">
        <v>0.25</v>
      </c>
      <c r="J393">
        <v>0.74250000000000005</v>
      </c>
      <c r="K393">
        <v>0.63249999999999995</v>
      </c>
      <c r="L393">
        <v>3.125</v>
      </c>
      <c r="M393" t="s">
        <v>31</v>
      </c>
      <c r="N393" t="s">
        <v>32</v>
      </c>
      <c r="O393" t="s">
        <v>32</v>
      </c>
      <c r="P393" t="s">
        <v>32</v>
      </c>
      <c r="Q393">
        <v>68</v>
      </c>
      <c r="S393">
        <v>0.74250000000000005</v>
      </c>
      <c r="T393">
        <v>0.63249999999999995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0.63249999999999995</v>
      </c>
      <c r="AI393">
        <f t="shared" si="86"/>
        <v>0</v>
      </c>
      <c r="AJ393">
        <f t="shared" si="87"/>
        <v>0</v>
      </c>
      <c r="AK393">
        <f t="shared" si="88"/>
        <v>0</v>
      </c>
      <c r="AL393">
        <f t="shared" si="89"/>
        <v>0</v>
      </c>
      <c r="AM393">
        <f t="shared" si="90"/>
        <v>0</v>
      </c>
      <c r="AN393">
        <f t="shared" si="91"/>
        <v>0</v>
      </c>
      <c r="AO393">
        <f t="shared" si="92"/>
        <v>0.63249999999999995</v>
      </c>
      <c r="AQ393" t="str">
        <f t="shared" si="93"/>
        <v>104_1</v>
      </c>
      <c r="AR393">
        <f t="shared" si="94"/>
        <v>0.625</v>
      </c>
      <c r="AS393">
        <f t="shared" si="95"/>
        <v>0</v>
      </c>
      <c r="AT393">
        <f t="shared" si="96"/>
        <v>1.125</v>
      </c>
      <c r="AU393">
        <f t="shared" si="97"/>
        <v>0</v>
      </c>
      <c r="AV393">
        <f t="shared" si="98"/>
        <v>0.63249999999999995</v>
      </c>
    </row>
    <row r="394" spans="1:48">
      <c r="A394">
        <v>104</v>
      </c>
      <c r="B394">
        <v>2</v>
      </c>
      <c r="D394" t="str">
        <f t="shared" si="85"/>
        <v>104_2</v>
      </c>
      <c r="E394">
        <v>0</v>
      </c>
      <c r="F394">
        <v>0.625</v>
      </c>
      <c r="G394">
        <v>1.125</v>
      </c>
      <c r="H394">
        <v>1.125</v>
      </c>
      <c r="I394">
        <v>0.25</v>
      </c>
      <c r="J394">
        <v>0.74250000000000005</v>
      </c>
      <c r="K394">
        <v>0.63249999999999995</v>
      </c>
      <c r="L394">
        <v>3.125</v>
      </c>
      <c r="M394" t="s">
        <v>31</v>
      </c>
      <c r="N394" t="s">
        <v>32</v>
      </c>
      <c r="O394" t="s">
        <v>32</v>
      </c>
      <c r="P394" t="s">
        <v>32</v>
      </c>
      <c r="Q394">
        <v>68</v>
      </c>
      <c r="S394">
        <v>0.74250000000000005</v>
      </c>
      <c r="T394">
        <v>0.63249999999999995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0.63249999999999995</v>
      </c>
      <c r="AI394">
        <f t="shared" si="86"/>
        <v>0</v>
      </c>
      <c r="AJ394">
        <f t="shared" si="87"/>
        <v>0</v>
      </c>
      <c r="AK394">
        <f t="shared" si="88"/>
        <v>0</v>
      </c>
      <c r="AL394">
        <f t="shared" si="89"/>
        <v>0</v>
      </c>
      <c r="AM394">
        <f t="shared" si="90"/>
        <v>0</v>
      </c>
      <c r="AN394">
        <f t="shared" si="91"/>
        <v>0</v>
      </c>
      <c r="AO394">
        <f t="shared" si="92"/>
        <v>0.63249999999999995</v>
      </c>
      <c r="AQ394" t="str">
        <f t="shared" si="93"/>
        <v>104_2</v>
      </c>
      <c r="AR394">
        <f t="shared" si="94"/>
        <v>0.625</v>
      </c>
      <c r="AS394">
        <f t="shared" si="95"/>
        <v>0</v>
      </c>
      <c r="AT394">
        <f t="shared" si="96"/>
        <v>1.125</v>
      </c>
      <c r="AU394">
        <f t="shared" si="97"/>
        <v>0</v>
      </c>
      <c r="AV394">
        <f t="shared" si="98"/>
        <v>0.63249999999999995</v>
      </c>
    </row>
    <row r="395" spans="1:48">
      <c r="A395">
        <v>104</v>
      </c>
      <c r="B395">
        <v>3</v>
      </c>
      <c r="D395" t="str">
        <f t="shared" si="85"/>
        <v>104_3</v>
      </c>
      <c r="E395">
        <v>0</v>
      </c>
      <c r="F395">
        <v>0.625</v>
      </c>
      <c r="G395">
        <v>1.125</v>
      </c>
      <c r="H395">
        <v>1.125</v>
      </c>
      <c r="I395">
        <v>0.25</v>
      </c>
      <c r="J395">
        <v>0.74250000000000005</v>
      </c>
      <c r="K395">
        <v>0.63249999999999995</v>
      </c>
      <c r="L395">
        <v>3.125</v>
      </c>
      <c r="M395" t="s">
        <v>31</v>
      </c>
      <c r="N395" t="s">
        <v>33</v>
      </c>
      <c r="O395" t="s">
        <v>43</v>
      </c>
      <c r="P395" t="s">
        <v>43</v>
      </c>
      <c r="Q395">
        <v>68</v>
      </c>
      <c r="S395">
        <v>0.74250000000000005</v>
      </c>
      <c r="T395">
        <v>0.63249999999999995</v>
      </c>
      <c r="U395">
        <v>0.125</v>
      </c>
      <c r="V395">
        <v>0</v>
      </c>
      <c r="W395">
        <v>0.125</v>
      </c>
      <c r="X395">
        <v>0.74250000000000005</v>
      </c>
      <c r="Y395">
        <v>0.14850000000000002</v>
      </c>
      <c r="Z395">
        <v>1.125</v>
      </c>
      <c r="AA395">
        <v>0.63249999999999995</v>
      </c>
      <c r="AI395">
        <f t="shared" si="86"/>
        <v>0.125</v>
      </c>
      <c r="AJ395">
        <f t="shared" si="87"/>
        <v>0</v>
      </c>
      <c r="AK395">
        <f t="shared" si="88"/>
        <v>0.125</v>
      </c>
      <c r="AL395">
        <f t="shared" si="89"/>
        <v>0.74250000000000005</v>
      </c>
      <c r="AM395">
        <f t="shared" si="90"/>
        <v>0.14850000000000002</v>
      </c>
      <c r="AN395">
        <f t="shared" si="91"/>
        <v>1.125</v>
      </c>
      <c r="AO395">
        <f t="shared" si="92"/>
        <v>0.63249999999999995</v>
      </c>
      <c r="AQ395" t="str">
        <f t="shared" si="93"/>
        <v>104_3</v>
      </c>
      <c r="AR395">
        <f t="shared" si="94"/>
        <v>0.625</v>
      </c>
      <c r="AS395">
        <f t="shared" si="95"/>
        <v>0.125</v>
      </c>
      <c r="AT395">
        <f t="shared" si="96"/>
        <v>1.125</v>
      </c>
      <c r="AU395">
        <f t="shared" si="97"/>
        <v>1.125</v>
      </c>
      <c r="AV395">
        <f t="shared" si="98"/>
        <v>0.63249999999999995</v>
      </c>
    </row>
    <row r="396" spans="1:48">
      <c r="A396">
        <v>104</v>
      </c>
      <c r="B396">
        <v>4</v>
      </c>
      <c r="D396" t="str">
        <f t="shared" si="85"/>
        <v>104_4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11</v>
      </c>
      <c r="N396" t="s">
        <v>11</v>
      </c>
      <c r="O396" t="s">
        <v>11</v>
      </c>
      <c r="P396" t="s">
        <v>11</v>
      </c>
      <c r="Q396" t="s">
        <v>11</v>
      </c>
      <c r="S396">
        <v>0</v>
      </c>
      <c r="T396">
        <v>0</v>
      </c>
      <c r="U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I396">
        <f t="shared" si="86"/>
        <v>0</v>
      </c>
      <c r="AJ396">
        <f t="shared" si="87"/>
        <v>0</v>
      </c>
      <c r="AK396">
        <f t="shared" si="88"/>
        <v>0</v>
      </c>
      <c r="AL396">
        <f t="shared" si="89"/>
        <v>0</v>
      </c>
      <c r="AM396">
        <f t="shared" si="90"/>
        <v>0</v>
      </c>
      <c r="AN396">
        <f t="shared" si="91"/>
        <v>0</v>
      </c>
      <c r="AO396">
        <f t="shared" si="92"/>
        <v>0</v>
      </c>
      <c r="AQ396" t="str">
        <f t="shared" si="93"/>
        <v>104_4</v>
      </c>
      <c r="AR396">
        <f t="shared" si="94"/>
        <v>0</v>
      </c>
      <c r="AS396">
        <f t="shared" si="95"/>
        <v>0</v>
      </c>
      <c r="AT396">
        <f t="shared" si="96"/>
        <v>0</v>
      </c>
      <c r="AU396">
        <f t="shared" si="97"/>
        <v>0</v>
      </c>
      <c r="AV396">
        <f t="shared" si="98"/>
        <v>0</v>
      </c>
    </row>
    <row r="397" spans="1:48">
      <c r="A397">
        <v>104</v>
      </c>
      <c r="B397">
        <v>5</v>
      </c>
      <c r="D397" t="str">
        <f t="shared" si="85"/>
        <v>104_5</v>
      </c>
      <c r="E397">
        <v>0</v>
      </c>
      <c r="F397">
        <v>0.625</v>
      </c>
      <c r="G397">
        <v>1.125</v>
      </c>
      <c r="H397">
        <v>1.125</v>
      </c>
      <c r="I397">
        <v>0.25</v>
      </c>
      <c r="J397">
        <v>0.74250000000000005</v>
      </c>
      <c r="K397">
        <v>0.63249999999999995</v>
      </c>
      <c r="L397">
        <v>3.125</v>
      </c>
      <c r="M397" t="s">
        <v>31</v>
      </c>
      <c r="N397" t="s">
        <v>33</v>
      </c>
      <c r="O397" t="s">
        <v>43</v>
      </c>
      <c r="P397" t="s">
        <v>43</v>
      </c>
      <c r="Q397">
        <v>68</v>
      </c>
      <c r="S397">
        <v>0.74250000000000005</v>
      </c>
      <c r="T397">
        <v>0.63249999999999995</v>
      </c>
      <c r="U397">
        <v>0.125</v>
      </c>
      <c r="V397">
        <v>0</v>
      </c>
      <c r="W397">
        <v>0.125</v>
      </c>
      <c r="X397">
        <v>0.74250000000000005</v>
      </c>
      <c r="Y397">
        <v>0.14850000000000002</v>
      </c>
      <c r="Z397">
        <v>1.125</v>
      </c>
      <c r="AA397">
        <v>0.63249999999999995</v>
      </c>
      <c r="AI397">
        <f t="shared" si="86"/>
        <v>0.125</v>
      </c>
      <c r="AJ397">
        <f t="shared" si="87"/>
        <v>0</v>
      </c>
      <c r="AK397">
        <f t="shared" si="88"/>
        <v>0.125</v>
      </c>
      <c r="AL397">
        <f t="shared" si="89"/>
        <v>0.74250000000000005</v>
      </c>
      <c r="AM397">
        <f t="shared" si="90"/>
        <v>0.14850000000000002</v>
      </c>
      <c r="AN397">
        <f t="shared" si="91"/>
        <v>1.125</v>
      </c>
      <c r="AO397">
        <f t="shared" si="92"/>
        <v>0.63249999999999995</v>
      </c>
      <c r="AQ397" t="str">
        <f t="shared" si="93"/>
        <v>104_5</v>
      </c>
      <c r="AR397">
        <f t="shared" si="94"/>
        <v>0.625</v>
      </c>
      <c r="AS397">
        <f t="shared" si="95"/>
        <v>0.125</v>
      </c>
      <c r="AT397">
        <f t="shared" si="96"/>
        <v>1.125</v>
      </c>
      <c r="AU397">
        <f t="shared" si="97"/>
        <v>1.125</v>
      </c>
      <c r="AV397">
        <f t="shared" si="98"/>
        <v>0.63249999999999995</v>
      </c>
    </row>
    <row r="398" spans="1:48">
      <c r="A398">
        <v>105</v>
      </c>
      <c r="B398" t="s">
        <v>10</v>
      </c>
      <c r="C398" t="s">
        <v>10</v>
      </c>
      <c r="D398" t="str">
        <f t="shared" si="85"/>
        <v>105</v>
      </c>
      <c r="E398" t="s">
        <v>10</v>
      </c>
      <c r="F398" t="s">
        <v>10</v>
      </c>
      <c r="G398" t="s">
        <v>10</v>
      </c>
      <c r="H398" t="s">
        <v>10</v>
      </c>
      <c r="I398" t="s">
        <v>10</v>
      </c>
      <c r="L398">
        <v>0</v>
      </c>
      <c r="M398" t="s">
        <v>11</v>
      </c>
      <c r="Q398">
        <v>51</v>
      </c>
      <c r="R398" t="s">
        <v>35</v>
      </c>
      <c r="AI398">
        <f t="shared" si="86"/>
        <v>0</v>
      </c>
      <c r="AJ398">
        <f t="shared" si="87"/>
        <v>0</v>
      </c>
      <c r="AK398">
        <f t="shared" si="88"/>
        <v>0</v>
      </c>
      <c r="AL398">
        <f t="shared" si="89"/>
        <v>0</v>
      </c>
      <c r="AM398">
        <f t="shared" si="90"/>
        <v>0</v>
      </c>
      <c r="AN398">
        <f t="shared" si="91"/>
        <v>0</v>
      </c>
      <c r="AO398">
        <f t="shared" si="92"/>
        <v>0</v>
      </c>
      <c r="AQ398" t="str">
        <f t="shared" si="93"/>
        <v>105</v>
      </c>
      <c r="AR398" t="str">
        <f t="shared" si="94"/>
        <v/>
      </c>
      <c r="AS398">
        <f t="shared" si="95"/>
        <v>0</v>
      </c>
      <c r="AT398" t="str">
        <f t="shared" si="96"/>
        <v/>
      </c>
      <c r="AU398">
        <f t="shared" si="97"/>
        <v>0</v>
      </c>
      <c r="AV398">
        <f t="shared" si="98"/>
        <v>0</v>
      </c>
    </row>
    <row r="399" spans="1:48">
      <c r="A399">
        <v>105</v>
      </c>
      <c r="B399">
        <v>1</v>
      </c>
      <c r="C399" t="s">
        <v>10</v>
      </c>
      <c r="D399" t="str">
        <f t="shared" si="85"/>
        <v>105_1</v>
      </c>
      <c r="E399">
        <v>0</v>
      </c>
      <c r="F399">
        <v>0.625</v>
      </c>
      <c r="G399">
        <v>1.125</v>
      </c>
      <c r="H399">
        <v>1.125</v>
      </c>
      <c r="I399">
        <v>0.25</v>
      </c>
      <c r="J399">
        <v>0.74250000000000005</v>
      </c>
      <c r="K399">
        <v>0.63249999999999995</v>
      </c>
      <c r="L399">
        <v>3.125</v>
      </c>
      <c r="M399" t="s">
        <v>31</v>
      </c>
      <c r="N399" t="s">
        <v>32</v>
      </c>
      <c r="O399" t="s">
        <v>32</v>
      </c>
      <c r="P399" t="s">
        <v>33</v>
      </c>
      <c r="Q399">
        <v>51</v>
      </c>
      <c r="S399">
        <v>0.74250000000000005</v>
      </c>
      <c r="T399">
        <v>0.63249999999999995</v>
      </c>
      <c r="U399">
        <v>0</v>
      </c>
      <c r="V399">
        <v>0</v>
      </c>
      <c r="W399">
        <v>0</v>
      </c>
      <c r="X399">
        <v>0.14850000000000002</v>
      </c>
      <c r="Y399">
        <v>0.14850000000000002</v>
      </c>
      <c r="Z399">
        <v>0</v>
      </c>
      <c r="AA399">
        <v>0.63249999999999995</v>
      </c>
      <c r="AI399">
        <f t="shared" si="86"/>
        <v>0</v>
      </c>
      <c r="AJ399">
        <f t="shared" si="87"/>
        <v>0</v>
      </c>
      <c r="AK399">
        <f t="shared" si="88"/>
        <v>0</v>
      </c>
      <c r="AL399">
        <f t="shared" si="89"/>
        <v>0.14850000000000002</v>
      </c>
      <c r="AM399">
        <f t="shared" si="90"/>
        <v>0.14850000000000002</v>
      </c>
      <c r="AN399">
        <f t="shared" si="91"/>
        <v>0</v>
      </c>
      <c r="AO399">
        <f t="shared" si="92"/>
        <v>0.63249999999999995</v>
      </c>
      <c r="AQ399" t="str">
        <f t="shared" si="93"/>
        <v>105_1</v>
      </c>
      <c r="AR399">
        <f t="shared" si="94"/>
        <v>0.625</v>
      </c>
      <c r="AS399">
        <f t="shared" si="95"/>
        <v>0</v>
      </c>
      <c r="AT399">
        <f t="shared" si="96"/>
        <v>1.125</v>
      </c>
      <c r="AU399">
        <f t="shared" si="97"/>
        <v>0</v>
      </c>
      <c r="AV399">
        <f t="shared" si="98"/>
        <v>0.63249999999999995</v>
      </c>
    </row>
    <row r="400" spans="1:48">
      <c r="A400">
        <v>105</v>
      </c>
      <c r="B400">
        <v>2</v>
      </c>
      <c r="C400" t="s">
        <v>10</v>
      </c>
      <c r="D400" t="str">
        <f t="shared" si="85"/>
        <v>105_2</v>
      </c>
      <c r="E400">
        <v>0</v>
      </c>
      <c r="F400">
        <v>0.625</v>
      </c>
      <c r="G400">
        <v>1.125</v>
      </c>
      <c r="H400">
        <v>1.125</v>
      </c>
      <c r="I400">
        <v>0.25</v>
      </c>
      <c r="J400">
        <v>0.74250000000000005</v>
      </c>
      <c r="K400">
        <v>0.63249999999999995</v>
      </c>
      <c r="L400">
        <v>3.125</v>
      </c>
      <c r="M400" t="s">
        <v>31</v>
      </c>
      <c r="N400" t="s">
        <v>32</v>
      </c>
      <c r="O400" t="s">
        <v>32</v>
      </c>
      <c r="P400" t="s">
        <v>33</v>
      </c>
      <c r="Q400">
        <v>51</v>
      </c>
      <c r="S400">
        <v>0.74250000000000005</v>
      </c>
      <c r="T400">
        <v>0.63249999999999995</v>
      </c>
      <c r="U400">
        <v>0</v>
      </c>
      <c r="V400">
        <v>0</v>
      </c>
      <c r="W400">
        <v>0</v>
      </c>
      <c r="X400">
        <v>0.14850000000000002</v>
      </c>
      <c r="Y400">
        <v>0.14850000000000002</v>
      </c>
      <c r="Z400">
        <v>0</v>
      </c>
      <c r="AA400">
        <v>0.63249999999999995</v>
      </c>
      <c r="AI400">
        <f t="shared" si="86"/>
        <v>0</v>
      </c>
      <c r="AJ400">
        <f t="shared" si="87"/>
        <v>0</v>
      </c>
      <c r="AK400">
        <f t="shared" si="88"/>
        <v>0</v>
      </c>
      <c r="AL400">
        <f t="shared" si="89"/>
        <v>0.14850000000000002</v>
      </c>
      <c r="AM400">
        <f t="shared" si="90"/>
        <v>0.14850000000000002</v>
      </c>
      <c r="AN400">
        <f t="shared" si="91"/>
        <v>0</v>
      </c>
      <c r="AO400">
        <f t="shared" si="92"/>
        <v>0.63249999999999995</v>
      </c>
      <c r="AQ400" t="str">
        <f t="shared" si="93"/>
        <v>105_2</v>
      </c>
      <c r="AR400">
        <f t="shared" si="94"/>
        <v>0.625</v>
      </c>
      <c r="AS400">
        <f t="shared" si="95"/>
        <v>0</v>
      </c>
      <c r="AT400">
        <f t="shared" si="96"/>
        <v>1.125</v>
      </c>
      <c r="AU400">
        <f t="shared" si="97"/>
        <v>0</v>
      </c>
      <c r="AV400">
        <f t="shared" si="98"/>
        <v>0.63249999999999995</v>
      </c>
    </row>
    <row r="401" spans="1:48">
      <c r="A401">
        <v>105</v>
      </c>
      <c r="B401">
        <v>3</v>
      </c>
      <c r="C401">
        <v>1</v>
      </c>
      <c r="D401" t="str">
        <f t="shared" si="85"/>
        <v>105_3_1</v>
      </c>
      <c r="E401">
        <v>0</v>
      </c>
      <c r="F401">
        <v>0.625</v>
      </c>
      <c r="G401">
        <v>0</v>
      </c>
      <c r="H401">
        <v>1.125</v>
      </c>
      <c r="I401">
        <v>0.25</v>
      </c>
      <c r="J401">
        <v>0.74250000000000005</v>
      </c>
      <c r="K401">
        <v>0.63249999999999995</v>
      </c>
      <c r="L401">
        <v>2</v>
      </c>
      <c r="M401" t="s">
        <v>31</v>
      </c>
      <c r="N401" t="s">
        <v>36</v>
      </c>
      <c r="O401" t="s">
        <v>36</v>
      </c>
      <c r="P401" t="s">
        <v>43</v>
      </c>
      <c r="Q401">
        <v>76</v>
      </c>
      <c r="S401">
        <v>0.74250000000000005</v>
      </c>
      <c r="T401">
        <v>0.63249999999999995</v>
      </c>
      <c r="U401">
        <v>0</v>
      </c>
      <c r="V401">
        <v>0</v>
      </c>
      <c r="W401">
        <v>0</v>
      </c>
      <c r="X401">
        <v>0.74250000000000005</v>
      </c>
      <c r="Y401">
        <v>0.14850000000000002</v>
      </c>
      <c r="Z401">
        <v>0</v>
      </c>
      <c r="AA401">
        <v>0.63249999999999995</v>
      </c>
      <c r="AI401">
        <f t="shared" si="86"/>
        <v>0</v>
      </c>
      <c r="AJ401">
        <f t="shared" si="87"/>
        <v>0</v>
      </c>
      <c r="AK401">
        <f t="shared" si="88"/>
        <v>0</v>
      </c>
      <c r="AL401">
        <f t="shared" si="89"/>
        <v>0.74250000000000005</v>
      </c>
      <c r="AM401">
        <f t="shared" si="90"/>
        <v>0.14850000000000002</v>
      </c>
      <c r="AN401">
        <f t="shared" si="91"/>
        <v>0</v>
      </c>
      <c r="AO401">
        <f t="shared" si="92"/>
        <v>0.63249999999999995</v>
      </c>
      <c r="AQ401" t="str">
        <f t="shared" si="93"/>
        <v>105_3_1</v>
      </c>
      <c r="AR401">
        <f t="shared" si="94"/>
        <v>0.625</v>
      </c>
      <c r="AS401">
        <f t="shared" si="95"/>
        <v>0</v>
      </c>
      <c r="AT401">
        <f t="shared" si="96"/>
        <v>0</v>
      </c>
      <c r="AU401">
        <f t="shared" si="97"/>
        <v>0</v>
      </c>
      <c r="AV401">
        <f t="shared" si="98"/>
        <v>0.63249999999999995</v>
      </c>
    </row>
    <row r="402" spans="1:48">
      <c r="A402">
        <v>105</v>
      </c>
      <c r="B402">
        <v>3</v>
      </c>
      <c r="C402">
        <v>2</v>
      </c>
      <c r="D402" t="str">
        <f t="shared" si="85"/>
        <v>105_3_2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11</v>
      </c>
      <c r="N402" t="s">
        <v>11</v>
      </c>
      <c r="O402" t="s">
        <v>11</v>
      </c>
      <c r="P402" t="s">
        <v>11</v>
      </c>
      <c r="Q402" t="s">
        <v>11</v>
      </c>
      <c r="S402">
        <v>0</v>
      </c>
      <c r="T402">
        <v>0</v>
      </c>
      <c r="U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I402">
        <f t="shared" si="86"/>
        <v>0</v>
      </c>
      <c r="AJ402">
        <f t="shared" si="87"/>
        <v>0</v>
      </c>
      <c r="AK402">
        <f t="shared" si="88"/>
        <v>0</v>
      </c>
      <c r="AL402">
        <f t="shared" si="89"/>
        <v>0</v>
      </c>
      <c r="AM402">
        <f t="shared" si="90"/>
        <v>0</v>
      </c>
      <c r="AN402">
        <f t="shared" si="91"/>
        <v>0</v>
      </c>
      <c r="AO402">
        <f t="shared" si="92"/>
        <v>0</v>
      </c>
      <c r="AQ402" t="str">
        <f t="shared" si="93"/>
        <v>105_3_2</v>
      </c>
      <c r="AR402">
        <f t="shared" si="94"/>
        <v>0</v>
      </c>
      <c r="AS402">
        <f t="shared" si="95"/>
        <v>0</v>
      </c>
      <c r="AT402">
        <f t="shared" si="96"/>
        <v>0</v>
      </c>
      <c r="AU402">
        <f t="shared" si="97"/>
        <v>0</v>
      </c>
      <c r="AV402">
        <f t="shared" si="98"/>
        <v>0</v>
      </c>
    </row>
    <row r="403" spans="1:48">
      <c r="A403">
        <v>105</v>
      </c>
      <c r="B403">
        <v>4</v>
      </c>
      <c r="D403" t="str">
        <f t="shared" si="85"/>
        <v>105_4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11</v>
      </c>
      <c r="N403" t="s">
        <v>11</v>
      </c>
      <c r="O403" t="s">
        <v>11</v>
      </c>
      <c r="P403" t="s">
        <v>11</v>
      </c>
      <c r="Q403" t="s">
        <v>11</v>
      </c>
      <c r="S403">
        <v>0</v>
      </c>
      <c r="T403">
        <v>0</v>
      </c>
      <c r="U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I403">
        <f t="shared" si="86"/>
        <v>0</v>
      </c>
      <c r="AJ403">
        <f t="shared" si="87"/>
        <v>0</v>
      </c>
      <c r="AK403">
        <f t="shared" si="88"/>
        <v>0</v>
      </c>
      <c r="AL403">
        <f t="shared" si="89"/>
        <v>0</v>
      </c>
      <c r="AM403">
        <f t="shared" si="90"/>
        <v>0</v>
      </c>
      <c r="AN403">
        <f t="shared" si="91"/>
        <v>0</v>
      </c>
      <c r="AO403">
        <f t="shared" si="92"/>
        <v>0</v>
      </c>
      <c r="AQ403" t="str">
        <f t="shared" si="93"/>
        <v>105_4</v>
      </c>
      <c r="AR403">
        <f t="shared" si="94"/>
        <v>0</v>
      </c>
      <c r="AS403">
        <f t="shared" si="95"/>
        <v>0</v>
      </c>
      <c r="AT403">
        <f t="shared" si="96"/>
        <v>0</v>
      </c>
      <c r="AU403">
        <f t="shared" si="97"/>
        <v>0</v>
      </c>
      <c r="AV403">
        <f t="shared" si="98"/>
        <v>0</v>
      </c>
    </row>
    <row r="404" spans="1:48">
      <c r="A404">
        <v>105</v>
      </c>
      <c r="B404">
        <v>5</v>
      </c>
      <c r="C404">
        <v>1</v>
      </c>
      <c r="D404" t="str">
        <f t="shared" si="85"/>
        <v>105_5_1</v>
      </c>
      <c r="E404">
        <v>0</v>
      </c>
      <c r="F404">
        <v>0.75</v>
      </c>
      <c r="G404">
        <v>1.5</v>
      </c>
      <c r="H404">
        <v>1.5</v>
      </c>
      <c r="I404">
        <v>0.25</v>
      </c>
      <c r="J404">
        <v>0.94500000000000006</v>
      </c>
      <c r="K404">
        <v>0.80499999999999994</v>
      </c>
      <c r="L404">
        <v>4</v>
      </c>
      <c r="M404" t="s">
        <v>31</v>
      </c>
      <c r="N404" t="s">
        <v>33</v>
      </c>
      <c r="O404" t="s">
        <v>43</v>
      </c>
      <c r="P404" t="s">
        <v>43</v>
      </c>
      <c r="Q404">
        <v>76</v>
      </c>
      <c r="S404">
        <v>0.94500000000000006</v>
      </c>
      <c r="T404">
        <v>0.80499999999999994</v>
      </c>
      <c r="U404">
        <v>0.15000000000000002</v>
      </c>
      <c r="V404">
        <v>0</v>
      </c>
      <c r="W404">
        <v>0.15000000000000002</v>
      </c>
      <c r="X404">
        <v>0.94500000000000006</v>
      </c>
      <c r="Y404">
        <v>0.18900000000000003</v>
      </c>
      <c r="Z404">
        <v>1.5</v>
      </c>
      <c r="AA404">
        <v>0.80499999999999994</v>
      </c>
      <c r="AI404">
        <f t="shared" si="86"/>
        <v>0.15000000000000002</v>
      </c>
      <c r="AJ404">
        <f t="shared" si="87"/>
        <v>0</v>
      </c>
      <c r="AK404">
        <f t="shared" si="88"/>
        <v>0.15000000000000002</v>
      </c>
      <c r="AL404">
        <f t="shared" si="89"/>
        <v>0.94500000000000006</v>
      </c>
      <c r="AM404">
        <f t="shared" si="90"/>
        <v>0.18900000000000003</v>
      </c>
      <c r="AN404">
        <f t="shared" si="91"/>
        <v>1.5</v>
      </c>
      <c r="AO404">
        <f t="shared" si="92"/>
        <v>0.80499999999999994</v>
      </c>
      <c r="AQ404" t="str">
        <f t="shared" si="93"/>
        <v>105_5_1</v>
      </c>
      <c r="AR404">
        <f t="shared" si="94"/>
        <v>0.75</v>
      </c>
      <c r="AS404">
        <f t="shared" si="95"/>
        <v>0.15000000000000002</v>
      </c>
      <c r="AT404">
        <f t="shared" si="96"/>
        <v>1.5</v>
      </c>
      <c r="AU404">
        <f t="shared" si="97"/>
        <v>1.5</v>
      </c>
      <c r="AV404">
        <f t="shared" si="98"/>
        <v>0.80499999999999994</v>
      </c>
    </row>
    <row r="405" spans="1:48">
      <c r="A405">
        <v>105</v>
      </c>
      <c r="B405">
        <v>5</v>
      </c>
      <c r="C405">
        <v>2</v>
      </c>
      <c r="D405" t="str">
        <f t="shared" si="85"/>
        <v>105_5_2</v>
      </c>
      <c r="E405">
        <v>0</v>
      </c>
      <c r="F405">
        <v>1.25</v>
      </c>
      <c r="G405">
        <v>2.25</v>
      </c>
      <c r="H405">
        <v>2.25</v>
      </c>
      <c r="I405">
        <v>0.375</v>
      </c>
      <c r="J405">
        <v>1.4175</v>
      </c>
      <c r="K405">
        <v>1.2075</v>
      </c>
      <c r="L405">
        <v>6.125</v>
      </c>
      <c r="M405" t="s">
        <v>31</v>
      </c>
      <c r="N405" t="s">
        <v>33</v>
      </c>
      <c r="O405" t="s">
        <v>43</v>
      </c>
      <c r="P405" t="s">
        <v>43</v>
      </c>
      <c r="Q405">
        <v>76</v>
      </c>
      <c r="S405">
        <v>1.4175</v>
      </c>
      <c r="T405">
        <v>1.2075</v>
      </c>
      <c r="U405">
        <v>0.25</v>
      </c>
      <c r="V405">
        <v>0</v>
      </c>
      <c r="W405">
        <v>0.25</v>
      </c>
      <c r="X405">
        <v>1.4175</v>
      </c>
      <c r="Y405">
        <v>0.28350000000000003</v>
      </c>
      <c r="Z405">
        <v>2.25</v>
      </c>
      <c r="AA405">
        <v>1.2075</v>
      </c>
      <c r="AI405">
        <f t="shared" si="86"/>
        <v>0.25</v>
      </c>
      <c r="AJ405">
        <f t="shared" si="87"/>
        <v>0</v>
      </c>
      <c r="AK405">
        <f t="shared" si="88"/>
        <v>0.25</v>
      </c>
      <c r="AL405">
        <f t="shared" si="89"/>
        <v>1.4175</v>
      </c>
      <c r="AM405">
        <f t="shared" si="90"/>
        <v>0.28350000000000003</v>
      </c>
      <c r="AN405">
        <f t="shared" si="91"/>
        <v>2.25</v>
      </c>
      <c r="AO405">
        <f t="shared" si="92"/>
        <v>1.2075</v>
      </c>
      <c r="AQ405" t="str">
        <f t="shared" si="93"/>
        <v>105_5_2</v>
      </c>
      <c r="AR405">
        <f t="shared" si="94"/>
        <v>1.25</v>
      </c>
      <c r="AS405">
        <f t="shared" si="95"/>
        <v>0.25</v>
      </c>
      <c r="AT405">
        <f t="shared" si="96"/>
        <v>2.25</v>
      </c>
      <c r="AU405">
        <f t="shared" si="97"/>
        <v>2.25</v>
      </c>
      <c r="AV405">
        <f t="shared" si="98"/>
        <v>1.2075</v>
      </c>
    </row>
    <row r="406" spans="1:48">
      <c r="A406">
        <v>106</v>
      </c>
      <c r="B406" t="s">
        <v>10</v>
      </c>
      <c r="C406" t="s">
        <v>10</v>
      </c>
      <c r="D406" t="str">
        <f t="shared" si="85"/>
        <v>106</v>
      </c>
      <c r="E406" t="s">
        <v>10</v>
      </c>
      <c r="F406" t="s">
        <v>10</v>
      </c>
      <c r="G406" t="s">
        <v>10</v>
      </c>
      <c r="H406" t="s">
        <v>10</v>
      </c>
      <c r="I406" t="s">
        <v>10</v>
      </c>
      <c r="L406">
        <v>0</v>
      </c>
      <c r="M406" t="s">
        <v>11</v>
      </c>
      <c r="Q406">
        <v>51</v>
      </c>
      <c r="R406" t="s">
        <v>35</v>
      </c>
      <c r="AI406">
        <f t="shared" si="86"/>
        <v>0</v>
      </c>
      <c r="AJ406">
        <f t="shared" si="87"/>
        <v>0</v>
      </c>
      <c r="AK406">
        <f t="shared" si="88"/>
        <v>0</v>
      </c>
      <c r="AL406">
        <f t="shared" si="89"/>
        <v>0</v>
      </c>
      <c r="AM406">
        <f t="shared" si="90"/>
        <v>0</v>
      </c>
      <c r="AN406">
        <f t="shared" si="91"/>
        <v>0</v>
      </c>
      <c r="AO406">
        <f t="shared" si="92"/>
        <v>0</v>
      </c>
      <c r="AQ406" t="str">
        <f t="shared" si="93"/>
        <v>106</v>
      </c>
      <c r="AR406" t="str">
        <f t="shared" si="94"/>
        <v/>
      </c>
      <c r="AS406">
        <f t="shared" si="95"/>
        <v>0</v>
      </c>
      <c r="AT406" t="str">
        <f t="shared" si="96"/>
        <v/>
      </c>
      <c r="AU406">
        <f t="shared" si="97"/>
        <v>0</v>
      </c>
      <c r="AV406">
        <f t="shared" si="98"/>
        <v>0</v>
      </c>
    </row>
    <row r="407" spans="1:48">
      <c r="A407">
        <v>106</v>
      </c>
      <c r="B407">
        <v>1</v>
      </c>
      <c r="C407" t="s">
        <v>10</v>
      </c>
      <c r="D407" t="str">
        <f t="shared" si="85"/>
        <v>106_1</v>
      </c>
      <c r="E407">
        <v>0</v>
      </c>
      <c r="F407">
        <v>0.625</v>
      </c>
      <c r="G407">
        <v>1.125</v>
      </c>
      <c r="H407">
        <v>1.125</v>
      </c>
      <c r="I407">
        <v>0.25</v>
      </c>
      <c r="J407">
        <v>0.74250000000000005</v>
      </c>
      <c r="K407">
        <v>0.63249999999999995</v>
      </c>
      <c r="L407">
        <v>3.125</v>
      </c>
      <c r="M407" t="s">
        <v>31</v>
      </c>
      <c r="N407" t="s">
        <v>32</v>
      </c>
      <c r="O407" t="s">
        <v>32</v>
      </c>
      <c r="P407" t="s">
        <v>33</v>
      </c>
      <c r="Q407">
        <v>51</v>
      </c>
      <c r="S407">
        <v>0.74250000000000005</v>
      </c>
      <c r="T407">
        <v>0.63249999999999995</v>
      </c>
      <c r="U407">
        <v>0</v>
      </c>
      <c r="V407">
        <v>0</v>
      </c>
      <c r="W407">
        <v>0</v>
      </c>
      <c r="X407">
        <v>0.14850000000000002</v>
      </c>
      <c r="Y407">
        <v>0.14850000000000002</v>
      </c>
      <c r="Z407">
        <v>0</v>
      </c>
      <c r="AA407">
        <v>0.63249999999999995</v>
      </c>
      <c r="AI407">
        <f t="shared" si="86"/>
        <v>0</v>
      </c>
      <c r="AJ407">
        <f t="shared" si="87"/>
        <v>0</v>
      </c>
      <c r="AK407">
        <f t="shared" si="88"/>
        <v>0</v>
      </c>
      <c r="AL407">
        <f t="shared" si="89"/>
        <v>0.14850000000000002</v>
      </c>
      <c r="AM407">
        <f t="shared" si="90"/>
        <v>0.14850000000000002</v>
      </c>
      <c r="AN407">
        <f t="shared" si="91"/>
        <v>0</v>
      </c>
      <c r="AO407">
        <f t="shared" si="92"/>
        <v>0.63249999999999995</v>
      </c>
      <c r="AQ407" t="str">
        <f t="shared" si="93"/>
        <v>106_1</v>
      </c>
      <c r="AR407">
        <f t="shared" si="94"/>
        <v>0.625</v>
      </c>
      <c r="AS407">
        <f t="shared" si="95"/>
        <v>0</v>
      </c>
      <c r="AT407">
        <f t="shared" si="96"/>
        <v>1.125</v>
      </c>
      <c r="AU407">
        <f t="shared" si="97"/>
        <v>0</v>
      </c>
      <c r="AV407">
        <f t="shared" si="98"/>
        <v>0.63249999999999995</v>
      </c>
    </row>
    <row r="408" spans="1:48">
      <c r="A408">
        <v>106</v>
      </c>
      <c r="B408">
        <v>2</v>
      </c>
      <c r="C408" t="s">
        <v>10</v>
      </c>
      <c r="D408" t="str">
        <f t="shared" si="85"/>
        <v>106_2</v>
      </c>
      <c r="E408">
        <v>0</v>
      </c>
      <c r="F408">
        <v>0.625</v>
      </c>
      <c r="G408">
        <v>1.125</v>
      </c>
      <c r="H408">
        <v>1.125</v>
      </c>
      <c r="I408">
        <v>0.25</v>
      </c>
      <c r="J408">
        <v>0.74250000000000005</v>
      </c>
      <c r="K408">
        <v>0.63249999999999995</v>
      </c>
      <c r="L408">
        <v>3.125</v>
      </c>
      <c r="M408" t="s">
        <v>31</v>
      </c>
      <c r="N408" t="s">
        <v>32</v>
      </c>
      <c r="O408" t="s">
        <v>32</v>
      </c>
      <c r="P408" t="s">
        <v>33</v>
      </c>
      <c r="Q408">
        <v>51</v>
      </c>
      <c r="S408">
        <v>0.74250000000000005</v>
      </c>
      <c r="T408">
        <v>0.63249999999999995</v>
      </c>
      <c r="U408">
        <v>0</v>
      </c>
      <c r="V408">
        <v>0</v>
      </c>
      <c r="W408">
        <v>0</v>
      </c>
      <c r="X408">
        <v>0.14850000000000002</v>
      </c>
      <c r="Y408">
        <v>0.14850000000000002</v>
      </c>
      <c r="Z408">
        <v>0</v>
      </c>
      <c r="AA408">
        <v>0.63249999999999995</v>
      </c>
      <c r="AI408">
        <f t="shared" si="86"/>
        <v>0</v>
      </c>
      <c r="AJ408">
        <f t="shared" si="87"/>
        <v>0</v>
      </c>
      <c r="AK408">
        <f t="shared" si="88"/>
        <v>0</v>
      </c>
      <c r="AL408">
        <f t="shared" si="89"/>
        <v>0.14850000000000002</v>
      </c>
      <c r="AM408">
        <f t="shared" si="90"/>
        <v>0.14850000000000002</v>
      </c>
      <c r="AN408">
        <f t="shared" si="91"/>
        <v>0</v>
      </c>
      <c r="AO408">
        <f t="shared" si="92"/>
        <v>0.63249999999999995</v>
      </c>
      <c r="AQ408" t="str">
        <f t="shared" si="93"/>
        <v>106_2</v>
      </c>
      <c r="AR408">
        <f t="shared" si="94"/>
        <v>0.625</v>
      </c>
      <c r="AS408">
        <f t="shared" si="95"/>
        <v>0</v>
      </c>
      <c r="AT408">
        <f t="shared" si="96"/>
        <v>1.125</v>
      </c>
      <c r="AU408">
        <f t="shared" si="97"/>
        <v>0</v>
      </c>
      <c r="AV408">
        <f t="shared" si="98"/>
        <v>0.63249999999999995</v>
      </c>
    </row>
    <row r="409" spans="1:48">
      <c r="A409">
        <v>106</v>
      </c>
      <c r="B409">
        <v>3</v>
      </c>
      <c r="C409">
        <v>1</v>
      </c>
      <c r="D409" t="str">
        <f t="shared" si="85"/>
        <v>106_3_1</v>
      </c>
      <c r="E409">
        <v>0</v>
      </c>
      <c r="F409">
        <v>0.625</v>
      </c>
      <c r="G409">
        <v>0</v>
      </c>
      <c r="H409">
        <v>1.125</v>
      </c>
      <c r="I409">
        <v>0.25</v>
      </c>
      <c r="J409">
        <v>0.74250000000000005</v>
      </c>
      <c r="K409">
        <v>0.63249999999999995</v>
      </c>
      <c r="L409">
        <v>2</v>
      </c>
      <c r="M409" t="s">
        <v>31</v>
      </c>
      <c r="N409" t="s">
        <v>36</v>
      </c>
      <c r="O409" t="s">
        <v>36</v>
      </c>
      <c r="P409" t="s">
        <v>43</v>
      </c>
      <c r="Q409">
        <v>76</v>
      </c>
      <c r="S409">
        <v>0.74250000000000005</v>
      </c>
      <c r="T409">
        <v>0.63249999999999995</v>
      </c>
      <c r="U409">
        <v>0</v>
      </c>
      <c r="V409">
        <v>0</v>
      </c>
      <c r="W409">
        <v>0</v>
      </c>
      <c r="X409">
        <v>0.74250000000000005</v>
      </c>
      <c r="Y409">
        <v>0.14850000000000002</v>
      </c>
      <c r="Z409">
        <v>0</v>
      </c>
      <c r="AA409">
        <v>0.63249999999999995</v>
      </c>
      <c r="AI409">
        <f t="shared" si="86"/>
        <v>0</v>
      </c>
      <c r="AJ409">
        <f t="shared" si="87"/>
        <v>0</v>
      </c>
      <c r="AK409">
        <f t="shared" si="88"/>
        <v>0</v>
      </c>
      <c r="AL409">
        <f t="shared" si="89"/>
        <v>0.74250000000000005</v>
      </c>
      <c r="AM409">
        <f t="shared" si="90"/>
        <v>0.14850000000000002</v>
      </c>
      <c r="AN409">
        <f t="shared" si="91"/>
        <v>0</v>
      </c>
      <c r="AO409">
        <f t="shared" si="92"/>
        <v>0.63249999999999995</v>
      </c>
      <c r="AQ409" t="str">
        <f t="shared" si="93"/>
        <v>106_3_1</v>
      </c>
      <c r="AR409">
        <f t="shared" si="94"/>
        <v>0.625</v>
      </c>
      <c r="AS409">
        <f t="shared" si="95"/>
        <v>0</v>
      </c>
      <c r="AT409">
        <f t="shared" si="96"/>
        <v>0</v>
      </c>
      <c r="AU409">
        <f t="shared" si="97"/>
        <v>0</v>
      </c>
      <c r="AV409">
        <f t="shared" si="98"/>
        <v>0.63249999999999995</v>
      </c>
    </row>
    <row r="410" spans="1:48">
      <c r="A410">
        <v>106</v>
      </c>
      <c r="B410">
        <v>3</v>
      </c>
      <c r="C410">
        <v>2</v>
      </c>
      <c r="D410" t="str">
        <f t="shared" si="85"/>
        <v>106_3_2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 t="s">
        <v>11</v>
      </c>
      <c r="N410" t="s">
        <v>11</v>
      </c>
      <c r="O410" t="s">
        <v>11</v>
      </c>
      <c r="P410" t="s">
        <v>11</v>
      </c>
      <c r="Q410" t="s">
        <v>11</v>
      </c>
      <c r="S410">
        <v>0</v>
      </c>
      <c r="T410">
        <v>0</v>
      </c>
      <c r="U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I410">
        <f t="shared" si="86"/>
        <v>0</v>
      </c>
      <c r="AJ410">
        <f t="shared" si="87"/>
        <v>0</v>
      </c>
      <c r="AK410">
        <f t="shared" si="88"/>
        <v>0</v>
      </c>
      <c r="AL410">
        <f t="shared" si="89"/>
        <v>0</v>
      </c>
      <c r="AM410">
        <f t="shared" si="90"/>
        <v>0</v>
      </c>
      <c r="AN410">
        <f t="shared" si="91"/>
        <v>0</v>
      </c>
      <c r="AO410">
        <f t="shared" si="92"/>
        <v>0</v>
      </c>
      <c r="AQ410" t="str">
        <f t="shared" si="93"/>
        <v>106_3_2</v>
      </c>
      <c r="AR410">
        <f t="shared" si="94"/>
        <v>0</v>
      </c>
      <c r="AS410">
        <f t="shared" si="95"/>
        <v>0</v>
      </c>
      <c r="AT410">
        <f t="shared" si="96"/>
        <v>0</v>
      </c>
      <c r="AU410">
        <f t="shared" si="97"/>
        <v>0</v>
      </c>
      <c r="AV410">
        <f t="shared" si="98"/>
        <v>0</v>
      </c>
    </row>
    <row r="411" spans="1:48">
      <c r="A411">
        <v>106</v>
      </c>
      <c r="B411">
        <v>4</v>
      </c>
      <c r="D411" t="str">
        <f t="shared" si="85"/>
        <v>106_4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11</v>
      </c>
      <c r="N411" t="s">
        <v>11</v>
      </c>
      <c r="O411" t="s">
        <v>11</v>
      </c>
      <c r="P411" t="s">
        <v>11</v>
      </c>
      <c r="Q411" t="s">
        <v>11</v>
      </c>
      <c r="S411">
        <v>0</v>
      </c>
      <c r="T411">
        <v>0</v>
      </c>
      <c r="U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I411">
        <f t="shared" si="86"/>
        <v>0</v>
      </c>
      <c r="AJ411">
        <f t="shared" si="87"/>
        <v>0</v>
      </c>
      <c r="AK411">
        <f t="shared" si="88"/>
        <v>0</v>
      </c>
      <c r="AL411">
        <f t="shared" si="89"/>
        <v>0</v>
      </c>
      <c r="AM411">
        <f t="shared" si="90"/>
        <v>0</v>
      </c>
      <c r="AN411">
        <f t="shared" si="91"/>
        <v>0</v>
      </c>
      <c r="AO411">
        <f t="shared" si="92"/>
        <v>0</v>
      </c>
      <c r="AQ411" t="str">
        <f t="shared" si="93"/>
        <v>106_4</v>
      </c>
      <c r="AR411">
        <f t="shared" si="94"/>
        <v>0</v>
      </c>
      <c r="AS411">
        <f t="shared" si="95"/>
        <v>0</v>
      </c>
      <c r="AT411">
        <f t="shared" si="96"/>
        <v>0</v>
      </c>
      <c r="AU411">
        <f t="shared" si="97"/>
        <v>0</v>
      </c>
      <c r="AV411">
        <f t="shared" si="98"/>
        <v>0</v>
      </c>
    </row>
    <row r="412" spans="1:48">
      <c r="A412">
        <v>106</v>
      </c>
      <c r="B412">
        <v>5</v>
      </c>
      <c r="C412">
        <v>1</v>
      </c>
      <c r="D412" t="str">
        <f t="shared" si="85"/>
        <v>106_5_1</v>
      </c>
      <c r="E412">
        <v>0</v>
      </c>
      <c r="F412">
        <v>0.75</v>
      </c>
      <c r="G412">
        <v>1.5</v>
      </c>
      <c r="H412">
        <v>1.5</v>
      </c>
      <c r="I412">
        <v>0.25</v>
      </c>
      <c r="J412">
        <v>0.94500000000000006</v>
      </c>
      <c r="K412">
        <v>0.80499999999999994</v>
      </c>
      <c r="L412">
        <v>4</v>
      </c>
      <c r="M412" t="s">
        <v>31</v>
      </c>
      <c r="N412" t="s">
        <v>33</v>
      </c>
      <c r="O412" t="s">
        <v>43</v>
      </c>
      <c r="P412" t="s">
        <v>43</v>
      </c>
      <c r="Q412">
        <v>76</v>
      </c>
      <c r="S412">
        <v>0.94500000000000006</v>
      </c>
      <c r="T412">
        <v>0.80499999999999994</v>
      </c>
      <c r="U412">
        <v>0.15000000000000002</v>
      </c>
      <c r="V412">
        <v>0</v>
      </c>
      <c r="W412">
        <v>0.15000000000000002</v>
      </c>
      <c r="X412">
        <v>0.94500000000000006</v>
      </c>
      <c r="Y412">
        <v>0.18900000000000003</v>
      </c>
      <c r="Z412">
        <v>1.5</v>
      </c>
      <c r="AA412">
        <v>0.80499999999999994</v>
      </c>
      <c r="AI412">
        <f t="shared" si="86"/>
        <v>0.15000000000000002</v>
      </c>
      <c r="AJ412">
        <f t="shared" si="87"/>
        <v>0</v>
      </c>
      <c r="AK412">
        <f t="shared" si="88"/>
        <v>0.15000000000000002</v>
      </c>
      <c r="AL412">
        <f t="shared" si="89"/>
        <v>0.94500000000000006</v>
      </c>
      <c r="AM412">
        <f t="shared" si="90"/>
        <v>0.18900000000000003</v>
      </c>
      <c r="AN412">
        <f t="shared" si="91"/>
        <v>1.5</v>
      </c>
      <c r="AO412">
        <f t="shared" si="92"/>
        <v>0.80499999999999994</v>
      </c>
      <c r="AQ412" t="str">
        <f t="shared" si="93"/>
        <v>106_5_1</v>
      </c>
      <c r="AR412">
        <f t="shared" si="94"/>
        <v>0.75</v>
      </c>
      <c r="AS412">
        <f t="shared" si="95"/>
        <v>0.15000000000000002</v>
      </c>
      <c r="AT412">
        <f t="shared" si="96"/>
        <v>1.5</v>
      </c>
      <c r="AU412">
        <f t="shared" si="97"/>
        <v>1.5</v>
      </c>
      <c r="AV412">
        <f t="shared" si="98"/>
        <v>0.80499999999999994</v>
      </c>
    </row>
    <row r="413" spans="1:48">
      <c r="A413">
        <v>106</v>
      </c>
      <c r="B413">
        <v>5</v>
      </c>
      <c r="C413">
        <v>2</v>
      </c>
      <c r="D413" t="str">
        <f t="shared" si="85"/>
        <v>106_5_2</v>
      </c>
      <c r="E413">
        <v>0</v>
      </c>
      <c r="F413">
        <v>1.25</v>
      </c>
      <c r="G413">
        <v>2.25</v>
      </c>
      <c r="H413">
        <v>2.25</v>
      </c>
      <c r="I413">
        <v>0.375</v>
      </c>
      <c r="J413">
        <v>1.4175</v>
      </c>
      <c r="K413">
        <v>1.2075</v>
      </c>
      <c r="L413">
        <v>6.125</v>
      </c>
      <c r="M413" t="s">
        <v>31</v>
      </c>
      <c r="N413" t="s">
        <v>33</v>
      </c>
      <c r="O413" t="s">
        <v>43</v>
      </c>
      <c r="P413" t="s">
        <v>43</v>
      </c>
      <c r="Q413">
        <v>76</v>
      </c>
      <c r="S413">
        <v>1.4175</v>
      </c>
      <c r="T413">
        <v>1.2075</v>
      </c>
      <c r="U413">
        <v>0.25</v>
      </c>
      <c r="V413">
        <v>0</v>
      </c>
      <c r="W413">
        <v>0.25</v>
      </c>
      <c r="X413">
        <v>1.4175</v>
      </c>
      <c r="Y413">
        <v>0.28350000000000003</v>
      </c>
      <c r="Z413">
        <v>2.25</v>
      </c>
      <c r="AA413">
        <v>1.2075</v>
      </c>
      <c r="AI413">
        <f t="shared" si="86"/>
        <v>0.25</v>
      </c>
      <c r="AJ413">
        <f t="shared" si="87"/>
        <v>0</v>
      </c>
      <c r="AK413">
        <f t="shared" si="88"/>
        <v>0.25</v>
      </c>
      <c r="AL413">
        <f t="shared" si="89"/>
        <v>1.4175</v>
      </c>
      <c r="AM413">
        <f t="shared" si="90"/>
        <v>0.28350000000000003</v>
      </c>
      <c r="AN413">
        <f t="shared" si="91"/>
        <v>2.25</v>
      </c>
      <c r="AO413">
        <f t="shared" si="92"/>
        <v>1.2075</v>
      </c>
      <c r="AQ413" t="str">
        <f t="shared" si="93"/>
        <v>106_5_2</v>
      </c>
      <c r="AR413">
        <f t="shared" si="94"/>
        <v>1.25</v>
      </c>
      <c r="AS413">
        <f t="shared" si="95"/>
        <v>0.25</v>
      </c>
      <c r="AT413">
        <f t="shared" si="96"/>
        <v>2.25</v>
      </c>
      <c r="AU413">
        <f t="shared" si="97"/>
        <v>2.25</v>
      </c>
      <c r="AV413">
        <f t="shared" si="98"/>
        <v>1.2075</v>
      </c>
    </row>
    <row r="414" spans="1:48">
      <c r="A414">
        <v>107</v>
      </c>
      <c r="B414" t="s">
        <v>10</v>
      </c>
      <c r="C414" t="s">
        <v>10</v>
      </c>
      <c r="D414" t="str">
        <f t="shared" si="85"/>
        <v>107</v>
      </c>
      <c r="E414" t="s">
        <v>10</v>
      </c>
      <c r="F414" t="s">
        <v>10</v>
      </c>
      <c r="G414" t="s">
        <v>10</v>
      </c>
      <c r="H414" t="s">
        <v>10</v>
      </c>
      <c r="I414" t="s">
        <v>10</v>
      </c>
      <c r="L414">
        <v>0</v>
      </c>
      <c r="M414" t="s">
        <v>11</v>
      </c>
      <c r="Q414">
        <v>79</v>
      </c>
      <c r="R414" t="s">
        <v>35</v>
      </c>
      <c r="AI414">
        <f t="shared" si="86"/>
        <v>0</v>
      </c>
      <c r="AJ414">
        <f t="shared" si="87"/>
        <v>0</v>
      </c>
      <c r="AK414">
        <f t="shared" si="88"/>
        <v>0</v>
      </c>
      <c r="AL414">
        <f t="shared" si="89"/>
        <v>0</v>
      </c>
      <c r="AM414">
        <f t="shared" si="90"/>
        <v>0</v>
      </c>
      <c r="AN414">
        <f t="shared" si="91"/>
        <v>0</v>
      </c>
      <c r="AO414">
        <f t="shared" si="92"/>
        <v>0</v>
      </c>
      <c r="AQ414" t="str">
        <f t="shared" si="93"/>
        <v>107</v>
      </c>
      <c r="AR414" t="str">
        <f t="shared" si="94"/>
        <v/>
      </c>
      <c r="AS414">
        <f t="shared" si="95"/>
        <v>0</v>
      </c>
      <c r="AT414" t="str">
        <f t="shared" si="96"/>
        <v/>
      </c>
      <c r="AU414">
        <f t="shared" si="97"/>
        <v>0</v>
      </c>
      <c r="AV414">
        <f t="shared" si="98"/>
        <v>0</v>
      </c>
    </row>
    <row r="415" spans="1:48">
      <c r="A415">
        <v>107</v>
      </c>
      <c r="B415">
        <v>1</v>
      </c>
      <c r="C415" t="s">
        <v>10</v>
      </c>
      <c r="D415" t="str">
        <f t="shared" si="85"/>
        <v>107_1</v>
      </c>
      <c r="E415">
        <v>0</v>
      </c>
      <c r="F415">
        <v>0.625</v>
      </c>
      <c r="G415">
        <v>1.125</v>
      </c>
      <c r="H415">
        <v>1.125</v>
      </c>
      <c r="I415">
        <v>0.25</v>
      </c>
      <c r="J415">
        <v>0.74250000000000005</v>
      </c>
      <c r="K415">
        <v>0.63249999999999995</v>
      </c>
      <c r="L415">
        <v>3.125</v>
      </c>
      <c r="M415" t="s">
        <v>31</v>
      </c>
      <c r="N415" t="s">
        <v>32</v>
      </c>
      <c r="O415" t="s">
        <v>32</v>
      </c>
      <c r="P415" t="s">
        <v>43</v>
      </c>
      <c r="Q415">
        <v>79</v>
      </c>
      <c r="S415">
        <v>0.74250000000000005</v>
      </c>
      <c r="T415">
        <v>0.63249999999999995</v>
      </c>
      <c r="U415">
        <v>0</v>
      </c>
      <c r="V415">
        <v>0</v>
      </c>
      <c r="W415">
        <v>0</v>
      </c>
      <c r="X415">
        <v>0.74250000000000005</v>
      </c>
      <c r="Y415">
        <v>0.14850000000000002</v>
      </c>
      <c r="Z415">
        <v>0</v>
      </c>
      <c r="AA415">
        <v>0.63249999999999995</v>
      </c>
      <c r="AI415">
        <f t="shared" si="86"/>
        <v>0</v>
      </c>
      <c r="AJ415">
        <f t="shared" si="87"/>
        <v>0</v>
      </c>
      <c r="AK415">
        <f t="shared" si="88"/>
        <v>0</v>
      </c>
      <c r="AL415">
        <f t="shared" si="89"/>
        <v>0.74250000000000005</v>
      </c>
      <c r="AM415">
        <f t="shared" si="90"/>
        <v>0.14850000000000002</v>
      </c>
      <c r="AN415">
        <f t="shared" si="91"/>
        <v>0</v>
      </c>
      <c r="AO415">
        <f t="shared" si="92"/>
        <v>0.63249999999999995</v>
      </c>
      <c r="AQ415" t="str">
        <f t="shared" si="93"/>
        <v>107_1</v>
      </c>
      <c r="AR415">
        <f t="shared" si="94"/>
        <v>0.625</v>
      </c>
      <c r="AS415">
        <f t="shared" si="95"/>
        <v>0</v>
      </c>
      <c r="AT415">
        <f t="shared" si="96"/>
        <v>1.125</v>
      </c>
      <c r="AU415">
        <f t="shared" si="97"/>
        <v>0</v>
      </c>
      <c r="AV415">
        <f t="shared" si="98"/>
        <v>0.63249999999999995</v>
      </c>
    </row>
    <row r="416" spans="1:48">
      <c r="A416">
        <v>107</v>
      </c>
      <c r="B416">
        <v>2</v>
      </c>
      <c r="C416" t="s">
        <v>10</v>
      </c>
      <c r="D416" t="str">
        <f t="shared" si="85"/>
        <v>107_2</v>
      </c>
      <c r="E416">
        <v>0</v>
      </c>
      <c r="F416">
        <v>0.625</v>
      </c>
      <c r="G416">
        <v>1.125</v>
      </c>
      <c r="H416">
        <v>1.125</v>
      </c>
      <c r="I416">
        <v>0.25</v>
      </c>
      <c r="J416">
        <v>0.74250000000000005</v>
      </c>
      <c r="K416">
        <v>0.63249999999999995</v>
      </c>
      <c r="L416">
        <v>3.125</v>
      </c>
      <c r="M416" t="s">
        <v>31</v>
      </c>
      <c r="N416" t="s">
        <v>32</v>
      </c>
      <c r="O416" t="s">
        <v>32</v>
      </c>
      <c r="P416" t="s">
        <v>43</v>
      </c>
      <c r="Q416">
        <v>79</v>
      </c>
      <c r="S416">
        <v>0.74250000000000005</v>
      </c>
      <c r="T416">
        <v>0.63249999999999995</v>
      </c>
      <c r="U416">
        <v>0</v>
      </c>
      <c r="V416">
        <v>0</v>
      </c>
      <c r="W416">
        <v>0</v>
      </c>
      <c r="X416">
        <v>0.74250000000000005</v>
      </c>
      <c r="Y416">
        <v>0.14850000000000002</v>
      </c>
      <c r="Z416">
        <v>0</v>
      </c>
      <c r="AA416">
        <v>0.63249999999999995</v>
      </c>
      <c r="AI416">
        <f t="shared" si="86"/>
        <v>0</v>
      </c>
      <c r="AJ416">
        <f t="shared" si="87"/>
        <v>0</v>
      </c>
      <c r="AK416">
        <f t="shared" si="88"/>
        <v>0</v>
      </c>
      <c r="AL416">
        <f t="shared" si="89"/>
        <v>0.74250000000000005</v>
      </c>
      <c r="AM416">
        <f t="shared" si="90"/>
        <v>0.14850000000000002</v>
      </c>
      <c r="AN416">
        <f t="shared" si="91"/>
        <v>0</v>
      </c>
      <c r="AO416">
        <f t="shared" si="92"/>
        <v>0.63249999999999995</v>
      </c>
      <c r="AQ416" t="str">
        <f t="shared" si="93"/>
        <v>107_2</v>
      </c>
      <c r="AR416">
        <f t="shared" si="94"/>
        <v>0.625</v>
      </c>
      <c r="AS416">
        <f t="shared" si="95"/>
        <v>0</v>
      </c>
      <c r="AT416">
        <f t="shared" si="96"/>
        <v>1.125</v>
      </c>
      <c r="AU416">
        <f t="shared" si="97"/>
        <v>0</v>
      </c>
      <c r="AV416">
        <f t="shared" si="98"/>
        <v>0.63249999999999995</v>
      </c>
    </row>
    <row r="417" spans="1:48">
      <c r="A417">
        <v>107</v>
      </c>
      <c r="B417">
        <v>3</v>
      </c>
      <c r="C417" t="s">
        <v>10</v>
      </c>
      <c r="D417" t="str">
        <f t="shared" si="85"/>
        <v>107_3</v>
      </c>
      <c r="E417">
        <v>0</v>
      </c>
      <c r="F417">
        <v>0.625</v>
      </c>
      <c r="G417">
        <v>0</v>
      </c>
      <c r="H417">
        <v>1.125</v>
      </c>
      <c r="I417">
        <v>0.25</v>
      </c>
      <c r="J417">
        <v>0.74250000000000005</v>
      </c>
      <c r="K417">
        <v>0.63249999999999995</v>
      </c>
      <c r="L417">
        <v>2</v>
      </c>
      <c r="M417" t="s">
        <v>31</v>
      </c>
      <c r="N417" t="s">
        <v>33</v>
      </c>
      <c r="O417" t="s">
        <v>43</v>
      </c>
      <c r="P417" t="s">
        <v>43</v>
      </c>
      <c r="Q417">
        <v>79</v>
      </c>
      <c r="S417">
        <v>0.74250000000000005</v>
      </c>
      <c r="T417">
        <v>0.63249999999999995</v>
      </c>
      <c r="U417">
        <v>0.125</v>
      </c>
      <c r="V417">
        <v>0</v>
      </c>
      <c r="W417">
        <v>0.125</v>
      </c>
      <c r="X417">
        <v>0.74250000000000005</v>
      </c>
      <c r="Y417">
        <v>0.14850000000000002</v>
      </c>
      <c r="Z417">
        <v>0</v>
      </c>
      <c r="AA417">
        <v>0.63249999999999995</v>
      </c>
      <c r="AI417">
        <f t="shared" si="86"/>
        <v>0.125</v>
      </c>
      <c r="AJ417">
        <f t="shared" si="87"/>
        <v>0</v>
      </c>
      <c r="AK417">
        <f t="shared" si="88"/>
        <v>0.125</v>
      </c>
      <c r="AL417">
        <f t="shared" si="89"/>
        <v>0.74250000000000005</v>
      </c>
      <c r="AM417">
        <f t="shared" si="90"/>
        <v>0.14850000000000002</v>
      </c>
      <c r="AN417">
        <f t="shared" si="91"/>
        <v>0</v>
      </c>
      <c r="AO417">
        <f t="shared" si="92"/>
        <v>0.63249999999999995</v>
      </c>
      <c r="AQ417" t="str">
        <f t="shared" si="93"/>
        <v>107_3</v>
      </c>
      <c r="AR417">
        <f t="shared" si="94"/>
        <v>0.625</v>
      </c>
      <c r="AS417">
        <f t="shared" si="95"/>
        <v>0.125</v>
      </c>
      <c r="AT417">
        <f t="shared" si="96"/>
        <v>0</v>
      </c>
      <c r="AU417">
        <f t="shared" si="97"/>
        <v>0</v>
      </c>
      <c r="AV417">
        <f t="shared" si="98"/>
        <v>0.63249999999999995</v>
      </c>
    </row>
    <row r="418" spans="1:48">
      <c r="A418">
        <v>107</v>
      </c>
      <c r="B418">
        <v>4</v>
      </c>
      <c r="D418" t="str">
        <f t="shared" si="85"/>
        <v>107_4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11</v>
      </c>
      <c r="N418" t="s">
        <v>11</v>
      </c>
      <c r="O418" t="s">
        <v>11</v>
      </c>
      <c r="P418" t="s">
        <v>11</v>
      </c>
      <c r="Q418" t="s">
        <v>11</v>
      </c>
      <c r="S418">
        <v>0</v>
      </c>
      <c r="T418">
        <v>0</v>
      </c>
      <c r="U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I418">
        <f t="shared" si="86"/>
        <v>0</v>
      </c>
      <c r="AJ418">
        <f t="shared" si="87"/>
        <v>0</v>
      </c>
      <c r="AK418">
        <f t="shared" si="88"/>
        <v>0</v>
      </c>
      <c r="AL418">
        <f t="shared" si="89"/>
        <v>0</v>
      </c>
      <c r="AM418">
        <f t="shared" si="90"/>
        <v>0</v>
      </c>
      <c r="AN418">
        <f t="shared" si="91"/>
        <v>0</v>
      </c>
      <c r="AO418">
        <f t="shared" si="92"/>
        <v>0</v>
      </c>
      <c r="AQ418" t="str">
        <f t="shared" si="93"/>
        <v>107_4</v>
      </c>
      <c r="AR418">
        <f t="shared" si="94"/>
        <v>0</v>
      </c>
      <c r="AS418">
        <f t="shared" si="95"/>
        <v>0</v>
      </c>
      <c r="AT418">
        <f t="shared" si="96"/>
        <v>0</v>
      </c>
      <c r="AU418">
        <f t="shared" si="97"/>
        <v>0</v>
      </c>
      <c r="AV418">
        <f t="shared" si="98"/>
        <v>0</v>
      </c>
    </row>
    <row r="419" spans="1:48">
      <c r="A419">
        <v>107</v>
      </c>
      <c r="B419">
        <v>5</v>
      </c>
      <c r="D419" t="str">
        <f t="shared" si="85"/>
        <v>107_5</v>
      </c>
      <c r="E419">
        <v>0</v>
      </c>
      <c r="F419">
        <v>1.25</v>
      </c>
      <c r="G419">
        <v>2.25</v>
      </c>
      <c r="H419">
        <v>2.25</v>
      </c>
      <c r="I419">
        <v>0.375</v>
      </c>
      <c r="J419">
        <v>1.4175</v>
      </c>
      <c r="K419">
        <v>1.2075</v>
      </c>
      <c r="L419">
        <v>6.125</v>
      </c>
      <c r="M419" t="s">
        <v>31</v>
      </c>
      <c r="N419" t="s">
        <v>33</v>
      </c>
      <c r="O419" t="s">
        <v>43</v>
      </c>
      <c r="P419" t="s">
        <v>43</v>
      </c>
      <c r="Q419">
        <v>79</v>
      </c>
      <c r="S419">
        <v>1.4175</v>
      </c>
      <c r="T419">
        <v>1.2075</v>
      </c>
      <c r="U419">
        <v>0.25</v>
      </c>
      <c r="V419">
        <v>0</v>
      </c>
      <c r="W419">
        <v>0.25</v>
      </c>
      <c r="X419">
        <v>1.4175</v>
      </c>
      <c r="Y419">
        <v>0.28350000000000003</v>
      </c>
      <c r="Z419">
        <v>2.25</v>
      </c>
      <c r="AA419">
        <v>1.2075</v>
      </c>
      <c r="AI419">
        <f t="shared" si="86"/>
        <v>0.25</v>
      </c>
      <c r="AJ419">
        <f t="shared" si="87"/>
        <v>0</v>
      </c>
      <c r="AK419">
        <f t="shared" si="88"/>
        <v>0.25</v>
      </c>
      <c r="AL419">
        <f t="shared" si="89"/>
        <v>1.4175</v>
      </c>
      <c r="AM419">
        <f t="shared" si="90"/>
        <v>0.28350000000000003</v>
      </c>
      <c r="AN419">
        <f t="shared" si="91"/>
        <v>2.25</v>
      </c>
      <c r="AO419">
        <f t="shared" si="92"/>
        <v>1.2075</v>
      </c>
      <c r="AQ419" t="str">
        <f t="shared" si="93"/>
        <v>107_5</v>
      </c>
      <c r="AR419">
        <f t="shared" si="94"/>
        <v>1.25</v>
      </c>
      <c r="AS419">
        <f t="shared" si="95"/>
        <v>0.25</v>
      </c>
      <c r="AT419">
        <f t="shared" si="96"/>
        <v>2.25</v>
      </c>
      <c r="AU419">
        <f t="shared" si="97"/>
        <v>2.25</v>
      </c>
      <c r="AV419">
        <f t="shared" si="98"/>
        <v>1.2075</v>
      </c>
    </row>
    <row r="420" spans="1:48">
      <c r="A420">
        <v>108</v>
      </c>
      <c r="B420" t="s">
        <v>10</v>
      </c>
      <c r="C420" t="s">
        <v>10</v>
      </c>
      <c r="D420" t="str">
        <f t="shared" si="85"/>
        <v>108</v>
      </c>
      <c r="E420" t="s">
        <v>10</v>
      </c>
      <c r="F420" t="s">
        <v>10</v>
      </c>
      <c r="G420" t="s">
        <v>10</v>
      </c>
      <c r="H420" t="s">
        <v>10</v>
      </c>
      <c r="I420" t="s">
        <v>10</v>
      </c>
      <c r="L420">
        <v>0</v>
      </c>
      <c r="M420" t="s">
        <v>11</v>
      </c>
      <c r="Q420">
        <v>69</v>
      </c>
      <c r="R420" t="s">
        <v>35</v>
      </c>
      <c r="AI420">
        <f t="shared" si="86"/>
        <v>0</v>
      </c>
      <c r="AJ420">
        <f t="shared" si="87"/>
        <v>0</v>
      </c>
      <c r="AK420">
        <f t="shared" si="88"/>
        <v>0</v>
      </c>
      <c r="AL420">
        <f t="shared" si="89"/>
        <v>0</v>
      </c>
      <c r="AM420">
        <f t="shared" si="90"/>
        <v>0</v>
      </c>
      <c r="AN420">
        <f t="shared" si="91"/>
        <v>0</v>
      </c>
      <c r="AO420">
        <f t="shared" si="92"/>
        <v>0</v>
      </c>
      <c r="AQ420" t="str">
        <f t="shared" si="93"/>
        <v>108</v>
      </c>
      <c r="AR420" t="str">
        <f t="shared" si="94"/>
        <v/>
      </c>
      <c r="AS420">
        <f t="shared" si="95"/>
        <v>0</v>
      </c>
      <c r="AT420" t="str">
        <f t="shared" si="96"/>
        <v/>
      </c>
      <c r="AU420">
        <f t="shared" si="97"/>
        <v>0</v>
      </c>
      <c r="AV420">
        <f t="shared" si="98"/>
        <v>0</v>
      </c>
    </row>
    <row r="421" spans="1:48">
      <c r="A421">
        <v>108</v>
      </c>
      <c r="B421">
        <v>1</v>
      </c>
      <c r="C421" t="s">
        <v>10</v>
      </c>
      <c r="D421" t="str">
        <f t="shared" si="85"/>
        <v>108_1</v>
      </c>
      <c r="E421">
        <v>0</v>
      </c>
      <c r="F421">
        <v>0.625</v>
      </c>
      <c r="G421">
        <v>1.125</v>
      </c>
      <c r="H421">
        <v>1.125</v>
      </c>
      <c r="I421">
        <v>0.25</v>
      </c>
      <c r="J421">
        <v>0.74250000000000005</v>
      </c>
      <c r="K421">
        <v>0.63249999999999995</v>
      </c>
      <c r="L421">
        <v>3.125</v>
      </c>
      <c r="M421" t="s">
        <v>31</v>
      </c>
      <c r="N421" t="s">
        <v>32</v>
      </c>
      <c r="O421" t="s">
        <v>32</v>
      </c>
      <c r="P421" t="s">
        <v>33</v>
      </c>
      <c r="Q421">
        <v>69</v>
      </c>
      <c r="S421">
        <v>0.74250000000000005</v>
      </c>
      <c r="T421">
        <v>0.63249999999999995</v>
      </c>
      <c r="U421">
        <v>0</v>
      </c>
      <c r="V421">
        <v>0</v>
      </c>
      <c r="W421">
        <v>0</v>
      </c>
      <c r="X421">
        <v>0.14850000000000002</v>
      </c>
      <c r="Y421">
        <v>0.14850000000000002</v>
      </c>
      <c r="Z421">
        <v>0</v>
      </c>
      <c r="AA421">
        <v>0.63249999999999995</v>
      </c>
      <c r="AI421">
        <f t="shared" si="86"/>
        <v>0</v>
      </c>
      <c r="AJ421">
        <f t="shared" si="87"/>
        <v>0</v>
      </c>
      <c r="AK421">
        <f t="shared" si="88"/>
        <v>0</v>
      </c>
      <c r="AL421">
        <f t="shared" si="89"/>
        <v>0.14850000000000002</v>
      </c>
      <c r="AM421">
        <f t="shared" si="90"/>
        <v>0.14850000000000002</v>
      </c>
      <c r="AN421">
        <f t="shared" si="91"/>
        <v>0</v>
      </c>
      <c r="AO421">
        <f t="shared" si="92"/>
        <v>0.63249999999999995</v>
      </c>
      <c r="AQ421" t="str">
        <f t="shared" si="93"/>
        <v>108_1</v>
      </c>
      <c r="AR421">
        <f t="shared" si="94"/>
        <v>0.625</v>
      </c>
      <c r="AS421">
        <f t="shared" si="95"/>
        <v>0</v>
      </c>
      <c r="AT421">
        <f t="shared" si="96"/>
        <v>1.125</v>
      </c>
      <c r="AU421">
        <f t="shared" si="97"/>
        <v>0</v>
      </c>
      <c r="AV421">
        <f t="shared" si="98"/>
        <v>0.63249999999999995</v>
      </c>
    </row>
    <row r="422" spans="1:48">
      <c r="A422">
        <v>108</v>
      </c>
      <c r="B422">
        <v>2</v>
      </c>
      <c r="C422" t="s">
        <v>10</v>
      </c>
      <c r="D422" t="str">
        <f t="shared" si="85"/>
        <v>108_2</v>
      </c>
      <c r="E422">
        <v>0</v>
      </c>
      <c r="F422">
        <v>0.625</v>
      </c>
      <c r="G422">
        <v>1.125</v>
      </c>
      <c r="H422">
        <v>1.125</v>
      </c>
      <c r="I422">
        <v>0.25</v>
      </c>
      <c r="J422">
        <v>0.74250000000000005</v>
      </c>
      <c r="K422">
        <v>0.63249999999999995</v>
      </c>
      <c r="L422">
        <v>3.125</v>
      </c>
      <c r="M422" t="s">
        <v>31</v>
      </c>
      <c r="N422" t="s">
        <v>32</v>
      </c>
      <c r="O422" t="s">
        <v>32</v>
      </c>
      <c r="P422" t="s">
        <v>33</v>
      </c>
      <c r="Q422">
        <v>69</v>
      </c>
      <c r="S422">
        <v>0.74250000000000005</v>
      </c>
      <c r="T422">
        <v>0.63249999999999995</v>
      </c>
      <c r="U422">
        <v>0</v>
      </c>
      <c r="V422">
        <v>0</v>
      </c>
      <c r="W422">
        <v>0</v>
      </c>
      <c r="X422">
        <v>0.14850000000000002</v>
      </c>
      <c r="Y422">
        <v>0.14850000000000002</v>
      </c>
      <c r="Z422">
        <v>0</v>
      </c>
      <c r="AA422">
        <v>0.63249999999999995</v>
      </c>
      <c r="AI422">
        <f t="shared" si="86"/>
        <v>0</v>
      </c>
      <c r="AJ422">
        <f t="shared" si="87"/>
        <v>0</v>
      </c>
      <c r="AK422">
        <f t="shared" si="88"/>
        <v>0</v>
      </c>
      <c r="AL422">
        <f t="shared" si="89"/>
        <v>0.14850000000000002</v>
      </c>
      <c r="AM422">
        <f t="shared" si="90"/>
        <v>0.14850000000000002</v>
      </c>
      <c r="AN422">
        <f t="shared" si="91"/>
        <v>0</v>
      </c>
      <c r="AO422">
        <f t="shared" si="92"/>
        <v>0.63249999999999995</v>
      </c>
      <c r="AQ422" t="str">
        <f t="shared" si="93"/>
        <v>108_2</v>
      </c>
      <c r="AR422">
        <f t="shared" si="94"/>
        <v>0.625</v>
      </c>
      <c r="AS422">
        <f t="shared" si="95"/>
        <v>0</v>
      </c>
      <c r="AT422">
        <f t="shared" si="96"/>
        <v>1.125</v>
      </c>
      <c r="AU422">
        <f t="shared" si="97"/>
        <v>0</v>
      </c>
      <c r="AV422">
        <f t="shared" si="98"/>
        <v>0.63249999999999995</v>
      </c>
    </row>
    <row r="423" spans="1:48">
      <c r="A423">
        <v>108</v>
      </c>
      <c r="B423">
        <v>3</v>
      </c>
      <c r="C423">
        <v>1</v>
      </c>
      <c r="D423" t="str">
        <f t="shared" si="85"/>
        <v>108_3_1</v>
      </c>
      <c r="E423">
        <v>0</v>
      </c>
      <c r="F423">
        <v>0.625</v>
      </c>
      <c r="G423">
        <v>0</v>
      </c>
      <c r="H423">
        <v>1.125</v>
      </c>
      <c r="I423">
        <v>0.25</v>
      </c>
      <c r="J423">
        <v>0.74250000000000005</v>
      </c>
      <c r="K423">
        <v>0.63249999999999995</v>
      </c>
      <c r="L423">
        <v>2</v>
      </c>
      <c r="M423" t="s">
        <v>31</v>
      </c>
      <c r="N423" t="s">
        <v>43</v>
      </c>
      <c r="O423" t="s">
        <v>43</v>
      </c>
      <c r="P423" t="s">
        <v>43</v>
      </c>
      <c r="Q423">
        <v>69</v>
      </c>
      <c r="S423">
        <v>0.74250000000000005</v>
      </c>
      <c r="T423">
        <v>0.63249999999999995</v>
      </c>
      <c r="U423">
        <v>0.625</v>
      </c>
      <c r="V423">
        <v>0</v>
      </c>
      <c r="W423">
        <v>0.125</v>
      </c>
      <c r="X423">
        <v>0.74250000000000005</v>
      </c>
      <c r="Y423">
        <v>0.14850000000000002</v>
      </c>
      <c r="Z423">
        <v>0</v>
      </c>
      <c r="AA423">
        <v>0.63249999999999995</v>
      </c>
      <c r="AI423">
        <f t="shared" si="86"/>
        <v>0.625</v>
      </c>
      <c r="AJ423">
        <f t="shared" si="87"/>
        <v>0</v>
      </c>
      <c r="AK423">
        <f t="shared" si="88"/>
        <v>0.125</v>
      </c>
      <c r="AL423">
        <f t="shared" si="89"/>
        <v>0.74250000000000005</v>
      </c>
      <c r="AM423">
        <f t="shared" si="90"/>
        <v>0.14850000000000002</v>
      </c>
      <c r="AN423">
        <f t="shared" si="91"/>
        <v>0</v>
      </c>
      <c r="AO423">
        <f t="shared" si="92"/>
        <v>0.63249999999999995</v>
      </c>
      <c r="AQ423" t="str">
        <f t="shared" si="93"/>
        <v>108_3_1</v>
      </c>
      <c r="AR423">
        <f t="shared" si="94"/>
        <v>0.625</v>
      </c>
      <c r="AS423">
        <f t="shared" si="95"/>
        <v>0.625</v>
      </c>
      <c r="AT423">
        <f t="shared" si="96"/>
        <v>0</v>
      </c>
      <c r="AU423">
        <f t="shared" si="97"/>
        <v>0</v>
      </c>
      <c r="AV423">
        <f t="shared" si="98"/>
        <v>0.63249999999999995</v>
      </c>
    </row>
    <row r="424" spans="1:48">
      <c r="A424">
        <v>108</v>
      </c>
      <c r="B424">
        <v>3</v>
      </c>
      <c r="C424">
        <v>2</v>
      </c>
      <c r="D424" t="str">
        <f t="shared" si="85"/>
        <v>108_3_2</v>
      </c>
      <c r="E424">
        <v>0</v>
      </c>
      <c r="F424">
        <v>0.625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0.625</v>
      </c>
      <c r="M424" t="s">
        <v>31</v>
      </c>
      <c r="N424" t="s">
        <v>42</v>
      </c>
      <c r="O424" t="s">
        <v>43</v>
      </c>
      <c r="P424" t="s">
        <v>43</v>
      </c>
      <c r="Q424">
        <v>77</v>
      </c>
      <c r="S424">
        <v>0</v>
      </c>
      <c r="T424">
        <v>0</v>
      </c>
      <c r="U424">
        <v>0.125</v>
      </c>
      <c r="V424">
        <v>0</v>
      </c>
      <c r="W424">
        <v>0.125</v>
      </c>
      <c r="X424">
        <v>0</v>
      </c>
      <c r="Y424">
        <v>0</v>
      </c>
      <c r="Z424">
        <v>0</v>
      </c>
      <c r="AA424">
        <v>0</v>
      </c>
      <c r="AI424">
        <f t="shared" si="86"/>
        <v>0.125</v>
      </c>
      <c r="AJ424">
        <f t="shared" si="87"/>
        <v>0</v>
      </c>
      <c r="AK424">
        <f t="shared" si="88"/>
        <v>0.125</v>
      </c>
      <c r="AL424">
        <f t="shared" si="89"/>
        <v>0</v>
      </c>
      <c r="AM424">
        <f t="shared" si="90"/>
        <v>0</v>
      </c>
      <c r="AN424">
        <f t="shared" si="91"/>
        <v>0</v>
      </c>
      <c r="AO424">
        <f t="shared" si="92"/>
        <v>0</v>
      </c>
      <c r="AQ424" t="str">
        <f t="shared" si="93"/>
        <v>108_3_2</v>
      </c>
      <c r="AR424">
        <f t="shared" si="94"/>
        <v>0.625</v>
      </c>
      <c r="AS424">
        <f t="shared" si="95"/>
        <v>0.125</v>
      </c>
      <c r="AT424">
        <f t="shared" si="96"/>
        <v>0</v>
      </c>
      <c r="AU424">
        <f t="shared" si="97"/>
        <v>0</v>
      </c>
      <c r="AV424">
        <f t="shared" si="98"/>
        <v>0</v>
      </c>
    </row>
    <row r="425" spans="1:48">
      <c r="A425">
        <v>108</v>
      </c>
      <c r="B425">
        <v>3</v>
      </c>
      <c r="C425">
        <v>2</v>
      </c>
      <c r="D425" t="str">
        <f t="shared" si="85"/>
        <v>108_3_2</v>
      </c>
      <c r="E425">
        <v>0</v>
      </c>
      <c r="F425">
        <v>0.375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0.375</v>
      </c>
      <c r="M425" t="s">
        <v>31</v>
      </c>
      <c r="N425" t="s">
        <v>42</v>
      </c>
      <c r="O425" t="s">
        <v>43</v>
      </c>
      <c r="P425" t="s">
        <v>43</v>
      </c>
      <c r="Q425">
        <v>77</v>
      </c>
      <c r="S425">
        <v>0</v>
      </c>
      <c r="T425">
        <v>0</v>
      </c>
      <c r="U425">
        <v>7.5000000000000011E-2</v>
      </c>
      <c r="V425">
        <v>0</v>
      </c>
      <c r="W425">
        <v>7.5000000000000011E-2</v>
      </c>
      <c r="X425">
        <v>0</v>
      </c>
      <c r="Y425">
        <v>0</v>
      </c>
      <c r="Z425">
        <v>0</v>
      </c>
      <c r="AA425">
        <v>0</v>
      </c>
      <c r="AI425">
        <f t="shared" si="86"/>
        <v>7.5000000000000011E-2</v>
      </c>
      <c r="AJ425">
        <f t="shared" si="87"/>
        <v>0</v>
      </c>
      <c r="AK425">
        <f t="shared" si="88"/>
        <v>7.5000000000000011E-2</v>
      </c>
      <c r="AL425">
        <f t="shared" si="89"/>
        <v>0</v>
      </c>
      <c r="AM425">
        <f t="shared" si="90"/>
        <v>0</v>
      </c>
      <c r="AN425">
        <f t="shared" si="91"/>
        <v>0</v>
      </c>
      <c r="AO425">
        <f t="shared" si="92"/>
        <v>0</v>
      </c>
      <c r="AQ425" t="str">
        <f t="shared" si="93"/>
        <v>108_3_2</v>
      </c>
      <c r="AR425">
        <f t="shared" si="94"/>
        <v>0.375</v>
      </c>
      <c r="AS425">
        <f t="shared" si="95"/>
        <v>7.5000000000000011E-2</v>
      </c>
      <c r="AT425">
        <f t="shared" si="96"/>
        <v>0</v>
      </c>
      <c r="AU425">
        <f t="shared" si="97"/>
        <v>0</v>
      </c>
      <c r="AV425">
        <f t="shared" si="98"/>
        <v>0</v>
      </c>
    </row>
    <row r="426" spans="1:48">
      <c r="A426">
        <v>108</v>
      </c>
      <c r="B426">
        <v>4</v>
      </c>
      <c r="D426" t="str">
        <f t="shared" si="85"/>
        <v>108_4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 t="s">
        <v>11</v>
      </c>
      <c r="N426" t="s">
        <v>11</v>
      </c>
      <c r="O426" t="s">
        <v>11</v>
      </c>
      <c r="P426" t="s">
        <v>11</v>
      </c>
      <c r="Q426" t="s">
        <v>11</v>
      </c>
      <c r="S426">
        <v>0</v>
      </c>
      <c r="T426">
        <v>0</v>
      </c>
      <c r="U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I426">
        <f t="shared" si="86"/>
        <v>0</v>
      </c>
      <c r="AJ426">
        <f t="shared" si="87"/>
        <v>0</v>
      </c>
      <c r="AK426">
        <f t="shared" si="88"/>
        <v>0</v>
      </c>
      <c r="AL426">
        <f t="shared" si="89"/>
        <v>0</v>
      </c>
      <c r="AM426">
        <f t="shared" si="90"/>
        <v>0</v>
      </c>
      <c r="AN426">
        <f t="shared" si="91"/>
        <v>0</v>
      </c>
      <c r="AO426">
        <f t="shared" si="92"/>
        <v>0</v>
      </c>
      <c r="AQ426" t="str">
        <f t="shared" si="93"/>
        <v>108_4</v>
      </c>
      <c r="AR426">
        <f t="shared" si="94"/>
        <v>0</v>
      </c>
      <c r="AS426">
        <f t="shared" si="95"/>
        <v>0</v>
      </c>
      <c r="AT426">
        <f t="shared" si="96"/>
        <v>0</v>
      </c>
      <c r="AU426">
        <f t="shared" si="97"/>
        <v>0</v>
      </c>
      <c r="AV426">
        <f t="shared" si="98"/>
        <v>0</v>
      </c>
    </row>
    <row r="427" spans="1:48">
      <c r="A427">
        <v>108</v>
      </c>
      <c r="B427">
        <v>5</v>
      </c>
      <c r="C427">
        <v>1</v>
      </c>
      <c r="D427" t="str">
        <f t="shared" si="85"/>
        <v>108_5_1</v>
      </c>
      <c r="E427">
        <v>0</v>
      </c>
      <c r="F427">
        <v>0.75</v>
      </c>
      <c r="G427">
        <v>1.5</v>
      </c>
      <c r="H427">
        <v>1.5</v>
      </c>
      <c r="I427">
        <v>0.25</v>
      </c>
      <c r="J427">
        <v>0.94500000000000006</v>
      </c>
      <c r="K427">
        <v>0.80499999999999994</v>
      </c>
      <c r="L427">
        <v>4</v>
      </c>
      <c r="M427" t="s">
        <v>31</v>
      </c>
      <c r="N427" t="s">
        <v>43</v>
      </c>
      <c r="O427" t="s">
        <v>43</v>
      </c>
      <c r="P427" t="s">
        <v>43</v>
      </c>
      <c r="Q427">
        <v>69</v>
      </c>
      <c r="S427">
        <v>0.94500000000000006</v>
      </c>
      <c r="T427">
        <v>0.80499999999999994</v>
      </c>
      <c r="U427">
        <v>0.75</v>
      </c>
      <c r="V427">
        <v>0</v>
      </c>
      <c r="W427">
        <v>0.15000000000000002</v>
      </c>
      <c r="X427">
        <v>0.94500000000000006</v>
      </c>
      <c r="Y427">
        <v>0.18900000000000003</v>
      </c>
      <c r="Z427">
        <v>1.5</v>
      </c>
      <c r="AA427">
        <v>0.80499999999999994</v>
      </c>
      <c r="AI427">
        <f t="shared" si="86"/>
        <v>0.75</v>
      </c>
      <c r="AJ427">
        <f t="shared" si="87"/>
        <v>0</v>
      </c>
      <c r="AK427">
        <f t="shared" si="88"/>
        <v>0.15000000000000002</v>
      </c>
      <c r="AL427">
        <f t="shared" si="89"/>
        <v>0.94500000000000006</v>
      </c>
      <c r="AM427">
        <f t="shared" si="90"/>
        <v>0.18900000000000003</v>
      </c>
      <c r="AN427">
        <f t="shared" si="91"/>
        <v>1.5</v>
      </c>
      <c r="AO427">
        <f t="shared" si="92"/>
        <v>0.80499999999999994</v>
      </c>
      <c r="AQ427" t="str">
        <f t="shared" si="93"/>
        <v>108_5_1</v>
      </c>
      <c r="AR427">
        <f t="shared" si="94"/>
        <v>0.75</v>
      </c>
      <c r="AS427">
        <f t="shared" si="95"/>
        <v>0.75</v>
      </c>
      <c r="AT427">
        <f t="shared" si="96"/>
        <v>1.5</v>
      </c>
      <c r="AU427">
        <f t="shared" si="97"/>
        <v>1.5</v>
      </c>
      <c r="AV427">
        <f t="shared" si="98"/>
        <v>0.80499999999999994</v>
      </c>
    </row>
    <row r="428" spans="1:48">
      <c r="A428">
        <v>108</v>
      </c>
      <c r="B428">
        <v>5</v>
      </c>
      <c r="C428">
        <v>2</v>
      </c>
      <c r="D428" t="str">
        <f t="shared" si="85"/>
        <v>108_5_2</v>
      </c>
      <c r="E428">
        <v>0</v>
      </c>
      <c r="F428">
        <v>1.25</v>
      </c>
      <c r="G428">
        <v>2.25</v>
      </c>
      <c r="H428">
        <v>2.25</v>
      </c>
      <c r="I428">
        <v>0.375</v>
      </c>
      <c r="J428">
        <v>1.4175</v>
      </c>
      <c r="K428">
        <v>1.2075</v>
      </c>
      <c r="L428">
        <v>6.125</v>
      </c>
      <c r="M428" t="s">
        <v>31</v>
      </c>
      <c r="N428" t="s">
        <v>43</v>
      </c>
      <c r="O428" t="s">
        <v>43</v>
      </c>
      <c r="P428" t="s">
        <v>43</v>
      </c>
      <c r="Q428">
        <v>69</v>
      </c>
      <c r="S428">
        <v>1.4175</v>
      </c>
      <c r="T428">
        <v>1.2075</v>
      </c>
      <c r="U428">
        <v>1.25</v>
      </c>
      <c r="V428">
        <v>0</v>
      </c>
      <c r="W428">
        <v>0.25</v>
      </c>
      <c r="X428">
        <v>1.4175</v>
      </c>
      <c r="Y428">
        <v>0.28350000000000003</v>
      </c>
      <c r="Z428">
        <v>2.25</v>
      </c>
      <c r="AA428">
        <v>1.2075</v>
      </c>
      <c r="AI428">
        <f t="shared" si="86"/>
        <v>1.25</v>
      </c>
      <c r="AJ428">
        <f t="shared" si="87"/>
        <v>0</v>
      </c>
      <c r="AK428">
        <f t="shared" si="88"/>
        <v>0.25</v>
      </c>
      <c r="AL428">
        <f t="shared" si="89"/>
        <v>1.4175</v>
      </c>
      <c r="AM428">
        <f t="shared" si="90"/>
        <v>0.28350000000000003</v>
      </c>
      <c r="AN428">
        <f t="shared" si="91"/>
        <v>2.25</v>
      </c>
      <c r="AO428">
        <f t="shared" si="92"/>
        <v>1.2075</v>
      </c>
      <c r="AQ428" t="str">
        <f t="shared" si="93"/>
        <v>108_5_2</v>
      </c>
      <c r="AR428">
        <f t="shared" si="94"/>
        <v>1.25</v>
      </c>
      <c r="AS428">
        <f t="shared" si="95"/>
        <v>1.25</v>
      </c>
      <c r="AT428">
        <f t="shared" si="96"/>
        <v>2.25</v>
      </c>
      <c r="AU428">
        <f t="shared" si="97"/>
        <v>2.25</v>
      </c>
      <c r="AV428">
        <f t="shared" si="98"/>
        <v>1.2075</v>
      </c>
    </row>
    <row r="429" spans="1:48">
      <c r="A429">
        <v>109</v>
      </c>
      <c r="B429" t="s">
        <v>10</v>
      </c>
      <c r="C429" t="s">
        <v>10</v>
      </c>
      <c r="D429" t="str">
        <f t="shared" si="85"/>
        <v>109</v>
      </c>
      <c r="E429" t="s">
        <v>10</v>
      </c>
      <c r="F429" t="s">
        <v>10</v>
      </c>
      <c r="G429" t="s">
        <v>10</v>
      </c>
      <c r="H429" t="s">
        <v>10</v>
      </c>
      <c r="I429" t="s">
        <v>10</v>
      </c>
      <c r="L429">
        <v>0</v>
      </c>
      <c r="M429" t="s">
        <v>11</v>
      </c>
      <c r="N429" t="s">
        <v>11</v>
      </c>
      <c r="O429" t="s">
        <v>11</v>
      </c>
      <c r="P429" t="s">
        <v>11</v>
      </c>
      <c r="Q429" t="s">
        <v>34</v>
      </c>
      <c r="R429" t="s">
        <v>38</v>
      </c>
      <c r="AI429">
        <f t="shared" si="86"/>
        <v>0</v>
      </c>
      <c r="AJ429">
        <f t="shared" si="87"/>
        <v>0</v>
      </c>
      <c r="AK429">
        <f t="shared" si="88"/>
        <v>0</v>
      </c>
      <c r="AL429">
        <f t="shared" si="89"/>
        <v>0</v>
      </c>
      <c r="AM429">
        <f t="shared" si="90"/>
        <v>0</v>
      </c>
      <c r="AN429">
        <f t="shared" si="91"/>
        <v>0</v>
      </c>
      <c r="AO429">
        <f t="shared" si="92"/>
        <v>0</v>
      </c>
      <c r="AQ429" t="str">
        <f t="shared" si="93"/>
        <v>109</v>
      </c>
      <c r="AR429" t="str">
        <f t="shared" si="94"/>
        <v/>
      </c>
      <c r="AS429">
        <f t="shared" si="95"/>
        <v>0</v>
      </c>
      <c r="AT429" t="str">
        <f t="shared" si="96"/>
        <v/>
      </c>
      <c r="AU429">
        <f t="shared" si="97"/>
        <v>0</v>
      </c>
      <c r="AV429">
        <f t="shared" si="98"/>
        <v>0</v>
      </c>
    </row>
    <row r="430" spans="1:48">
      <c r="A430">
        <v>109</v>
      </c>
      <c r="B430">
        <v>1</v>
      </c>
      <c r="C430">
        <v>1</v>
      </c>
      <c r="D430" t="str">
        <f t="shared" si="85"/>
        <v>109_1_1</v>
      </c>
      <c r="E430">
        <v>0</v>
      </c>
      <c r="F430">
        <v>0.5</v>
      </c>
      <c r="G430">
        <v>1</v>
      </c>
      <c r="H430">
        <v>1</v>
      </c>
      <c r="I430">
        <v>0.25</v>
      </c>
      <c r="J430">
        <v>0.67500000000000004</v>
      </c>
      <c r="K430">
        <v>0.57499999999999996</v>
      </c>
      <c r="L430">
        <v>2.75</v>
      </c>
      <c r="M430" t="s">
        <v>31</v>
      </c>
      <c r="N430" t="s">
        <v>11</v>
      </c>
      <c r="O430" t="s">
        <v>11</v>
      </c>
      <c r="P430" t="s">
        <v>11</v>
      </c>
      <c r="Q430" t="s">
        <v>34</v>
      </c>
      <c r="S430">
        <v>0.67500000000000004</v>
      </c>
      <c r="T430">
        <v>0.57499999999999996</v>
      </c>
      <c r="AB430">
        <v>0.5</v>
      </c>
      <c r="AD430">
        <v>0.1</v>
      </c>
      <c r="AE430">
        <v>0.67500000000000004</v>
      </c>
      <c r="AF430">
        <v>0.13500000000000001</v>
      </c>
      <c r="AG430">
        <v>1</v>
      </c>
      <c r="AH430">
        <v>0.57499999999999996</v>
      </c>
      <c r="AI430">
        <f t="shared" si="86"/>
        <v>0.5</v>
      </c>
      <c r="AJ430">
        <f t="shared" si="87"/>
        <v>0</v>
      </c>
      <c r="AK430">
        <f t="shared" si="88"/>
        <v>0.1</v>
      </c>
      <c r="AL430">
        <f t="shared" si="89"/>
        <v>0.67500000000000004</v>
      </c>
      <c r="AM430">
        <f t="shared" si="90"/>
        <v>0.13500000000000001</v>
      </c>
      <c r="AN430">
        <f t="shared" si="91"/>
        <v>1</v>
      </c>
      <c r="AO430">
        <f t="shared" si="92"/>
        <v>0.57499999999999996</v>
      </c>
      <c r="AQ430" t="str">
        <f t="shared" si="93"/>
        <v>109_1_1</v>
      </c>
      <c r="AR430">
        <f t="shared" si="94"/>
        <v>0.5</v>
      </c>
      <c r="AS430">
        <f t="shared" si="95"/>
        <v>0.5</v>
      </c>
      <c r="AT430">
        <f t="shared" si="96"/>
        <v>1</v>
      </c>
      <c r="AU430">
        <f t="shared" si="97"/>
        <v>1</v>
      </c>
      <c r="AV430">
        <f t="shared" si="98"/>
        <v>0.57499999999999996</v>
      </c>
    </row>
    <row r="431" spans="1:48">
      <c r="A431">
        <v>109</v>
      </c>
      <c r="B431">
        <v>1</v>
      </c>
      <c r="C431">
        <v>2</v>
      </c>
      <c r="D431" t="str">
        <f t="shared" si="85"/>
        <v>109_1_2</v>
      </c>
      <c r="E431">
        <v>0</v>
      </c>
      <c r="F431">
        <v>0.5</v>
      </c>
      <c r="G431">
        <v>1</v>
      </c>
      <c r="H431">
        <v>1</v>
      </c>
      <c r="I431">
        <v>0.25</v>
      </c>
      <c r="J431">
        <v>0.67500000000000004</v>
      </c>
      <c r="K431">
        <v>0.57499999999999996</v>
      </c>
      <c r="L431">
        <v>2.75</v>
      </c>
      <c r="M431" t="s">
        <v>31</v>
      </c>
      <c r="N431" t="s">
        <v>11</v>
      </c>
      <c r="O431" t="s">
        <v>11</v>
      </c>
      <c r="P431" t="s">
        <v>11</v>
      </c>
      <c r="Q431" t="s">
        <v>34</v>
      </c>
      <c r="S431">
        <v>0.67500000000000004</v>
      </c>
      <c r="T431">
        <v>0.57499999999999996</v>
      </c>
      <c r="AB431">
        <v>0.5</v>
      </c>
      <c r="AD431">
        <v>0.1</v>
      </c>
      <c r="AE431">
        <v>0.67500000000000004</v>
      </c>
      <c r="AF431">
        <v>0.13500000000000001</v>
      </c>
      <c r="AG431">
        <v>1</v>
      </c>
      <c r="AH431">
        <v>0.57499999999999996</v>
      </c>
      <c r="AI431">
        <f t="shared" si="86"/>
        <v>0.5</v>
      </c>
      <c r="AJ431">
        <f t="shared" si="87"/>
        <v>0</v>
      </c>
      <c r="AK431">
        <f t="shared" si="88"/>
        <v>0.1</v>
      </c>
      <c r="AL431">
        <f t="shared" si="89"/>
        <v>0.67500000000000004</v>
      </c>
      <c r="AM431">
        <f t="shared" si="90"/>
        <v>0.13500000000000001</v>
      </c>
      <c r="AN431">
        <f t="shared" si="91"/>
        <v>1</v>
      </c>
      <c r="AO431">
        <f t="shared" si="92"/>
        <v>0.57499999999999996</v>
      </c>
      <c r="AQ431" t="str">
        <f t="shared" si="93"/>
        <v>109_1_2</v>
      </c>
      <c r="AR431">
        <f t="shared" si="94"/>
        <v>0.5</v>
      </c>
      <c r="AS431">
        <f t="shared" si="95"/>
        <v>0.5</v>
      </c>
      <c r="AT431">
        <f t="shared" si="96"/>
        <v>1</v>
      </c>
      <c r="AU431">
        <f t="shared" si="97"/>
        <v>1</v>
      </c>
      <c r="AV431">
        <f t="shared" si="98"/>
        <v>0.57499999999999996</v>
      </c>
    </row>
    <row r="432" spans="1:48">
      <c r="A432">
        <v>109</v>
      </c>
      <c r="B432">
        <v>1</v>
      </c>
      <c r="C432">
        <v>3</v>
      </c>
      <c r="D432" t="str">
        <f t="shared" si="85"/>
        <v>109_1_3</v>
      </c>
      <c r="E432">
        <v>0</v>
      </c>
      <c r="F432">
        <v>1.125</v>
      </c>
      <c r="G432">
        <v>2.125</v>
      </c>
      <c r="H432">
        <v>2.125</v>
      </c>
      <c r="I432">
        <v>0.375</v>
      </c>
      <c r="J432">
        <v>1.35</v>
      </c>
      <c r="K432">
        <v>1.1499999999999999</v>
      </c>
      <c r="L432">
        <v>5.75</v>
      </c>
      <c r="M432" t="s">
        <v>31</v>
      </c>
      <c r="N432" t="s">
        <v>11</v>
      </c>
      <c r="O432" t="s">
        <v>11</v>
      </c>
      <c r="P432" t="s">
        <v>11</v>
      </c>
      <c r="Q432" t="s">
        <v>34</v>
      </c>
      <c r="S432">
        <v>1.35</v>
      </c>
      <c r="T432">
        <v>1.1499999999999999</v>
      </c>
      <c r="AB432">
        <v>1.125</v>
      </c>
      <c r="AD432">
        <v>0.22500000000000001</v>
      </c>
      <c r="AE432">
        <v>1.35</v>
      </c>
      <c r="AF432">
        <v>0.27</v>
      </c>
      <c r="AG432">
        <v>2.125</v>
      </c>
      <c r="AH432">
        <v>1.1499999999999999</v>
      </c>
      <c r="AI432">
        <f t="shared" si="86"/>
        <v>1.125</v>
      </c>
      <c r="AJ432">
        <f t="shared" si="87"/>
        <v>0</v>
      </c>
      <c r="AK432">
        <f t="shared" si="88"/>
        <v>0.22500000000000001</v>
      </c>
      <c r="AL432">
        <f t="shared" si="89"/>
        <v>1.35</v>
      </c>
      <c r="AM432">
        <f t="shared" si="90"/>
        <v>0.27</v>
      </c>
      <c r="AN432">
        <f t="shared" si="91"/>
        <v>2.125</v>
      </c>
      <c r="AO432">
        <f t="shared" si="92"/>
        <v>1.1499999999999999</v>
      </c>
      <c r="AQ432" t="str">
        <f t="shared" si="93"/>
        <v>109_1_3</v>
      </c>
      <c r="AR432">
        <f t="shared" si="94"/>
        <v>1.125</v>
      </c>
      <c r="AS432">
        <f t="shared" si="95"/>
        <v>1.125</v>
      </c>
      <c r="AT432">
        <f t="shared" si="96"/>
        <v>2.125</v>
      </c>
      <c r="AU432">
        <f t="shared" si="97"/>
        <v>2.125</v>
      </c>
      <c r="AV432">
        <f t="shared" si="98"/>
        <v>1.1499999999999999</v>
      </c>
    </row>
    <row r="433" spans="1:48">
      <c r="A433">
        <v>109</v>
      </c>
      <c r="B433">
        <v>1</v>
      </c>
      <c r="C433">
        <v>4</v>
      </c>
      <c r="D433" t="str">
        <f t="shared" si="85"/>
        <v>109_1_4</v>
      </c>
      <c r="E433">
        <v>0</v>
      </c>
      <c r="F433">
        <v>0.75</v>
      </c>
      <c r="G433">
        <v>1.375</v>
      </c>
      <c r="H433">
        <v>1.375</v>
      </c>
      <c r="I433">
        <v>0.25</v>
      </c>
      <c r="J433">
        <v>0.87750000000000006</v>
      </c>
      <c r="K433">
        <v>0.74749999999999994</v>
      </c>
      <c r="L433">
        <v>3.75</v>
      </c>
      <c r="M433" t="s">
        <v>31</v>
      </c>
      <c r="N433" t="s">
        <v>11</v>
      </c>
      <c r="O433" t="s">
        <v>11</v>
      </c>
      <c r="P433" t="s">
        <v>11</v>
      </c>
      <c r="Q433" t="s">
        <v>34</v>
      </c>
      <c r="S433">
        <v>0.87750000000000006</v>
      </c>
      <c r="T433">
        <v>0.74749999999999994</v>
      </c>
      <c r="AB433">
        <v>0.75</v>
      </c>
      <c r="AD433">
        <v>0.15000000000000002</v>
      </c>
      <c r="AE433">
        <v>0.87750000000000006</v>
      </c>
      <c r="AF433">
        <v>0.17550000000000002</v>
      </c>
      <c r="AG433">
        <v>1.375</v>
      </c>
      <c r="AH433">
        <v>0.74749999999999994</v>
      </c>
      <c r="AI433">
        <f t="shared" si="86"/>
        <v>0.75</v>
      </c>
      <c r="AJ433">
        <f t="shared" si="87"/>
        <v>0</v>
      </c>
      <c r="AK433">
        <f t="shared" si="88"/>
        <v>0.15000000000000002</v>
      </c>
      <c r="AL433">
        <f t="shared" si="89"/>
        <v>0.87750000000000006</v>
      </c>
      <c r="AM433">
        <f t="shared" si="90"/>
        <v>0.17550000000000002</v>
      </c>
      <c r="AN433">
        <f t="shared" si="91"/>
        <v>1.375</v>
      </c>
      <c r="AO433">
        <f t="shared" si="92"/>
        <v>0.74749999999999994</v>
      </c>
      <c r="AQ433" t="str">
        <f t="shared" si="93"/>
        <v>109_1_4</v>
      </c>
      <c r="AR433">
        <f t="shared" si="94"/>
        <v>0.75</v>
      </c>
      <c r="AS433">
        <f t="shared" si="95"/>
        <v>0.75</v>
      </c>
      <c r="AT433">
        <f t="shared" si="96"/>
        <v>1.375</v>
      </c>
      <c r="AU433">
        <f t="shared" si="97"/>
        <v>1.375</v>
      </c>
      <c r="AV433">
        <f t="shared" si="98"/>
        <v>0.74749999999999994</v>
      </c>
    </row>
    <row r="434" spans="1:48">
      <c r="A434">
        <v>109</v>
      </c>
      <c r="B434">
        <v>2</v>
      </c>
      <c r="D434" t="str">
        <f t="shared" si="85"/>
        <v>109_2</v>
      </c>
      <c r="E434">
        <v>0</v>
      </c>
      <c r="F434">
        <v>0.5</v>
      </c>
      <c r="G434">
        <v>1</v>
      </c>
      <c r="H434">
        <v>1</v>
      </c>
      <c r="I434">
        <v>0.25</v>
      </c>
      <c r="J434">
        <v>0.67500000000000004</v>
      </c>
      <c r="K434">
        <v>0.57499999999999996</v>
      </c>
      <c r="L434">
        <v>2.75</v>
      </c>
      <c r="M434" t="s">
        <v>31</v>
      </c>
      <c r="N434" t="s">
        <v>11</v>
      </c>
      <c r="O434" t="s">
        <v>11</v>
      </c>
      <c r="P434" t="s">
        <v>11</v>
      </c>
      <c r="Q434" t="s">
        <v>34</v>
      </c>
      <c r="S434">
        <v>0.67500000000000004</v>
      </c>
      <c r="T434">
        <v>0.57499999999999996</v>
      </c>
      <c r="AB434">
        <v>0.5</v>
      </c>
      <c r="AD434">
        <v>0.1</v>
      </c>
      <c r="AE434">
        <v>0.67500000000000004</v>
      </c>
      <c r="AF434">
        <v>0.13500000000000001</v>
      </c>
      <c r="AG434">
        <v>1</v>
      </c>
      <c r="AH434">
        <v>0.57499999999999996</v>
      </c>
      <c r="AI434">
        <f t="shared" si="86"/>
        <v>0.5</v>
      </c>
      <c r="AJ434">
        <f t="shared" si="87"/>
        <v>0</v>
      </c>
      <c r="AK434">
        <f t="shared" si="88"/>
        <v>0.1</v>
      </c>
      <c r="AL434">
        <f t="shared" si="89"/>
        <v>0.67500000000000004</v>
      </c>
      <c r="AM434">
        <f t="shared" si="90"/>
        <v>0.13500000000000001</v>
      </c>
      <c r="AN434">
        <f t="shared" si="91"/>
        <v>1</v>
      </c>
      <c r="AO434">
        <f t="shared" si="92"/>
        <v>0.57499999999999996</v>
      </c>
      <c r="AQ434" t="str">
        <f t="shared" si="93"/>
        <v>109_2</v>
      </c>
      <c r="AR434">
        <f t="shared" si="94"/>
        <v>0.5</v>
      </c>
      <c r="AS434">
        <f t="shared" si="95"/>
        <v>0.5</v>
      </c>
      <c r="AT434">
        <f t="shared" si="96"/>
        <v>1</v>
      </c>
      <c r="AU434">
        <f t="shared" si="97"/>
        <v>1</v>
      </c>
      <c r="AV434">
        <f t="shared" si="98"/>
        <v>0.57499999999999996</v>
      </c>
    </row>
    <row r="435" spans="1:48">
      <c r="A435">
        <v>110</v>
      </c>
      <c r="B435" t="s">
        <v>10</v>
      </c>
      <c r="D435" t="str">
        <f t="shared" si="85"/>
        <v>110</v>
      </c>
      <c r="E435" t="s">
        <v>10</v>
      </c>
      <c r="F435" t="s">
        <v>10</v>
      </c>
      <c r="G435" t="s">
        <v>10</v>
      </c>
      <c r="H435" t="s">
        <v>10</v>
      </c>
      <c r="I435" t="s">
        <v>10</v>
      </c>
      <c r="L435">
        <v>0</v>
      </c>
      <c r="M435" t="s">
        <v>11</v>
      </c>
      <c r="Q435">
        <v>73</v>
      </c>
      <c r="R435" t="s">
        <v>35</v>
      </c>
      <c r="AI435">
        <f t="shared" si="86"/>
        <v>0</v>
      </c>
      <c r="AJ435">
        <f t="shared" si="87"/>
        <v>0</v>
      </c>
      <c r="AK435">
        <f t="shared" si="88"/>
        <v>0</v>
      </c>
      <c r="AL435">
        <f t="shared" si="89"/>
        <v>0</v>
      </c>
      <c r="AM435">
        <f t="shared" si="90"/>
        <v>0</v>
      </c>
      <c r="AN435">
        <f t="shared" si="91"/>
        <v>0</v>
      </c>
      <c r="AO435">
        <f t="shared" si="92"/>
        <v>0</v>
      </c>
      <c r="AQ435" t="str">
        <f t="shared" si="93"/>
        <v>110</v>
      </c>
      <c r="AR435" t="str">
        <f t="shared" si="94"/>
        <v/>
      </c>
      <c r="AS435">
        <f t="shared" si="95"/>
        <v>0</v>
      </c>
      <c r="AT435" t="str">
        <f t="shared" si="96"/>
        <v/>
      </c>
      <c r="AU435">
        <f t="shared" si="97"/>
        <v>0</v>
      </c>
      <c r="AV435">
        <f t="shared" si="98"/>
        <v>0</v>
      </c>
    </row>
    <row r="436" spans="1:48">
      <c r="A436">
        <v>110</v>
      </c>
      <c r="B436">
        <v>1</v>
      </c>
      <c r="C436">
        <v>1</v>
      </c>
      <c r="D436" t="str">
        <f t="shared" si="85"/>
        <v>110_1_1</v>
      </c>
      <c r="E436">
        <v>0</v>
      </c>
      <c r="F436">
        <v>0.75</v>
      </c>
      <c r="G436">
        <v>1.5</v>
      </c>
      <c r="H436">
        <v>1.5</v>
      </c>
      <c r="I436">
        <v>0.375</v>
      </c>
      <c r="J436">
        <v>1.0125000000000002</v>
      </c>
      <c r="K436">
        <v>0.86249999999999993</v>
      </c>
      <c r="L436">
        <v>4.125</v>
      </c>
      <c r="M436" t="s">
        <v>31</v>
      </c>
      <c r="N436" t="s">
        <v>33</v>
      </c>
      <c r="O436" t="s">
        <v>43</v>
      </c>
      <c r="P436" t="s">
        <v>43</v>
      </c>
      <c r="Q436">
        <v>73</v>
      </c>
      <c r="S436">
        <v>1.0125000000000002</v>
      </c>
      <c r="T436">
        <v>0.86249999999999993</v>
      </c>
      <c r="U436">
        <v>0.15000000000000002</v>
      </c>
      <c r="V436">
        <v>0</v>
      </c>
      <c r="W436">
        <v>0.15000000000000002</v>
      </c>
      <c r="X436">
        <v>1.0125000000000002</v>
      </c>
      <c r="Y436">
        <v>0.20250000000000004</v>
      </c>
      <c r="Z436">
        <v>1.5</v>
      </c>
      <c r="AA436">
        <v>0.86249999999999993</v>
      </c>
      <c r="AI436">
        <f t="shared" si="86"/>
        <v>0.15000000000000002</v>
      </c>
      <c r="AJ436">
        <f t="shared" si="87"/>
        <v>0</v>
      </c>
      <c r="AK436">
        <f t="shared" si="88"/>
        <v>0.15000000000000002</v>
      </c>
      <c r="AL436">
        <f t="shared" si="89"/>
        <v>1.0125000000000002</v>
      </c>
      <c r="AM436">
        <f t="shared" si="90"/>
        <v>0.20250000000000004</v>
      </c>
      <c r="AN436">
        <f t="shared" si="91"/>
        <v>1.5</v>
      </c>
      <c r="AO436">
        <f t="shared" si="92"/>
        <v>0.86249999999999993</v>
      </c>
      <c r="AQ436" t="str">
        <f t="shared" si="93"/>
        <v>110_1_1</v>
      </c>
      <c r="AR436">
        <f t="shared" si="94"/>
        <v>0.75</v>
      </c>
      <c r="AS436">
        <f t="shared" si="95"/>
        <v>0.15000000000000002</v>
      </c>
      <c r="AT436">
        <f t="shared" si="96"/>
        <v>1.5</v>
      </c>
      <c r="AU436">
        <f t="shared" si="97"/>
        <v>1.5</v>
      </c>
      <c r="AV436">
        <f t="shared" si="98"/>
        <v>0.86249999999999993</v>
      </c>
    </row>
    <row r="437" spans="1:48">
      <c r="A437">
        <v>110</v>
      </c>
      <c r="B437">
        <v>1</v>
      </c>
      <c r="C437">
        <v>2</v>
      </c>
      <c r="D437" t="str">
        <f t="shared" si="85"/>
        <v>110_1_2</v>
      </c>
      <c r="E437">
        <v>0</v>
      </c>
      <c r="F437">
        <v>0.5</v>
      </c>
      <c r="G437">
        <v>1</v>
      </c>
      <c r="H437">
        <v>1</v>
      </c>
      <c r="I437">
        <v>0.25</v>
      </c>
      <c r="J437">
        <v>0.67500000000000004</v>
      </c>
      <c r="K437">
        <v>0.57499999999999996</v>
      </c>
      <c r="L437">
        <v>2.75</v>
      </c>
      <c r="M437" t="s">
        <v>31</v>
      </c>
      <c r="N437" t="s">
        <v>33</v>
      </c>
      <c r="O437" t="s">
        <v>43</v>
      </c>
      <c r="P437" t="s">
        <v>43</v>
      </c>
      <c r="Q437">
        <v>73</v>
      </c>
      <c r="S437">
        <v>0.67500000000000004</v>
      </c>
      <c r="T437">
        <v>0.57499999999999996</v>
      </c>
      <c r="U437">
        <v>0.1</v>
      </c>
      <c r="V437">
        <v>0</v>
      </c>
      <c r="W437">
        <v>0.1</v>
      </c>
      <c r="X437">
        <v>0.67500000000000004</v>
      </c>
      <c r="Y437">
        <v>0.13500000000000001</v>
      </c>
      <c r="Z437">
        <v>1</v>
      </c>
      <c r="AA437">
        <v>0.57499999999999996</v>
      </c>
      <c r="AI437">
        <f t="shared" si="86"/>
        <v>0.1</v>
      </c>
      <c r="AJ437">
        <f t="shared" si="87"/>
        <v>0</v>
      </c>
      <c r="AK437">
        <f t="shared" si="88"/>
        <v>0.1</v>
      </c>
      <c r="AL437">
        <f t="shared" si="89"/>
        <v>0.67500000000000004</v>
      </c>
      <c r="AM437">
        <f t="shared" si="90"/>
        <v>0.13500000000000001</v>
      </c>
      <c r="AN437">
        <f t="shared" si="91"/>
        <v>1</v>
      </c>
      <c r="AO437">
        <f t="shared" si="92"/>
        <v>0.57499999999999996</v>
      </c>
      <c r="AQ437" t="str">
        <f t="shared" si="93"/>
        <v>110_1_2</v>
      </c>
      <c r="AR437">
        <f t="shared" si="94"/>
        <v>0.5</v>
      </c>
      <c r="AS437">
        <f t="shared" si="95"/>
        <v>0.1</v>
      </c>
      <c r="AT437">
        <f t="shared" si="96"/>
        <v>1</v>
      </c>
      <c r="AU437">
        <f t="shared" si="97"/>
        <v>1</v>
      </c>
      <c r="AV437">
        <f t="shared" si="98"/>
        <v>0.57499999999999996</v>
      </c>
    </row>
    <row r="438" spans="1:48">
      <c r="A438">
        <v>110</v>
      </c>
      <c r="B438">
        <v>1</v>
      </c>
      <c r="C438">
        <v>3</v>
      </c>
      <c r="D438" t="str">
        <f t="shared" si="85"/>
        <v>110_1_3</v>
      </c>
      <c r="E438">
        <v>0</v>
      </c>
      <c r="F438">
        <v>1.625</v>
      </c>
      <c r="G438">
        <v>2.875</v>
      </c>
      <c r="H438">
        <v>2.875</v>
      </c>
      <c r="I438">
        <v>0.5</v>
      </c>
      <c r="J438">
        <v>1.8225000000000002</v>
      </c>
      <c r="K438">
        <v>1.5524999999999998</v>
      </c>
      <c r="L438">
        <v>7.875</v>
      </c>
      <c r="M438" t="s">
        <v>31</v>
      </c>
      <c r="N438" t="s">
        <v>33</v>
      </c>
      <c r="O438" t="s">
        <v>43</v>
      </c>
      <c r="P438" t="s">
        <v>43</v>
      </c>
      <c r="Q438">
        <v>73</v>
      </c>
      <c r="S438">
        <v>1.8225000000000002</v>
      </c>
      <c r="T438">
        <v>1.5524999999999998</v>
      </c>
      <c r="U438">
        <v>0.32500000000000001</v>
      </c>
      <c r="V438">
        <v>0</v>
      </c>
      <c r="W438">
        <v>0.32500000000000001</v>
      </c>
      <c r="X438">
        <v>1.8225000000000002</v>
      </c>
      <c r="Y438">
        <v>0.36450000000000005</v>
      </c>
      <c r="Z438">
        <v>2.875</v>
      </c>
      <c r="AA438">
        <v>1.5524999999999998</v>
      </c>
      <c r="AI438">
        <f t="shared" si="86"/>
        <v>0.32500000000000001</v>
      </c>
      <c r="AJ438">
        <f t="shared" si="87"/>
        <v>0</v>
      </c>
      <c r="AK438">
        <f t="shared" si="88"/>
        <v>0.32500000000000001</v>
      </c>
      <c r="AL438">
        <f t="shared" si="89"/>
        <v>1.8225000000000002</v>
      </c>
      <c r="AM438">
        <f t="shared" si="90"/>
        <v>0.36450000000000005</v>
      </c>
      <c r="AN438">
        <f t="shared" si="91"/>
        <v>2.875</v>
      </c>
      <c r="AO438">
        <f t="shared" si="92"/>
        <v>1.5524999999999998</v>
      </c>
      <c r="AQ438" t="str">
        <f t="shared" si="93"/>
        <v>110_1_3</v>
      </c>
      <c r="AR438">
        <f t="shared" si="94"/>
        <v>1.625</v>
      </c>
      <c r="AS438">
        <f t="shared" si="95"/>
        <v>0.32500000000000001</v>
      </c>
      <c r="AT438">
        <f t="shared" si="96"/>
        <v>2.875</v>
      </c>
      <c r="AU438">
        <f t="shared" si="97"/>
        <v>2.875</v>
      </c>
      <c r="AV438">
        <f t="shared" si="98"/>
        <v>1.5524999999999998</v>
      </c>
    </row>
    <row r="439" spans="1:48">
      <c r="A439">
        <v>110</v>
      </c>
      <c r="B439">
        <v>1</v>
      </c>
      <c r="C439">
        <v>4</v>
      </c>
      <c r="D439" t="str">
        <f t="shared" si="85"/>
        <v>110_1_4</v>
      </c>
      <c r="E439">
        <v>0</v>
      </c>
      <c r="F439">
        <v>0.75</v>
      </c>
      <c r="G439">
        <v>1.375</v>
      </c>
      <c r="H439">
        <v>1.375</v>
      </c>
      <c r="I439">
        <v>0.25</v>
      </c>
      <c r="J439">
        <v>0.87750000000000006</v>
      </c>
      <c r="K439">
        <v>0.74749999999999994</v>
      </c>
      <c r="L439">
        <v>3.75</v>
      </c>
      <c r="M439" t="s">
        <v>31</v>
      </c>
      <c r="N439" t="s">
        <v>33</v>
      </c>
      <c r="O439" t="s">
        <v>43</v>
      </c>
      <c r="P439" t="s">
        <v>43</v>
      </c>
      <c r="Q439">
        <v>73</v>
      </c>
      <c r="S439">
        <v>0.87750000000000006</v>
      </c>
      <c r="T439">
        <v>0.74749999999999994</v>
      </c>
      <c r="U439">
        <v>0.15000000000000002</v>
      </c>
      <c r="V439">
        <v>0</v>
      </c>
      <c r="W439">
        <v>0.15000000000000002</v>
      </c>
      <c r="X439">
        <v>0.87750000000000006</v>
      </c>
      <c r="Y439">
        <v>0.17550000000000002</v>
      </c>
      <c r="Z439">
        <v>1.375</v>
      </c>
      <c r="AA439">
        <v>0.74749999999999994</v>
      </c>
      <c r="AI439">
        <f t="shared" si="86"/>
        <v>0.15000000000000002</v>
      </c>
      <c r="AJ439">
        <f t="shared" si="87"/>
        <v>0</v>
      </c>
      <c r="AK439">
        <f t="shared" si="88"/>
        <v>0.15000000000000002</v>
      </c>
      <c r="AL439">
        <f t="shared" si="89"/>
        <v>0.87750000000000006</v>
      </c>
      <c r="AM439">
        <f t="shared" si="90"/>
        <v>0.17550000000000002</v>
      </c>
      <c r="AN439">
        <f t="shared" si="91"/>
        <v>1.375</v>
      </c>
      <c r="AO439">
        <f t="shared" si="92"/>
        <v>0.74749999999999994</v>
      </c>
      <c r="AQ439" t="str">
        <f t="shared" si="93"/>
        <v>110_1_4</v>
      </c>
      <c r="AR439">
        <f t="shared" si="94"/>
        <v>0.75</v>
      </c>
      <c r="AS439">
        <f t="shared" si="95"/>
        <v>0.15000000000000002</v>
      </c>
      <c r="AT439">
        <f t="shared" si="96"/>
        <v>1.375</v>
      </c>
      <c r="AU439">
        <f t="shared" si="97"/>
        <v>1.375</v>
      </c>
      <c r="AV439">
        <f t="shared" si="98"/>
        <v>0.74749999999999994</v>
      </c>
    </row>
    <row r="440" spans="1:48">
      <c r="A440">
        <v>110</v>
      </c>
      <c r="B440">
        <v>2</v>
      </c>
      <c r="D440" t="str">
        <f t="shared" si="85"/>
        <v>110_2</v>
      </c>
      <c r="E440">
        <v>0</v>
      </c>
      <c r="F440">
        <v>1</v>
      </c>
      <c r="G440">
        <v>2</v>
      </c>
      <c r="H440">
        <v>2</v>
      </c>
      <c r="I440">
        <v>0.375</v>
      </c>
      <c r="J440">
        <v>1.2825000000000002</v>
      </c>
      <c r="K440">
        <v>1.0924999999999998</v>
      </c>
      <c r="L440">
        <v>5.375</v>
      </c>
      <c r="M440" t="s">
        <v>31</v>
      </c>
      <c r="N440" t="s">
        <v>32</v>
      </c>
      <c r="O440" t="s">
        <v>32</v>
      </c>
      <c r="P440" t="s">
        <v>33</v>
      </c>
      <c r="Q440">
        <v>73</v>
      </c>
      <c r="S440">
        <v>1.2825000000000002</v>
      </c>
      <c r="T440">
        <v>1.0924999999999998</v>
      </c>
      <c r="U440">
        <v>0</v>
      </c>
      <c r="V440">
        <v>0</v>
      </c>
      <c r="W440">
        <v>0</v>
      </c>
      <c r="X440">
        <v>0.25650000000000006</v>
      </c>
      <c r="Y440">
        <v>0.25650000000000006</v>
      </c>
      <c r="Z440">
        <v>0</v>
      </c>
      <c r="AA440">
        <v>1.0924999999999998</v>
      </c>
      <c r="AI440">
        <f t="shared" si="86"/>
        <v>0</v>
      </c>
      <c r="AJ440">
        <f t="shared" si="87"/>
        <v>0</v>
      </c>
      <c r="AK440">
        <f t="shared" si="88"/>
        <v>0</v>
      </c>
      <c r="AL440">
        <f t="shared" si="89"/>
        <v>0.25650000000000006</v>
      </c>
      <c r="AM440">
        <f t="shared" si="90"/>
        <v>0.25650000000000006</v>
      </c>
      <c r="AN440">
        <f t="shared" si="91"/>
        <v>0</v>
      </c>
      <c r="AO440">
        <f t="shared" si="92"/>
        <v>1.0924999999999998</v>
      </c>
      <c r="AQ440" t="str">
        <f t="shared" si="93"/>
        <v>110_2</v>
      </c>
      <c r="AR440">
        <f t="shared" si="94"/>
        <v>1</v>
      </c>
      <c r="AS440">
        <f t="shared" si="95"/>
        <v>0</v>
      </c>
      <c r="AT440">
        <f t="shared" si="96"/>
        <v>2</v>
      </c>
      <c r="AU440">
        <f t="shared" si="97"/>
        <v>0</v>
      </c>
      <c r="AV440">
        <f t="shared" si="98"/>
        <v>1.0924999999999998</v>
      </c>
    </row>
    <row r="441" spans="1:48">
      <c r="A441">
        <v>111</v>
      </c>
      <c r="B441" t="s">
        <v>10</v>
      </c>
      <c r="C441" t="s">
        <v>10</v>
      </c>
      <c r="D441" t="str">
        <f t="shared" si="85"/>
        <v>111</v>
      </c>
      <c r="E441" t="s">
        <v>10</v>
      </c>
      <c r="F441" t="s">
        <v>10</v>
      </c>
      <c r="G441" t="s">
        <v>10</v>
      </c>
      <c r="H441" t="s">
        <v>10</v>
      </c>
      <c r="I441" t="s">
        <v>10</v>
      </c>
      <c r="L441">
        <v>0</v>
      </c>
      <c r="M441" t="s">
        <v>11</v>
      </c>
      <c r="N441" t="s">
        <v>11</v>
      </c>
      <c r="O441" t="s">
        <v>11</v>
      </c>
      <c r="P441" t="s">
        <v>11</v>
      </c>
      <c r="Q441" t="s">
        <v>34</v>
      </c>
      <c r="R441" t="s">
        <v>38</v>
      </c>
      <c r="AI441">
        <f t="shared" si="86"/>
        <v>0</v>
      </c>
      <c r="AJ441">
        <f t="shared" si="87"/>
        <v>0</v>
      </c>
      <c r="AK441">
        <f t="shared" si="88"/>
        <v>0</v>
      </c>
      <c r="AL441">
        <f t="shared" si="89"/>
        <v>0</v>
      </c>
      <c r="AM441">
        <f t="shared" si="90"/>
        <v>0</v>
      </c>
      <c r="AN441">
        <f t="shared" si="91"/>
        <v>0</v>
      </c>
      <c r="AO441">
        <f t="shared" si="92"/>
        <v>0</v>
      </c>
      <c r="AQ441" t="str">
        <f t="shared" si="93"/>
        <v>111</v>
      </c>
      <c r="AR441" t="str">
        <f t="shared" si="94"/>
        <v/>
      </c>
      <c r="AS441">
        <f t="shared" si="95"/>
        <v>0</v>
      </c>
      <c r="AT441" t="str">
        <f t="shared" si="96"/>
        <v/>
      </c>
      <c r="AU441">
        <f t="shared" si="97"/>
        <v>0</v>
      </c>
      <c r="AV441">
        <f t="shared" si="98"/>
        <v>0</v>
      </c>
    </row>
    <row r="442" spans="1:48">
      <c r="A442">
        <v>111</v>
      </c>
      <c r="B442">
        <v>1</v>
      </c>
      <c r="C442" t="s">
        <v>10</v>
      </c>
      <c r="D442" t="str">
        <f t="shared" si="85"/>
        <v>111_1</v>
      </c>
      <c r="E442">
        <v>0</v>
      </c>
      <c r="F442">
        <v>0</v>
      </c>
      <c r="G442">
        <v>0</v>
      </c>
      <c r="H442">
        <v>1.75</v>
      </c>
      <c r="I442">
        <v>0.375</v>
      </c>
      <c r="J442">
        <v>1.1475</v>
      </c>
      <c r="K442">
        <v>0.97749999999999992</v>
      </c>
      <c r="L442">
        <v>2.125</v>
      </c>
      <c r="M442" t="s">
        <v>31</v>
      </c>
      <c r="N442" t="s">
        <v>11</v>
      </c>
      <c r="O442" t="s">
        <v>11</v>
      </c>
      <c r="P442" t="s">
        <v>11</v>
      </c>
      <c r="Q442" t="s">
        <v>34</v>
      </c>
      <c r="S442">
        <v>1.1475</v>
      </c>
      <c r="T442">
        <v>0.97749999999999992</v>
      </c>
      <c r="AB442">
        <v>0</v>
      </c>
      <c r="AD442">
        <v>0</v>
      </c>
      <c r="AE442">
        <v>1.1475</v>
      </c>
      <c r="AF442">
        <v>0.22950000000000001</v>
      </c>
      <c r="AG442">
        <v>0</v>
      </c>
      <c r="AH442">
        <v>0.97749999999999992</v>
      </c>
      <c r="AI442">
        <f t="shared" si="86"/>
        <v>0</v>
      </c>
      <c r="AJ442">
        <f t="shared" si="87"/>
        <v>0</v>
      </c>
      <c r="AK442">
        <f t="shared" si="88"/>
        <v>0</v>
      </c>
      <c r="AL442">
        <f t="shared" si="89"/>
        <v>1.1475</v>
      </c>
      <c r="AM442">
        <f t="shared" si="90"/>
        <v>0.22950000000000001</v>
      </c>
      <c r="AN442">
        <f t="shared" si="91"/>
        <v>0</v>
      </c>
      <c r="AO442">
        <f t="shared" si="92"/>
        <v>0.97749999999999992</v>
      </c>
      <c r="AQ442" t="str">
        <f t="shared" si="93"/>
        <v>111_1</v>
      </c>
      <c r="AR442">
        <f t="shared" si="94"/>
        <v>0</v>
      </c>
      <c r="AS442">
        <f t="shared" si="95"/>
        <v>0</v>
      </c>
      <c r="AT442">
        <f t="shared" si="96"/>
        <v>0</v>
      </c>
      <c r="AU442">
        <f t="shared" si="97"/>
        <v>0</v>
      </c>
      <c r="AV442">
        <f t="shared" si="98"/>
        <v>0.97749999999999992</v>
      </c>
    </row>
    <row r="443" spans="1:48">
      <c r="A443">
        <v>111</v>
      </c>
      <c r="B443">
        <v>2</v>
      </c>
      <c r="D443" t="str">
        <f t="shared" si="85"/>
        <v>111_2</v>
      </c>
      <c r="E443">
        <v>0</v>
      </c>
      <c r="F443">
        <v>0.625</v>
      </c>
      <c r="G443">
        <v>0</v>
      </c>
      <c r="H443">
        <v>1.125</v>
      </c>
      <c r="I443">
        <v>0.25</v>
      </c>
      <c r="J443">
        <v>0.74250000000000005</v>
      </c>
      <c r="K443">
        <v>0.63249999999999995</v>
      </c>
      <c r="L443">
        <v>2</v>
      </c>
      <c r="M443" t="s">
        <v>31</v>
      </c>
      <c r="N443" t="s">
        <v>11</v>
      </c>
      <c r="O443" t="s">
        <v>11</v>
      </c>
      <c r="P443" t="s">
        <v>11</v>
      </c>
      <c r="Q443" t="s">
        <v>34</v>
      </c>
      <c r="S443">
        <v>0.74250000000000005</v>
      </c>
      <c r="T443">
        <v>0.63249999999999995</v>
      </c>
      <c r="AB443">
        <v>0.625</v>
      </c>
      <c r="AD443">
        <v>0.125</v>
      </c>
      <c r="AE443">
        <v>0.74250000000000005</v>
      </c>
      <c r="AF443">
        <v>0.14850000000000002</v>
      </c>
      <c r="AG443">
        <v>0</v>
      </c>
      <c r="AH443">
        <v>0.63249999999999995</v>
      </c>
      <c r="AI443">
        <f t="shared" si="86"/>
        <v>0.625</v>
      </c>
      <c r="AJ443">
        <f t="shared" si="87"/>
        <v>0</v>
      </c>
      <c r="AK443">
        <f t="shared" si="88"/>
        <v>0.125</v>
      </c>
      <c r="AL443">
        <f t="shared" si="89"/>
        <v>0.74250000000000005</v>
      </c>
      <c r="AM443">
        <f t="shared" si="90"/>
        <v>0.14850000000000002</v>
      </c>
      <c r="AN443">
        <f t="shared" si="91"/>
        <v>0</v>
      </c>
      <c r="AO443">
        <f t="shared" si="92"/>
        <v>0.63249999999999995</v>
      </c>
      <c r="AQ443" t="str">
        <f t="shared" si="93"/>
        <v>111_2</v>
      </c>
      <c r="AR443">
        <f t="shared" si="94"/>
        <v>0.625</v>
      </c>
      <c r="AS443">
        <f t="shared" si="95"/>
        <v>0.625</v>
      </c>
      <c r="AT443">
        <f t="shared" si="96"/>
        <v>0</v>
      </c>
      <c r="AU443">
        <f t="shared" si="97"/>
        <v>0</v>
      </c>
      <c r="AV443">
        <f t="shared" si="98"/>
        <v>0.63249999999999995</v>
      </c>
    </row>
    <row r="444" spans="1:48">
      <c r="A444">
        <v>111</v>
      </c>
      <c r="B444">
        <v>3</v>
      </c>
      <c r="C444" t="s">
        <v>10</v>
      </c>
      <c r="D444" t="str">
        <f t="shared" si="85"/>
        <v>111_3</v>
      </c>
      <c r="E444">
        <v>0</v>
      </c>
      <c r="F444">
        <v>0</v>
      </c>
      <c r="G444">
        <v>0</v>
      </c>
      <c r="H444">
        <v>1.125</v>
      </c>
      <c r="I444">
        <v>0.25</v>
      </c>
      <c r="J444">
        <v>0.74250000000000005</v>
      </c>
      <c r="K444">
        <v>0.63249999999999995</v>
      </c>
      <c r="L444">
        <v>1.375</v>
      </c>
      <c r="M444" t="s">
        <v>31</v>
      </c>
      <c r="N444" t="s">
        <v>11</v>
      </c>
      <c r="O444" t="s">
        <v>11</v>
      </c>
      <c r="P444" t="s">
        <v>11</v>
      </c>
      <c r="Q444" t="s">
        <v>34</v>
      </c>
      <c r="S444">
        <v>0.74250000000000005</v>
      </c>
      <c r="T444">
        <v>0.63249999999999995</v>
      </c>
      <c r="AB444">
        <v>0</v>
      </c>
      <c r="AD444">
        <v>0</v>
      </c>
      <c r="AE444">
        <v>0.74250000000000005</v>
      </c>
      <c r="AF444">
        <v>0.14850000000000002</v>
      </c>
      <c r="AG444">
        <v>0</v>
      </c>
      <c r="AH444">
        <v>0.63249999999999995</v>
      </c>
      <c r="AI444">
        <f t="shared" si="86"/>
        <v>0</v>
      </c>
      <c r="AJ444">
        <f t="shared" si="87"/>
        <v>0</v>
      </c>
      <c r="AK444">
        <f t="shared" si="88"/>
        <v>0</v>
      </c>
      <c r="AL444">
        <f t="shared" si="89"/>
        <v>0.74250000000000005</v>
      </c>
      <c r="AM444">
        <f t="shared" si="90"/>
        <v>0.14850000000000002</v>
      </c>
      <c r="AN444">
        <f t="shared" si="91"/>
        <v>0</v>
      </c>
      <c r="AO444">
        <f t="shared" si="92"/>
        <v>0.63249999999999995</v>
      </c>
      <c r="AQ444" t="str">
        <f t="shared" si="93"/>
        <v>111_3</v>
      </c>
      <c r="AR444">
        <f t="shared" si="94"/>
        <v>0</v>
      </c>
      <c r="AS444">
        <f t="shared" si="95"/>
        <v>0</v>
      </c>
      <c r="AT444">
        <f t="shared" si="96"/>
        <v>0</v>
      </c>
      <c r="AU444">
        <f t="shared" si="97"/>
        <v>0</v>
      </c>
      <c r="AV444">
        <f t="shared" si="98"/>
        <v>0.63249999999999995</v>
      </c>
    </row>
    <row r="445" spans="1:48">
      <c r="A445">
        <v>112</v>
      </c>
      <c r="B445" t="s">
        <v>10</v>
      </c>
      <c r="C445" t="s">
        <v>10</v>
      </c>
      <c r="D445" t="str">
        <f t="shared" si="85"/>
        <v>112</v>
      </c>
      <c r="E445" t="s">
        <v>10</v>
      </c>
      <c r="F445" t="s">
        <v>10</v>
      </c>
      <c r="G445" t="s">
        <v>10</v>
      </c>
      <c r="H445" t="s">
        <v>10</v>
      </c>
      <c r="I445" t="s">
        <v>10</v>
      </c>
      <c r="L445">
        <v>0</v>
      </c>
      <c r="M445" t="s">
        <v>11</v>
      </c>
      <c r="Q445">
        <v>15</v>
      </c>
      <c r="R445" t="s">
        <v>35</v>
      </c>
      <c r="AI445">
        <f t="shared" si="86"/>
        <v>0</v>
      </c>
      <c r="AJ445">
        <f t="shared" si="87"/>
        <v>0</v>
      </c>
      <c r="AK445">
        <f t="shared" si="88"/>
        <v>0</v>
      </c>
      <c r="AL445">
        <f t="shared" si="89"/>
        <v>0</v>
      </c>
      <c r="AM445">
        <f t="shared" si="90"/>
        <v>0</v>
      </c>
      <c r="AN445">
        <f t="shared" si="91"/>
        <v>0</v>
      </c>
      <c r="AO445">
        <f t="shared" si="92"/>
        <v>0</v>
      </c>
      <c r="AQ445" t="str">
        <f t="shared" si="93"/>
        <v>112</v>
      </c>
      <c r="AR445" t="str">
        <f t="shared" si="94"/>
        <v/>
      </c>
      <c r="AS445">
        <f t="shared" si="95"/>
        <v>0</v>
      </c>
      <c r="AT445" t="str">
        <f t="shared" si="96"/>
        <v/>
      </c>
      <c r="AU445">
        <f t="shared" si="97"/>
        <v>0</v>
      </c>
      <c r="AV445">
        <f t="shared" si="98"/>
        <v>0</v>
      </c>
    </row>
    <row r="446" spans="1:48">
      <c r="A446">
        <v>112</v>
      </c>
      <c r="B446">
        <v>1</v>
      </c>
      <c r="C446">
        <v>1</v>
      </c>
      <c r="D446" t="str">
        <f t="shared" si="85"/>
        <v>112_1_1</v>
      </c>
      <c r="E446">
        <v>0</v>
      </c>
      <c r="F446">
        <v>3.625</v>
      </c>
      <c r="G446">
        <v>6.75</v>
      </c>
      <c r="H446">
        <v>6.75</v>
      </c>
      <c r="I446">
        <v>1.125</v>
      </c>
      <c r="J446">
        <v>4.2525000000000004</v>
      </c>
      <c r="K446">
        <v>3.6224999999999996</v>
      </c>
      <c r="L446">
        <v>18.25</v>
      </c>
      <c r="M446" t="s">
        <v>31</v>
      </c>
      <c r="N446" t="s">
        <v>33</v>
      </c>
      <c r="O446" t="s">
        <v>43</v>
      </c>
      <c r="P446" t="s">
        <v>43</v>
      </c>
      <c r="Q446">
        <v>15</v>
      </c>
      <c r="S446">
        <v>4.2525000000000004</v>
      </c>
      <c r="T446">
        <v>3.6224999999999996</v>
      </c>
      <c r="U446">
        <v>0.72500000000000009</v>
      </c>
      <c r="V446">
        <v>0</v>
      </c>
      <c r="W446">
        <v>0.72500000000000009</v>
      </c>
      <c r="X446">
        <v>4.2525000000000004</v>
      </c>
      <c r="Y446">
        <v>0.85050000000000014</v>
      </c>
      <c r="Z446">
        <v>6.75</v>
      </c>
      <c r="AA446">
        <v>3.6224999999999996</v>
      </c>
      <c r="AI446">
        <f t="shared" si="86"/>
        <v>0.72500000000000009</v>
      </c>
      <c r="AJ446">
        <f t="shared" si="87"/>
        <v>0</v>
      </c>
      <c r="AK446">
        <f t="shared" si="88"/>
        <v>0.72500000000000009</v>
      </c>
      <c r="AL446">
        <f t="shared" si="89"/>
        <v>4.2525000000000004</v>
      </c>
      <c r="AM446">
        <f t="shared" si="90"/>
        <v>0.85050000000000014</v>
      </c>
      <c r="AN446">
        <f t="shared" si="91"/>
        <v>6.75</v>
      </c>
      <c r="AO446">
        <f t="shared" si="92"/>
        <v>3.6224999999999996</v>
      </c>
      <c r="AQ446" t="str">
        <f t="shared" si="93"/>
        <v>112_1_1</v>
      </c>
      <c r="AR446">
        <f t="shared" si="94"/>
        <v>3.625</v>
      </c>
      <c r="AS446">
        <f t="shared" si="95"/>
        <v>0.72500000000000009</v>
      </c>
      <c r="AT446">
        <f t="shared" si="96"/>
        <v>6.75</v>
      </c>
      <c r="AU446">
        <f t="shared" si="97"/>
        <v>6.75</v>
      </c>
      <c r="AV446">
        <f t="shared" si="98"/>
        <v>3.6224999999999996</v>
      </c>
    </row>
    <row r="447" spans="1:48">
      <c r="A447">
        <v>112</v>
      </c>
      <c r="B447">
        <v>1</v>
      </c>
      <c r="C447">
        <v>2</v>
      </c>
      <c r="D447" t="str">
        <f t="shared" si="85"/>
        <v>112_1_2</v>
      </c>
      <c r="E447">
        <v>0</v>
      </c>
      <c r="F447">
        <v>3</v>
      </c>
      <c r="G447">
        <v>5.5</v>
      </c>
      <c r="H447">
        <v>5.5</v>
      </c>
      <c r="I447">
        <v>0.875</v>
      </c>
      <c r="J447">
        <v>3.4425000000000003</v>
      </c>
      <c r="K447">
        <v>2.9324999999999997</v>
      </c>
      <c r="L447">
        <v>14.875</v>
      </c>
      <c r="M447" t="s">
        <v>31</v>
      </c>
      <c r="N447" t="s">
        <v>33</v>
      </c>
      <c r="O447" t="s">
        <v>43</v>
      </c>
      <c r="P447" t="s">
        <v>43</v>
      </c>
      <c r="Q447">
        <v>15</v>
      </c>
      <c r="S447">
        <v>3.4425000000000003</v>
      </c>
      <c r="T447">
        <v>2.9324999999999997</v>
      </c>
      <c r="U447">
        <v>0.60000000000000009</v>
      </c>
      <c r="V447">
        <v>0</v>
      </c>
      <c r="W447">
        <v>0.60000000000000009</v>
      </c>
      <c r="X447">
        <v>3.4425000000000003</v>
      </c>
      <c r="Y447">
        <v>0.68850000000000011</v>
      </c>
      <c r="Z447">
        <v>5.5</v>
      </c>
      <c r="AA447">
        <v>2.9324999999999997</v>
      </c>
      <c r="AI447">
        <f t="shared" si="86"/>
        <v>0.60000000000000009</v>
      </c>
      <c r="AJ447">
        <f t="shared" si="87"/>
        <v>0</v>
      </c>
      <c r="AK447">
        <f t="shared" si="88"/>
        <v>0.60000000000000009</v>
      </c>
      <c r="AL447">
        <f t="shared" si="89"/>
        <v>3.4425000000000003</v>
      </c>
      <c r="AM447">
        <f t="shared" si="90"/>
        <v>0.68850000000000011</v>
      </c>
      <c r="AN447">
        <f t="shared" si="91"/>
        <v>5.5</v>
      </c>
      <c r="AO447">
        <f t="shared" si="92"/>
        <v>2.9324999999999997</v>
      </c>
      <c r="AQ447" t="str">
        <f t="shared" si="93"/>
        <v>112_1_2</v>
      </c>
      <c r="AR447">
        <f t="shared" si="94"/>
        <v>3</v>
      </c>
      <c r="AS447">
        <f t="shared" si="95"/>
        <v>0.60000000000000009</v>
      </c>
      <c r="AT447">
        <f t="shared" si="96"/>
        <v>5.5</v>
      </c>
      <c r="AU447">
        <f t="shared" si="97"/>
        <v>5.5</v>
      </c>
      <c r="AV447">
        <f t="shared" si="98"/>
        <v>2.9324999999999997</v>
      </c>
    </row>
    <row r="448" spans="1:48">
      <c r="A448">
        <v>112</v>
      </c>
      <c r="B448">
        <v>1</v>
      </c>
      <c r="C448">
        <v>3</v>
      </c>
      <c r="D448" t="str">
        <f t="shared" si="85"/>
        <v>112_1_3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 t="s">
        <v>11</v>
      </c>
      <c r="N448" t="s">
        <v>11</v>
      </c>
      <c r="O448" t="s">
        <v>11</v>
      </c>
      <c r="P448" t="s">
        <v>11</v>
      </c>
      <c r="Q448" t="s">
        <v>11</v>
      </c>
      <c r="S448">
        <v>0</v>
      </c>
      <c r="T448">
        <v>0</v>
      </c>
      <c r="U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I448">
        <f t="shared" si="86"/>
        <v>0</v>
      </c>
      <c r="AJ448">
        <f t="shared" si="87"/>
        <v>0</v>
      </c>
      <c r="AK448">
        <f t="shared" si="88"/>
        <v>0</v>
      </c>
      <c r="AL448">
        <f t="shared" si="89"/>
        <v>0</v>
      </c>
      <c r="AM448">
        <f t="shared" si="90"/>
        <v>0</v>
      </c>
      <c r="AN448">
        <f t="shared" si="91"/>
        <v>0</v>
      </c>
      <c r="AO448">
        <f t="shared" si="92"/>
        <v>0</v>
      </c>
      <c r="AQ448" t="str">
        <f t="shared" si="93"/>
        <v>112_1_3</v>
      </c>
      <c r="AR448">
        <f t="shared" si="94"/>
        <v>0</v>
      </c>
      <c r="AS448">
        <f t="shared" si="95"/>
        <v>0</v>
      </c>
      <c r="AT448">
        <f t="shared" si="96"/>
        <v>0</v>
      </c>
      <c r="AU448">
        <f t="shared" si="97"/>
        <v>0</v>
      </c>
      <c r="AV448">
        <f t="shared" si="98"/>
        <v>0</v>
      </c>
    </row>
    <row r="449" spans="1:48">
      <c r="A449">
        <v>112</v>
      </c>
      <c r="B449">
        <v>2</v>
      </c>
      <c r="D449" t="str">
        <f t="shared" si="85"/>
        <v>112_2</v>
      </c>
      <c r="E449">
        <v>0</v>
      </c>
      <c r="F449">
        <v>0</v>
      </c>
      <c r="G449">
        <v>0</v>
      </c>
      <c r="H449">
        <v>1.375</v>
      </c>
      <c r="I449">
        <v>0.25</v>
      </c>
      <c r="J449">
        <v>0.87750000000000006</v>
      </c>
      <c r="K449">
        <v>0.74749999999999994</v>
      </c>
      <c r="L449">
        <v>1.625</v>
      </c>
      <c r="M449" t="s">
        <v>31</v>
      </c>
      <c r="N449" t="s">
        <v>36</v>
      </c>
      <c r="O449" t="s">
        <v>36</v>
      </c>
      <c r="P449" t="s">
        <v>43</v>
      </c>
      <c r="Q449">
        <v>15</v>
      </c>
      <c r="S449">
        <v>0.87750000000000006</v>
      </c>
      <c r="T449">
        <v>0.74749999999999994</v>
      </c>
      <c r="U449">
        <v>0</v>
      </c>
      <c r="V449">
        <v>0</v>
      </c>
      <c r="W449">
        <v>0</v>
      </c>
      <c r="X449">
        <v>0.87750000000000006</v>
      </c>
      <c r="Y449">
        <v>0.17550000000000002</v>
      </c>
      <c r="Z449">
        <v>0</v>
      </c>
      <c r="AA449">
        <v>0.74749999999999994</v>
      </c>
      <c r="AI449">
        <f t="shared" si="86"/>
        <v>0</v>
      </c>
      <c r="AJ449">
        <f t="shared" si="87"/>
        <v>0</v>
      </c>
      <c r="AK449">
        <f t="shared" si="88"/>
        <v>0</v>
      </c>
      <c r="AL449">
        <f t="shared" si="89"/>
        <v>0.87750000000000006</v>
      </c>
      <c r="AM449">
        <f t="shared" si="90"/>
        <v>0.17550000000000002</v>
      </c>
      <c r="AN449">
        <f t="shared" si="91"/>
        <v>0</v>
      </c>
      <c r="AO449">
        <f t="shared" si="92"/>
        <v>0.74749999999999994</v>
      </c>
      <c r="AQ449" t="str">
        <f t="shared" si="93"/>
        <v>112_2</v>
      </c>
      <c r="AR449">
        <f t="shared" si="94"/>
        <v>0</v>
      </c>
      <c r="AS449">
        <f t="shared" si="95"/>
        <v>0</v>
      </c>
      <c r="AT449">
        <f t="shared" si="96"/>
        <v>0</v>
      </c>
      <c r="AU449">
        <f t="shared" si="97"/>
        <v>0</v>
      </c>
      <c r="AV449">
        <f t="shared" si="98"/>
        <v>0.74749999999999994</v>
      </c>
    </row>
    <row r="450" spans="1:48">
      <c r="A450">
        <v>113</v>
      </c>
      <c r="B450" t="s">
        <v>10</v>
      </c>
      <c r="C450" t="s">
        <v>10</v>
      </c>
      <c r="D450" t="str">
        <f t="shared" si="85"/>
        <v>113</v>
      </c>
      <c r="E450" t="s">
        <v>10</v>
      </c>
      <c r="F450" t="s">
        <v>10</v>
      </c>
      <c r="G450" t="s">
        <v>10</v>
      </c>
      <c r="H450" t="s">
        <v>10</v>
      </c>
      <c r="I450" t="s">
        <v>10</v>
      </c>
      <c r="L450">
        <v>0</v>
      </c>
      <c r="M450" t="s">
        <v>11</v>
      </c>
      <c r="Q450">
        <v>78</v>
      </c>
      <c r="R450" t="s">
        <v>35</v>
      </c>
      <c r="AI450">
        <f t="shared" si="86"/>
        <v>0</v>
      </c>
      <c r="AJ450">
        <f t="shared" si="87"/>
        <v>0</v>
      </c>
      <c r="AK450">
        <f t="shared" si="88"/>
        <v>0</v>
      </c>
      <c r="AL450">
        <f t="shared" si="89"/>
        <v>0</v>
      </c>
      <c r="AM450">
        <f t="shared" si="90"/>
        <v>0</v>
      </c>
      <c r="AN450">
        <f t="shared" si="91"/>
        <v>0</v>
      </c>
      <c r="AO450">
        <f t="shared" si="92"/>
        <v>0</v>
      </c>
      <c r="AQ450" t="str">
        <f t="shared" si="93"/>
        <v>113</v>
      </c>
      <c r="AR450" t="str">
        <f t="shared" si="94"/>
        <v/>
      </c>
      <c r="AS450">
        <f t="shared" si="95"/>
        <v>0</v>
      </c>
      <c r="AT450" t="str">
        <f t="shared" si="96"/>
        <v/>
      </c>
      <c r="AU450">
        <f t="shared" si="97"/>
        <v>0</v>
      </c>
      <c r="AV450">
        <f t="shared" si="98"/>
        <v>0</v>
      </c>
    </row>
    <row r="451" spans="1:48">
      <c r="A451">
        <v>113</v>
      </c>
      <c r="B451">
        <v>1</v>
      </c>
      <c r="C451">
        <v>1</v>
      </c>
      <c r="D451" t="str">
        <f t="shared" si="85"/>
        <v>113_1_1</v>
      </c>
      <c r="E451">
        <v>0</v>
      </c>
      <c r="F451">
        <v>1.5</v>
      </c>
      <c r="G451">
        <v>7</v>
      </c>
      <c r="H451">
        <v>7</v>
      </c>
      <c r="I451">
        <v>2</v>
      </c>
      <c r="J451">
        <v>4.8600000000000003</v>
      </c>
      <c r="K451">
        <v>4.1399999999999997</v>
      </c>
      <c r="L451">
        <v>17.5</v>
      </c>
      <c r="M451" t="s">
        <v>39</v>
      </c>
      <c r="N451" t="s">
        <v>33</v>
      </c>
      <c r="O451" t="s">
        <v>43</v>
      </c>
      <c r="P451" t="s">
        <v>43</v>
      </c>
      <c r="Q451">
        <v>78</v>
      </c>
      <c r="S451">
        <v>4.8600000000000003</v>
      </c>
      <c r="T451">
        <v>4.1399999999999997</v>
      </c>
      <c r="U451">
        <v>0.30000000000000004</v>
      </c>
      <c r="V451">
        <v>0</v>
      </c>
      <c r="W451">
        <v>0.30000000000000004</v>
      </c>
      <c r="X451">
        <v>4.8600000000000003</v>
      </c>
      <c r="Y451">
        <v>0.97200000000000009</v>
      </c>
      <c r="Z451">
        <v>7</v>
      </c>
      <c r="AA451">
        <v>4.1399999999999997</v>
      </c>
      <c r="AI451">
        <f t="shared" si="86"/>
        <v>0.30000000000000004</v>
      </c>
      <c r="AJ451">
        <f t="shared" si="87"/>
        <v>0</v>
      </c>
      <c r="AK451">
        <f t="shared" si="88"/>
        <v>0.30000000000000004</v>
      </c>
      <c r="AL451">
        <f t="shared" si="89"/>
        <v>4.8600000000000003</v>
      </c>
      <c r="AM451">
        <f t="shared" si="90"/>
        <v>0.97200000000000009</v>
      </c>
      <c r="AN451">
        <f t="shared" si="91"/>
        <v>7</v>
      </c>
      <c r="AO451">
        <f t="shared" si="92"/>
        <v>4.1399999999999997</v>
      </c>
      <c r="AQ451" t="str">
        <f t="shared" si="93"/>
        <v>113_1_1</v>
      </c>
      <c r="AR451">
        <f t="shared" si="94"/>
        <v>1.5</v>
      </c>
      <c r="AS451">
        <f t="shared" si="95"/>
        <v>0.30000000000000004</v>
      </c>
      <c r="AT451">
        <f t="shared" si="96"/>
        <v>7</v>
      </c>
      <c r="AU451">
        <f t="shared" si="97"/>
        <v>7</v>
      </c>
      <c r="AV451">
        <f t="shared" si="98"/>
        <v>4.1399999999999997</v>
      </c>
    </row>
    <row r="452" spans="1:48">
      <c r="A452">
        <v>113</v>
      </c>
      <c r="B452">
        <v>1</v>
      </c>
      <c r="C452">
        <v>2</v>
      </c>
      <c r="D452" t="str">
        <f t="shared" si="85"/>
        <v>113_1_2</v>
      </c>
      <c r="E452">
        <v>0</v>
      </c>
      <c r="F452">
        <v>5</v>
      </c>
      <c r="G452">
        <v>7.5</v>
      </c>
      <c r="H452">
        <v>7.5</v>
      </c>
      <c r="I452">
        <v>2</v>
      </c>
      <c r="J452">
        <v>5.1300000000000008</v>
      </c>
      <c r="K452">
        <v>4.3699999999999992</v>
      </c>
      <c r="L452">
        <v>22</v>
      </c>
      <c r="M452" t="s">
        <v>31</v>
      </c>
      <c r="N452" t="s">
        <v>33</v>
      </c>
      <c r="O452" t="s">
        <v>43</v>
      </c>
      <c r="P452" t="s">
        <v>43</v>
      </c>
      <c r="Q452">
        <v>78</v>
      </c>
      <c r="S452">
        <v>5.1300000000000008</v>
      </c>
      <c r="T452">
        <v>4.3699999999999992</v>
      </c>
      <c r="U452">
        <v>1</v>
      </c>
      <c r="W452">
        <v>1</v>
      </c>
      <c r="X452">
        <v>5.1300000000000008</v>
      </c>
      <c r="Y452">
        <v>1.0260000000000002</v>
      </c>
      <c r="Z452">
        <v>7.5</v>
      </c>
      <c r="AA452">
        <v>4.3699999999999992</v>
      </c>
      <c r="AI452">
        <f t="shared" si="86"/>
        <v>1</v>
      </c>
      <c r="AJ452">
        <f t="shared" si="87"/>
        <v>0</v>
      </c>
      <c r="AK452">
        <f t="shared" si="88"/>
        <v>1</v>
      </c>
      <c r="AL452">
        <f t="shared" si="89"/>
        <v>5.1300000000000008</v>
      </c>
      <c r="AM452">
        <f t="shared" si="90"/>
        <v>1.0260000000000002</v>
      </c>
      <c r="AN452">
        <f t="shared" si="91"/>
        <v>7.5</v>
      </c>
      <c r="AO452">
        <f t="shared" si="92"/>
        <v>4.3699999999999992</v>
      </c>
      <c r="AQ452" t="str">
        <f t="shared" si="93"/>
        <v>113_1_2</v>
      </c>
      <c r="AR452">
        <f t="shared" si="94"/>
        <v>5</v>
      </c>
      <c r="AS452">
        <f t="shared" si="95"/>
        <v>1</v>
      </c>
      <c r="AT452">
        <f t="shared" si="96"/>
        <v>7.5</v>
      </c>
      <c r="AU452">
        <f t="shared" si="97"/>
        <v>7.5</v>
      </c>
      <c r="AV452">
        <f t="shared" si="98"/>
        <v>4.3699999999999992</v>
      </c>
    </row>
    <row r="453" spans="1:48">
      <c r="A453">
        <v>113</v>
      </c>
      <c r="B453">
        <v>1</v>
      </c>
      <c r="C453">
        <v>3</v>
      </c>
      <c r="D453" t="str">
        <f t="shared" ref="D453:D461" si="99">A453&amp;IF(B453="","","_")&amp;B453&amp;IF(C453="","","_")&amp;C453</f>
        <v>113_1_3</v>
      </c>
      <c r="E453">
        <v>0</v>
      </c>
      <c r="F453">
        <v>0.75</v>
      </c>
      <c r="G453">
        <v>1.5</v>
      </c>
      <c r="H453">
        <v>1.5</v>
      </c>
      <c r="I453">
        <v>0.25</v>
      </c>
      <c r="J453">
        <v>0.94500000000000006</v>
      </c>
      <c r="K453">
        <v>0.80499999999999994</v>
      </c>
      <c r="L453">
        <v>4</v>
      </c>
      <c r="M453" t="s">
        <v>31</v>
      </c>
      <c r="N453" t="s">
        <v>33</v>
      </c>
      <c r="O453" t="s">
        <v>43</v>
      </c>
      <c r="P453" t="s">
        <v>43</v>
      </c>
      <c r="Q453">
        <v>78</v>
      </c>
      <c r="S453">
        <v>0.94500000000000006</v>
      </c>
      <c r="T453">
        <v>0.80499999999999994</v>
      </c>
      <c r="U453">
        <v>0.15000000000000002</v>
      </c>
      <c r="V453">
        <v>0</v>
      </c>
      <c r="W453">
        <v>0.15000000000000002</v>
      </c>
      <c r="X453">
        <v>0.94500000000000006</v>
      </c>
      <c r="Y453">
        <v>0.18900000000000003</v>
      </c>
      <c r="Z453">
        <v>1.5</v>
      </c>
      <c r="AA453">
        <v>0.80499999999999994</v>
      </c>
      <c r="AI453">
        <f t="shared" ref="AI453:AI461" si="100">U453+AB453</f>
        <v>0.15000000000000002</v>
      </c>
      <c r="AJ453">
        <f t="shared" ref="AJ453:AJ461" si="101">V453+AC453</f>
        <v>0</v>
      </c>
      <c r="AK453">
        <f t="shared" ref="AK453:AK461" si="102">W453+AD453</f>
        <v>0.15000000000000002</v>
      </c>
      <c r="AL453">
        <f t="shared" ref="AL453:AL461" si="103">X453+AE453</f>
        <v>0.94500000000000006</v>
      </c>
      <c r="AM453">
        <f t="shared" ref="AM453:AM461" si="104">Y453+AF453</f>
        <v>0.18900000000000003</v>
      </c>
      <c r="AN453">
        <f t="shared" ref="AN453:AN461" si="105">Z453+AG453</f>
        <v>1.5</v>
      </c>
      <c r="AO453">
        <f t="shared" ref="AO453:AO461" si="106">AA453+AH453</f>
        <v>0.80499999999999994</v>
      </c>
      <c r="AQ453" t="str">
        <f t="shared" ref="AQ453:AQ461" si="107">D453</f>
        <v>113_1_3</v>
      </c>
      <c r="AR453">
        <f t="shared" ref="AR453:AR461" si="108">F453</f>
        <v>0.75</v>
      </c>
      <c r="AS453">
        <f t="shared" ref="AS453:AS461" si="109">AI453</f>
        <v>0.15000000000000002</v>
      </c>
      <c r="AT453">
        <f t="shared" ref="AT453:AT461" si="110">G453</f>
        <v>1.5</v>
      </c>
      <c r="AU453">
        <f t="shared" ref="AU453:AU461" si="111">AN453</f>
        <v>1.5</v>
      </c>
      <c r="AV453">
        <f t="shared" ref="AV453:AV461" si="112">AO453</f>
        <v>0.80499999999999994</v>
      </c>
    </row>
    <row r="454" spans="1:48">
      <c r="A454">
        <v>113</v>
      </c>
      <c r="B454">
        <v>1</v>
      </c>
      <c r="C454">
        <v>4</v>
      </c>
      <c r="D454" t="str">
        <f t="shared" si="99"/>
        <v>113_1_4</v>
      </c>
      <c r="E454">
        <v>0</v>
      </c>
      <c r="F454">
        <v>0.75</v>
      </c>
      <c r="G454">
        <v>1.5</v>
      </c>
      <c r="H454">
        <v>1.5</v>
      </c>
      <c r="I454">
        <v>0.25</v>
      </c>
      <c r="J454">
        <v>0.94500000000000006</v>
      </c>
      <c r="K454">
        <v>0.80499999999999994</v>
      </c>
      <c r="L454">
        <v>4</v>
      </c>
      <c r="M454" t="s">
        <v>31</v>
      </c>
      <c r="N454" t="s">
        <v>33</v>
      </c>
      <c r="O454" t="s">
        <v>43</v>
      </c>
      <c r="P454" t="s">
        <v>43</v>
      </c>
      <c r="Q454">
        <v>78</v>
      </c>
      <c r="S454">
        <v>0.94500000000000006</v>
      </c>
      <c r="T454">
        <v>0.80499999999999994</v>
      </c>
      <c r="U454">
        <v>0.15000000000000002</v>
      </c>
      <c r="W454">
        <v>0.15000000000000002</v>
      </c>
      <c r="X454">
        <v>0.94500000000000006</v>
      </c>
      <c r="Y454">
        <v>0.18900000000000003</v>
      </c>
      <c r="Z454">
        <v>1.5</v>
      </c>
      <c r="AA454">
        <v>0.80499999999999994</v>
      </c>
      <c r="AI454">
        <f t="shared" si="100"/>
        <v>0.15000000000000002</v>
      </c>
      <c r="AJ454">
        <f t="shared" si="101"/>
        <v>0</v>
      </c>
      <c r="AK454">
        <f t="shared" si="102"/>
        <v>0.15000000000000002</v>
      </c>
      <c r="AL454">
        <f t="shared" si="103"/>
        <v>0.94500000000000006</v>
      </c>
      <c r="AM454">
        <f t="shared" si="104"/>
        <v>0.18900000000000003</v>
      </c>
      <c r="AN454">
        <f t="shared" si="105"/>
        <v>1.5</v>
      </c>
      <c r="AO454">
        <f t="shared" si="106"/>
        <v>0.80499999999999994</v>
      </c>
      <c r="AQ454" t="str">
        <f t="shared" si="107"/>
        <v>113_1_4</v>
      </c>
      <c r="AR454">
        <f t="shared" si="108"/>
        <v>0.75</v>
      </c>
      <c r="AS454">
        <f t="shared" si="109"/>
        <v>0.15000000000000002</v>
      </c>
      <c r="AT454">
        <f t="shared" si="110"/>
        <v>1.5</v>
      </c>
      <c r="AU454">
        <f t="shared" si="111"/>
        <v>1.5</v>
      </c>
      <c r="AV454">
        <f t="shared" si="112"/>
        <v>0.80499999999999994</v>
      </c>
    </row>
    <row r="455" spans="1:48">
      <c r="A455">
        <v>113</v>
      </c>
      <c r="B455">
        <v>1</v>
      </c>
      <c r="C455">
        <v>5</v>
      </c>
      <c r="D455" t="str">
        <f t="shared" si="99"/>
        <v>113_1_5</v>
      </c>
      <c r="E455">
        <v>0</v>
      </c>
      <c r="F455">
        <v>0.875</v>
      </c>
      <c r="G455">
        <v>1.625</v>
      </c>
      <c r="H455">
        <v>1.625</v>
      </c>
      <c r="I455">
        <v>0.375</v>
      </c>
      <c r="J455">
        <v>1.08</v>
      </c>
      <c r="K455">
        <v>0.91999999999999993</v>
      </c>
      <c r="L455">
        <v>4.5</v>
      </c>
      <c r="M455" t="s">
        <v>31</v>
      </c>
      <c r="N455" t="s">
        <v>33</v>
      </c>
      <c r="O455" t="s">
        <v>43</v>
      </c>
      <c r="P455" t="s">
        <v>43</v>
      </c>
      <c r="Q455">
        <v>78</v>
      </c>
      <c r="S455">
        <v>1.08</v>
      </c>
      <c r="T455">
        <v>0.91999999999999993</v>
      </c>
      <c r="U455">
        <v>0.17500000000000002</v>
      </c>
      <c r="V455">
        <v>0</v>
      </c>
      <c r="W455">
        <v>0.17500000000000002</v>
      </c>
      <c r="X455">
        <v>1.08</v>
      </c>
      <c r="Y455">
        <v>0.21600000000000003</v>
      </c>
      <c r="Z455">
        <v>1.625</v>
      </c>
      <c r="AA455">
        <v>0.91999999999999993</v>
      </c>
      <c r="AI455">
        <f t="shared" si="100"/>
        <v>0.17500000000000002</v>
      </c>
      <c r="AJ455">
        <f t="shared" si="101"/>
        <v>0</v>
      </c>
      <c r="AK455">
        <f t="shared" si="102"/>
        <v>0.17500000000000002</v>
      </c>
      <c r="AL455">
        <f t="shared" si="103"/>
        <v>1.08</v>
      </c>
      <c r="AM455">
        <f t="shared" si="104"/>
        <v>0.21600000000000003</v>
      </c>
      <c r="AN455">
        <f t="shared" si="105"/>
        <v>1.625</v>
      </c>
      <c r="AO455">
        <f t="shared" si="106"/>
        <v>0.91999999999999993</v>
      </c>
      <c r="AQ455" t="str">
        <f t="shared" si="107"/>
        <v>113_1_5</v>
      </c>
      <c r="AR455">
        <f t="shared" si="108"/>
        <v>0.875</v>
      </c>
      <c r="AS455">
        <f t="shared" si="109"/>
        <v>0.17500000000000002</v>
      </c>
      <c r="AT455">
        <f t="shared" si="110"/>
        <v>1.625</v>
      </c>
      <c r="AU455">
        <f t="shared" si="111"/>
        <v>1.625</v>
      </c>
      <c r="AV455">
        <f t="shared" si="112"/>
        <v>0.91999999999999993</v>
      </c>
    </row>
    <row r="456" spans="1:48">
      <c r="A456">
        <v>113</v>
      </c>
      <c r="B456">
        <v>1</v>
      </c>
      <c r="C456">
        <v>6</v>
      </c>
      <c r="D456" t="str">
        <f t="shared" si="99"/>
        <v>113_1_6</v>
      </c>
      <c r="E456">
        <v>0</v>
      </c>
      <c r="F456">
        <v>0.75</v>
      </c>
      <c r="G456">
        <v>1.5</v>
      </c>
      <c r="H456">
        <v>1.5</v>
      </c>
      <c r="I456">
        <v>0.25</v>
      </c>
      <c r="J456">
        <v>0.94500000000000006</v>
      </c>
      <c r="K456">
        <v>0.80499999999999994</v>
      </c>
      <c r="L456">
        <v>4</v>
      </c>
      <c r="M456" t="s">
        <v>31</v>
      </c>
      <c r="N456" t="s">
        <v>33</v>
      </c>
      <c r="O456" t="s">
        <v>43</v>
      </c>
      <c r="P456" t="s">
        <v>43</v>
      </c>
      <c r="Q456">
        <v>78</v>
      </c>
      <c r="S456">
        <v>0.94500000000000006</v>
      </c>
      <c r="T456">
        <v>0.80499999999999994</v>
      </c>
      <c r="U456">
        <v>0.15000000000000002</v>
      </c>
      <c r="V456">
        <v>0</v>
      </c>
      <c r="W456">
        <v>0.15000000000000002</v>
      </c>
      <c r="X456">
        <v>0.94500000000000006</v>
      </c>
      <c r="Y456">
        <v>0.18900000000000003</v>
      </c>
      <c r="Z456">
        <v>1.5</v>
      </c>
      <c r="AA456">
        <v>0.80499999999999994</v>
      </c>
      <c r="AI456">
        <f t="shared" si="100"/>
        <v>0.15000000000000002</v>
      </c>
      <c r="AJ456">
        <f t="shared" si="101"/>
        <v>0</v>
      </c>
      <c r="AK456">
        <f t="shared" si="102"/>
        <v>0.15000000000000002</v>
      </c>
      <c r="AL456">
        <f t="shared" si="103"/>
        <v>0.94500000000000006</v>
      </c>
      <c r="AM456">
        <f t="shared" si="104"/>
        <v>0.18900000000000003</v>
      </c>
      <c r="AN456">
        <f t="shared" si="105"/>
        <v>1.5</v>
      </c>
      <c r="AO456">
        <f t="shared" si="106"/>
        <v>0.80499999999999994</v>
      </c>
      <c r="AQ456" t="str">
        <f t="shared" si="107"/>
        <v>113_1_6</v>
      </c>
      <c r="AR456">
        <f t="shared" si="108"/>
        <v>0.75</v>
      </c>
      <c r="AS456">
        <f t="shared" si="109"/>
        <v>0.15000000000000002</v>
      </c>
      <c r="AT456">
        <f t="shared" si="110"/>
        <v>1.5</v>
      </c>
      <c r="AU456">
        <f t="shared" si="111"/>
        <v>1.5</v>
      </c>
      <c r="AV456">
        <f t="shared" si="112"/>
        <v>0.80499999999999994</v>
      </c>
    </row>
    <row r="457" spans="1:48">
      <c r="A457">
        <v>113</v>
      </c>
      <c r="B457">
        <v>2</v>
      </c>
      <c r="C457">
        <v>1</v>
      </c>
      <c r="D457" t="str">
        <f t="shared" si="99"/>
        <v>113_2_1</v>
      </c>
      <c r="E457">
        <v>0</v>
      </c>
      <c r="F457">
        <v>0</v>
      </c>
      <c r="G457">
        <v>0</v>
      </c>
      <c r="H457">
        <v>0</v>
      </c>
      <c r="I457">
        <v>4</v>
      </c>
      <c r="J457">
        <v>2.16</v>
      </c>
      <c r="K457">
        <v>1.8399999999999999</v>
      </c>
      <c r="L457">
        <v>4</v>
      </c>
      <c r="M457" t="s">
        <v>39</v>
      </c>
      <c r="N457" t="s">
        <v>36</v>
      </c>
      <c r="O457" t="s">
        <v>36</v>
      </c>
      <c r="P457" t="s">
        <v>43</v>
      </c>
      <c r="Q457">
        <v>78</v>
      </c>
      <c r="S457">
        <v>2.16</v>
      </c>
      <c r="T457">
        <v>1.8399999999999999</v>
      </c>
      <c r="U457">
        <v>0</v>
      </c>
      <c r="V457">
        <v>0</v>
      </c>
      <c r="W457">
        <v>0</v>
      </c>
      <c r="X457">
        <v>2.16</v>
      </c>
      <c r="Y457">
        <v>0.43200000000000005</v>
      </c>
      <c r="Z457">
        <v>0</v>
      </c>
      <c r="AA457">
        <v>1.8399999999999999</v>
      </c>
      <c r="AI457">
        <f t="shared" si="100"/>
        <v>0</v>
      </c>
      <c r="AJ457">
        <f t="shared" si="101"/>
        <v>0</v>
      </c>
      <c r="AK457">
        <f t="shared" si="102"/>
        <v>0</v>
      </c>
      <c r="AL457">
        <f t="shared" si="103"/>
        <v>2.16</v>
      </c>
      <c r="AM457">
        <f t="shared" si="104"/>
        <v>0.43200000000000005</v>
      </c>
      <c r="AN457">
        <f t="shared" si="105"/>
        <v>0</v>
      </c>
      <c r="AO457">
        <f t="shared" si="106"/>
        <v>1.8399999999999999</v>
      </c>
      <c r="AQ457" t="str">
        <f t="shared" si="107"/>
        <v>113_2_1</v>
      </c>
      <c r="AR457">
        <f t="shared" si="108"/>
        <v>0</v>
      </c>
      <c r="AS457">
        <f t="shared" si="109"/>
        <v>0</v>
      </c>
      <c r="AT457">
        <f t="shared" si="110"/>
        <v>0</v>
      </c>
      <c r="AU457">
        <f t="shared" si="111"/>
        <v>0</v>
      </c>
      <c r="AV457">
        <f t="shared" si="112"/>
        <v>1.8399999999999999</v>
      </c>
    </row>
    <row r="458" spans="1:48">
      <c r="A458">
        <v>113</v>
      </c>
      <c r="B458">
        <v>2</v>
      </c>
      <c r="C458">
        <v>2</v>
      </c>
      <c r="D458" t="str">
        <f t="shared" si="99"/>
        <v>113_2_2</v>
      </c>
      <c r="E458">
        <v>0</v>
      </c>
      <c r="F458">
        <v>1.5</v>
      </c>
      <c r="G458">
        <v>3</v>
      </c>
      <c r="H458">
        <v>5</v>
      </c>
      <c r="I458">
        <v>5</v>
      </c>
      <c r="J458">
        <v>5.4</v>
      </c>
      <c r="K458">
        <v>4.5999999999999996</v>
      </c>
      <c r="L458">
        <v>14.5</v>
      </c>
      <c r="M458" t="s">
        <v>31</v>
      </c>
      <c r="N458" t="s">
        <v>32</v>
      </c>
      <c r="O458" t="s">
        <v>32</v>
      </c>
      <c r="P458" t="s">
        <v>43</v>
      </c>
      <c r="Q458">
        <v>78</v>
      </c>
      <c r="S458">
        <v>5.4</v>
      </c>
      <c r="T458">
        <v>4.5999999999999996</v>
      </c>
      <c r="U458">
        <v>0</v>
      </c>
      <c r="V458">
        <v>0</v>
      </c>
      <c r="W458">
        <v>0</v>
      </c>
      <c r="X458">
        <v>5.4</v>
      </c>
      <c r="Y458">
        <v>1.08</v>
      </c>
      <c r="Z458">
        <v>0</v>
      </c>
      <c r="AA458">
        <v>4.5999999999999996</v>
      </c>
      <c r="AI458">
        <f t="shared" si="100"/>
        <v>0</v>
      </c>
      <c r="AJ458">
        <f t="shared" si="101"/>
        <v>0</v>
      </c>
      <c r="AK458">
        <f t="shared" si="102"/>
        <v>0</v>
      </c>
      <c r="AL458">
        <f t="shared" si="103"/>
        <v>5.4</v>
      </c>
      <c r="AM458">
        <f t="shared" si="104"/>
        <v>1.08</v>
      </c>
      <c r="AN458">
        <f t="shared" si="105"/>
        <v>0</v>
      </c>
      <c r="AO458">
        <f t="shared" si="106"/>
        <v>4.5999999999999996</v>
      </c>
      <c r="AQ458" t="str">
        <f t="shared" si="107"/>
        <v>113_2_2</v>
      </c>
      <c r="AR458">
        <f t="shared" si="108"/>
        <v>1.5</v>
      </c>
      <c r="AS458">
        <f t="shared" si="109"/>
        <v>0</v>
      </c>
      <c r="AT458">
        <f t="shared" si="110"/>
        <v>3</v>
      </c>
      <c r="AU458">
        <f t="shared" si="111"/>
        <v>0</v>
      </c>
      <c r="AV458">
        <f t="shared" si="112"/>
        <v>4.5999999999999996</v>
      </c>
    </row>
    <row r="459" spans="1:48">
      <c r="A459">
        <v>113</v>
      </c>
      <c r="B459">
        <v>3</v>
      </c>
      <c r="C459">
        <v>1</v>
      </c>
      <c r="D459" t="str">
        <f t="shared" si="99"/>
        <v>113_3_1</v>
      </c>
      <c r="E459">
        <v>0</v>
      </c>
      <c r="F459">
        <v>0</v>
      </c>
      <c r="G459">
        <v>0</v>
      </c>
      <c r="H459">
        <v>0</v>
      </c>
      <c r="I459">
        <v>4</v>
      </c>
      <c r="J459">
        <v>2.16</v>
      </c>
      <c r="K459">
        <v>1.8399999999999999</v>
      </c>
      <c r="L459">
        <v>4</v>
      </c>
      <c r="M459" t="s">
        <v>39</v>
      </c>
      <c r="N459" t="s">
        <v>36</v>
      </c>
      <c r="O459" t="s">
        <v>36</v>
      </c>
      <c r="P459" t="s">
        <v>43</v>
      </c>
      <c r="Q459">
        <v>78</v>
      </c>
      <c r="S459">
        <v>2.16</v>
      </c>
      <c r="T459">
        <v>1.8399999999999999</v>
      </c>
      <c r="U459">
        <v>0</v>
      </c>
      <c r="V459">
        <v>0</v>
      </c>
      <c r="W459">
        <v>0</v>
      </c>
      <c r="X459">
        <v>2.16</v>
      </c>
      <c r="Y459">
        <v>0.43200000000000005</v>
      </c>
      <c r="Z459">
        <v>0</v>
      </c>
      <c r="AA459">
        <v>1.8399999999999999</v>
      </c>
      <c r="AI459">
        <f t="shared" si="100"/>
        <v>0</v>
      </c>
      <c r="AJ459">
        <f t="shared" si="101"/>
        <v>0</v>
      </c>
      <c r="AK459">
        <f t="shared" si="102"/>
        <v>0</v>
      </c>
      <c r="AL459">
        <f t="shared" si="103"/>
        <v>2.16</v>
      </c>
      <c r="AM459">
        <f t="shared" si="104"/>
        <v>0.43200000000000005</v>
      </c>
      <c r="AN459">
        <f t="shared" si="105"/>
        <v>0</v>
      </c>
      <c r="AO459">
        <f t="shared" si="106"/>
        <v>1.8399999999999999</v>
      </c>
      <c r="AQ459" t="str">
        <f t="shared" si="107"/>
        <v>113_3_1</v>
      </c>
      <c r="AR459">
        <f t="shared" si="108"/>
        <v>0</v>
      </c>
      <c r="AS459">
        <f t="shared" si="109"/>
        <v>0</v>
      </c>
      <c r="AT459">
        <f t="shared" si="110"/>
        <v>0</v>
      </c>
      <c r="AU459">
        <f t="shared" si="111"/>
        <v>0</v>
      </c>
      <c r="AV459">
        <f t="shared" si="112"/>
        <v>1.8399999999999999</v>
      </c>
    </row>
    <row r="460" spans="1:48">
      <c r="A460">
        <v>113</v>
      </c>
      <c r="B460">
        <v>3</v>
      </c>
      <c r="C460">
        <v>2</v>
      </c>
      <c r="D460" t="str">
        <f t="shared" si="99"/>
        <v>113_3_2</v>
      </c>
      <c r="E460">
        <v>0</v>
      </c>
      <c r="F460">
        <v>0</v>
      </c>
      <c r="G460">
        <v>0</v>
      </c>
      <c r="H460">
        <v>4</v>
      </c>
      <c r="I460">
        <v>5</v>
      </c>
      <c r="J460">
        <v>4.8600000000000003</v>
      </c>
      <c r="K460">
        <v>4.1399999999999997</v>
      </c>
      <c r="L460">
        <v>9</v>
      </c>
      <c r="M460" t="s">
        <v>31</v>
      </c>
      <c r="N460" t="s">
        <v>36</v>
      </c>
      <c r="O460" t="s">
        <v>36</v>
      </c>
      <c r="P460" t="s">
        <v>43</v>
      </c>
      <c r="Q460">
        <v>78</v>
      </c>
      <c r="S460">
        <v>4.8600000000000003</v>
      </c>
      <c r="T460">
        <v>4.1399999999999997</v>
      </c>
      <c r="U460">
        <v>0</v>
      </c>
      <c r="V460">
        <v>0</v>
      </c>
      <c r="W460">
        <v>0</v>
      </c>
      <c r="X460">
        <v>4.8600000000000003</v>
      </c>
      <c r="Y460">
        <v>0.97200000000000009</v>
      </c>
      <c r="Z460">
        <v>0</v>
      </c>
      <c r="AA460">
        <v>4.1399999999999997</v>
      </c>
      <c r="AI460">
        <f t="shared" si="100"/>
        <v>0</v>
      </c>
      <c r="AJ460">
        <f t="shared" si="101"/>
        <v>0</v>
      </c>
      <c r="AK460">
        <f t="shared" si="102"/>
        <v>0</v>
      </c>
      <c r="AL460">
        <f t="shared" si="103"/>
        <v>4.8600000000000003</v>
      </c>
      <c r="AM460">
        <f t="shared" si="104"/>
        <v>0.97200000000000009</v>
      </c>
      <c r="AN460">
        <f t="shared" si="105"/>
        <v>0</v>
      </c>
      <c r="AO460">
        <f t="shared" si="106"/>
        <v>4.1399999999999997</v>
      </c>
      <c r="AQ460" t="str">
        <f t="shared" si="107"/>
        <v>113_3_2</v>
      </c>
      <c r="AR460">
        <f t="shared" si="108"/>
        <v>0</v>
      </c>
      <c r="AS460">
        <f t="shared" si="109"/>
        <v>0</v>
      </c>
      <c r="AT460">
        <f t="shared" si="110"/>
        <v>0</v>
      </c>
      <c r="AU460">
        <f t="shared" si="111"/>
        <v>0</v>
      </c>
      <c r="AV460">
        <f t="shared" si="112"/>
        <v>4.1399999999999997</v>
      </c>
    </row>
    <row r="461" spans="1:48">
      <c r="A461">
        <v>113</v>
      </c>
      <c r="B461">
        <v>4</v>
      </c>
      <c r="C461">
        <v>1</v>
      </c>
      <c r="D461" t="str">
        <f t="shared" si="99"/>
        <v>113_4_1</v>
      </c>
      <c r="E461">
        <v>0</v>
      </c>
      <c r="F461">
        <v>0.625</v>
      </c>
      <c r="G461">
        <v>1.125</v>
      </c>
      <c r="H461">
        <v>1.125</v>
      </c>
      <c r="I461">
        <v>0.25</v>
      </c>
      <c r="J461">
        <v>0.74250000000000005</v>
      </c>
      <c r="K461">
        <v>0.63249999999999995</v>
      </c>
      <c r="L461">
        <v>3.125</v>
      </c>
      <c r="M461" t="s">
        <v>31</v>
      </c>
      <c r="N461" t="s">
        <v>32</v>
      </c>
      <c r="O461" t="s">
        <v>32</v>
      </c>
      <c r="P461" t="s">
        <v>43</v>
      </c>
      <c r="Q461">
        <v>78</v>
      </c>
      <c r="S461">
        <v>0.74250000000000005</v>
      </c>
      <c r="T461">
        <v>0.63249999999999995</v>
      </c>
      <c r="U461">
        <v>0</v>
      </c>
      <c r="V461">
        <v>0</v>
      </c>
      <c r="W461">
        <v>0</v>
      </c>
      <c r="X461">
        <v>0.74250000000000005</v>
      </c>
      <c r="Y461">
        <v>0.14850000000000002</v>
      </c>
      <c r="Z461">
        <v>0</v>
      </c>
      <c r="AA461">
        <v>0.63249999999999995</v>
      </c>
      <c r="AI461">
        <f t="shared" si="100"/>
        <v>0</v>
      </c>
      <c r="AJ461">
        <f t="shared" si="101"/>
        <v>0</v>
      </c>
      <c r="AK461">
        <f t="shared" si="102"/>
        <v>0</v>
      </c>
      <c r="AL461">
        <f t="shared" si="103"/>
        <v>0.74250000000000005</v>
      </c>
      <c r="AM461">
        <f t="shared" si="104"/>
        <v>0.14850000000000002</v>
      </c>
      <c r="AN461">
        <f t="shared" si="105"/>
        <v>0</v>
      </c>
      <c r="AO461">
        <f t="shared" si="106"/>
        <v>0.63249999999999995</v>
      </c>
      <c r="AQ461" t="str">
        <f t="shared" si="107"/>
        <v>113_4_1</v>
      </c>
      <c r="AR461">
        <f t="shared" si="108"/>
        <v>0.625</v>
      </c>
      <c r="AS461">
        <f t="shared" si="109"/>
        <v>0</v>
      </c>
      <c r="AT461">
        <f t="shared" si="110"/>
        <v>1.125</v>
      </c>
      <c r="AU461">
        <f t="shared" si="111"/>
        <v>0</v>
      </c>
      <c r="AV461">
        <f t="shared" si="112"/>
        <v>0.63249999999999995</v>
      </c>
    </row>
    <row r="462" spans="1:48">
      <c r="A462" t="s">
        <v>10</v>
      </c>
      <c r="B462" t="s">
        <v>10</v>
      </c>
      <c r="C462" t="s">
        <v>10</v>
      </c>
      <c r="E462" t="s">
        <v>10</v>
      </c>
      <c r="F462" t="s">
        <v>10</v>
      </c>
      <c r="G462" t="s">
        <v>10</v>
      </c>
      <c r="H462" t="s">
        <v>10</v>
      </c>
      <c r="I462" t="s">
        <v>10</v>
      </c>
      <c r="L462">
        <v>0</v>
      </c>
    </row>
  </sheetData>
  <autoFilter ref="A3:AV462" xr:uid="{00000000-0009-0000-0000-000002000000}"/>
  <mergeCells count="3">
    <mergeCell ref="U1:AA1"/>
    <mergeCell ref="AB1:AH1"/>
    <mergeCell ref="AI1:AO1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FN52"/>
  <sheetViews>
    <sheetView showGridLines="0" zoomScale="90" zoomScaleNormal="90" workbookViewId="0">
      <pane xSplit="14" ySplit="3" topLeftCell="DQ25" activePane="bottomRight" state="frozen"/>
      <selection pane="topRight" activeCell="O1" sqref="O1"/>
      <selection pane="bottomLeft" activeCell="A4" sqref="A4"/>
      <selection pane="bottomRight" activeCell="FE3" sqref="FE3:FK30"/>
    </sheetView>
  </sheetViews>
  <sheetFormatPr defaultColWidth="8.125" defaultRowHeight="13.5" outlineLevelCol="2"/>
  <cols>
    <col min="1" max="1" width="5.125" style="50" customWidth="1"/>
    <col min="2" max="3" width="3.125" style="51" hidden="1" customWidth="1"/>
    <col min="4" max="4" width="3.125" style="51" customWidth="1"/>
    <col min="5" max="5" width="4.5" style="52" customWidth="1"/>
    <col min="6" max="6" width="5.25" style="249" customWidth="1"/>
    <col min="7" max="9" width="2.75" style="249" customWidth="1"/>
    <col min="10" max="10" width="3.25" style="50" customWidth="1"/>
    <col min="11" max="11" width="9" style="50" customWidth="1"/>
    <col min="12" max="12" width="3.25" style="50" customWidth="1"/>
    <col min="13" max="13" width="19.75" style="50" customWidth="1"/>
    <col min="14" max="14" width="27" style="105" customWidth="1"/>
    <col min="15" max="15" width="17.25" style="50" customWidth="1"/>
    <col min="16" max="16" width="9.625" style="50" hidden="1" customWidth="1" outlineLevel="1"/>
    <col min="17" max="18" width="13.25" style="50" hidden="1" customWidth="1" outlineLevel="1"/>
    <col min="19" max="19" width="39.25" style="50" hidden="1" customWidth="1" outlineLevel="1"/>
    <col min="20" max="20" width="5.75" style="50" hidden="1" customWidth="1" outlineLevel="1"/>
    <col min="21" max="107" width="7.125" style="250" hidden="1" customWidth="1" outlineLevel="1"/>
    <col min="108" max="108" width="28" style="50" customWidth="1" collapsed="1"/>
    <col min="109" max="109" width="9.625" style="50" customWidth="1"/>
    <col min="110" max="110" width="6.25" style="50" customWidth="1"/>
    <col min="111" max="111" width="5.125" style="51" hidden="1" customWidth="1"/>
    <col min="112" max="120" width="6" style="50" hidden="1" customWidth="1"/>
    <col min="121" max="121" width="7" style="50" customWidth="1"/>
    <col min="122" max="122" width="6.75" style="50" customWidth="1"/>
    <col min="123" max="123" width="7.25" style="50" customWidth="1"/>
    <col min="124" max="125" width="5.5" style="50" customWidth="1" outlineLevel="2"/>
    <col min="126" max="127" width="11.125" style="50" customWidth="1"/>
    <col min="128" max="128" width="9" style="50" customWidth="1"/>
    <col min="129" max="132" width="6" style="50" hidden="1" customWidth="1"/>
    <col min="133" max="133" width="7.25" style="50" hidden="1" customWidth="1"/>
    <col min="134" max="134" width="91.5" style="50" customWidth="1"/>
    <col min="135" max="135" width="4" style="50" hidden="1" customWidth="1"/>
    <col min="136" max="139" width="7.25" style="50" hidden="1" customWidth="1"/>
    <col min="140" max="141" width="7.25" style="74" hidden="1" customWidth="1"/>
    <col min="142" max="142" width="9.75" style="50" hidden="1" customWidth="1"/>
    <col min="143" max="144" width="8.125" style="50" hidden="1" customWidth="1"/>
    <col min="145" max="146" width="6.5" style="50" hidden="1" customWidth="1"/>
    <col min="147" max="152" width="8.125" style="50" hidden="1" customWidth="1"/>
    <col min="153" max="153" width="4.25" style="50" hidden="1" customWidth="1"/>
    <col min="154" max="154" width="6.25" style="50" hidden="1" customWidth="1"/>
    <col min="155" max="155" width="6.5" style="50" hidden="1" customWidth="1"/>
    <col min="156" max="160" width="8.125" style="50" hidden="1" customWidth="1"/>
    <col min="161" max="161" width="8.125" style="50"/>
    <col min="162" max="162" width="5" style="50" customWidth="1"/>
    <col min="163" max="163" width="8.125" style="50"/>
    <col min="164" max="164" width="0" style="50" hidden="1" customWidth="1"/>
    <col min="165" max="16384" width="8.125" style="50"/>
  </cols>
  <sheetData>
    <row r="1" spans="1:167" ht="25.5" customHeight="1">
      <c r="F1" s="272" t="s">
        <v>86</v>
      </c>
      <c r="G1" s="272"/>
      <c r="H1" s="272"/>
      <c r="I1" s="272"/>
      <c r="J1" s="346" t="s">
        <v>87</v>
      </c>
      <c r="K1" s="347"/>
      <c r="L1" s="347"/>
      <c r="M1" s="347"/>
      <c r="N1" s="349" t="s">
        <v>88</v>
      </c>
      <c r="O1" s="53" t="s">
        <v>89</v>
      </c>
      <c r="P1" s="351" t="s">
        <v>90</v>
      </c>
      <c r="Q1" s="351" t="s">
        <v>91</v>
      </c>
      <c r="R1" s="351" t="s">
        <v>92</v>
      </c>
      <c r="S1" s="341" t="s">
        <v>93</v>
      </c>
      <c r="T1" s="343">
        <v>0.125</v>
      </c>
      <c r="U1" s="54">
        <v>11</v>
      </c>
      <c r="V1" s="55">
        <v>12</v>
      </c>
      <c r="W1" s="56">
        <v>62</v>
      </c>
      <c r="X1" s="57">
        <v>13</v>
      </c>
      <c r="Y1" s="58" t="s">
        <v>94</v>
      </c>
      <c r="Z1" s="59">
        <v>63</v>
      </c>
      <c r="AA1" s="55">
        <v>14</v>
      </c>
      <c r="AB1" s="56">
        <v>64</v>
      </c>
      <c r="AC1" s="57">
        <v>15</v>
      </c>
      <c r="AD1" s="60">
        <v>78</v>
      </c>
      <c r="AE1" s="60" t="s">
        <v>95</v>
      </c>
      <c r="AF1" s="60" t="s">
        <v>95</v>
      </c>
      <c r="AG1" s="59" t="s">
        <v>95</v>
      </c>
      <c r="AH1" s="55" t="s">
        <v>96</v>
      </c>
      <c r="AI1" s="61" t="s">
        <v>97</v>
      </c>
      <c r="AJ1" s="56" t="s">
        <v>98</v>
      </c>
      <c r="AK1" s="57" t="s">
        <v>99</v>
      </c>
      <c r="AL1" s="59" t="s">
        <v>100</v>
      </c>
      <c r="AM1" s="55" t="s">
        <v>101</v>
      </c>
      <c r="AN1" s="56" t="s">
        <v>102</v>
      </c>
      <c r="AO1" s="57" t="s">
        <v>103</v>
      </c>
      <c r="AP1" s="59" t="s">
        <v>104</v>
      </c>
      <c r="AQ1" s="55" t="s">
        <v>105</v>
      </c>
      <c r="AR1" s="62" t="s">
        <v>106</v>
      </c>
      <c r="AS1" s="61" t="s">
        <v>107</v>
      </c>
      <c r="AT1" s="61" t="s">
        <v>108</v>
      </c>
      <c r="AU1" s="61" t="s">
        <v>109</v>
      </c>
      <c r="AV1" s="61" t="s">
        <v>110</v>
      </c>
      <c r="AW1" s="56" t="s">
        <v>111</v>
      </c>
      <c r="AX1" s="57" t="s">
        <v>112</v>
      </c>
      <c r="AY1" s="60" t="s">
        <v>113</v>
      </c>
      <c r="AZ1" s="60" t="s">
        <v>114</v>
      </c>
      <c r="BA1" s="59" t="s">
        <v>115</v>
      </c>
      <c r="BB1" s="55" t="s">
        <v>116</v>
      </c>
      <c r="BC1" s="56" t="s">
        <v>117</v>
      </c>
      <c r="BD1" s="57" t="s">
        <v>118</v>
      </c>
      <c r="BE1" s="59" t="s">
        <v>119</v>
      </c>
      <c r="BF1" s="55" t="s">
        <v>120</v>
      </c>
      <c r="BG1" s="56" t="s">
        <v>121</v>
      </c>
      <c r="BH1" s="57" t="s">
        <v>122</v>
      </c>
      <c r="BI1" s="63" t="s">
        <v>123</v>
      </c>
      <c r="BJ1" s="60" t="s">
        <v>124</v>
      </c>
      <c r="BK1" s="60" t="s">
        <v>125</v>
      </c>
      <c r="BL1" s="64" t="s">
        <v>126</v>
      </c>
      <c r="BM1" s="59" t="s">
        <v>127</v>
      </c>
      <c r="BN1" s="55" t="s">
        <v>128</v>
      </c>
      <c r="BO1" s="65" t="s">
        <v>129</v>
      </c>
      <c r="BP1" s="56" t="s">
        <v>130</v>
      </c>
      <c r="BQ1" s="57" t="s">
        <v>131</v>
      </c>
      <c r="BR1" s="59" t="s">
        <v>132</v>
      </c>
      <c r="BS1" s="55" t="s">
        <v>133</v>
      </c>
      <c r="BT1" s="56" t="s">
        <v>134</v>
      </c>
      <c r="BU1" s="57" t="s">
        <v>135</v>
      </c>
      <c r="BV1" s="60" t="s">
        <v>136</v>
      </c>
      <c r="BW1" s="66" t="s">
        <v>137</v>
      </c>
      <c r="BX1" s="60" t="s">
        <v>138</v>
      </c>
      <c r="BY1" s="60" t="s">
        <v>139</v>
      </c>
      <c r="BZ1" s="67" t="s">
        <v>140</v>
      </c>
      <c r="CA1" s="55" t="s">
        <v>141</v>
      </c>
      <c r="CB1" s="56" t="s">
        <v>142</v>
      </c>
      <c r="CC1" s="57" t="s">
        <v>143</v>
      </c>
      <c r="CD1" s="59" t="s">
        <v>144</v>
      </c>
      <c r="CE1" s="68" t="s">
        <v>145</v>
      </c>
      <c r="CF1" s="69" t="s">
        <v>146</v>
      </c>
      <c r="CG1" s="66" t="s">
        <v>147</v>
      </c>
      <c r="CH1" s="67" t="s">
        <v>148</v>
      </c>
      <c r="CI1" s="68" t="s">
        <v>149</v>
      </c>
      <c r="CJ1" s="57" t="s">
        <v>150</v>
      </c>
      <c r="CK1" s="63" t="s">
        <v>151</v>
      </c>
      <c r="CL1" s="60" t="s">
        <v>152</v>
      </c>
      <c r="CM1" s="59" t="s">
        <v>153</v>
      </c>
      <c r="CN1" s="55" t="s">
        <v>154</v>
      </c>
      <c r="CO1" s="62" t="s">
        <v>155</v>
      </c>
      <c r="CP1" s="61" t="s">
        <v>156</v>
      </c>
      <c r="CQ1" s="56" t="s">
        <v>157</v>
      </c>
      <c r="CR1" s="57" t="s">
        <v>158</v>
      </c>
      <c r="CS1" s="60" t="s">
        <v>159</v>
      </c>
      <c r="CT1" s="60" t="s">
        <v>160</v>
      </c>
      <c r="CU1" s="60" t="s">
        <v>161</v>
      </c>
      <c r="CV1" s="60" t="s">
        <v>162</v>
      </c>
      <c r="CW1" s="59" t="s">
        <v>163</v>
      </c>
      <c r="CX1" s="68" t="s">
        <v>164</v>
      </c>
      <c r="CY1" s="70" t="s">
        <v>165</v>
      </c>
      <c r="CZ1" s="68"/>
      <c r="DA1" s="54"/>
      <c r="DB1" s="68"/>
      <c r="DC1" s="71" t="s">
        <v>166</v>
      </c>
      <c r="DD1" s="338" t="s">
        <v>167</v>
      </c>
      <c r="DE1" s="345" t="s">
        <v>168</v>
      </c>
      <c r="DF1" s="345" t="s">
        <v>169</v>
      </c>
      <c r="DG1" s="345" t="s">
        <v>170</v>
      </c>
      <c r="DH1" s="326" t="s">
        <v>171</v>
      </c>
      <c r="DI1" s="327"/>
      <c r="DJ1" s="327"/>
      <c r="DK1" s="328"/>
      <c r="DL1" s="73"/>
      <c r="DM1" s="73"/>
      <c r="DN1" s="73" t="s">
        <v>172</v>
      </c>
      <c r="DO1" s="73"/>
      <c r="DP1" s="73"/>
      <c r="DQ1" s="72"/>
      <c r="DR1" s="329" t="s">
        <v>173</v>
      </c>
      <c r="DS1" s="330"/>
      <c r="DT1" s="330"/>
      <c r="DU1" s="330"/>
      <c r="DV1" s="331"/>
      <c r="DW1" s="331"/>
      <c r="DX1" s="332"/>
      <c r="DY1" s="333" t="s">
        <v>174</v>
      </c>
      <c r="DZ1" s="334"/>
      <c r="EA1" s="334"/>
      <c r="EB1" s="334"/>
      <c r="EC1" s="335" t="s">
        <v>175</v>
      </c>
      <c r="ED1" s="338" t="s">
        <v>176</v>
      </c>
      <c r="EL1" s="75" t="s">
        <v>177</v>
      </c>
      <c r="EM1" s="75"/>
      <c r="EO1" s="317" t="s">
        <v>178</v>
      </c>
      <c r="EP1" s="318"/>
      <c r="EQ1" s="318"/>
      <c r="ER1" s="318"/>
      <c r="ES1" s="318"/>
      <c r="ET1" s="318"/>
      <c r="EU1" s="319"/>
      <c r="EV1" s="76"/>
      <c r="EX1" s="317" t="s">
        <v>179</v>
      </c>
      <c r="EY1" s="318"/>
      <c r="EZ1" s="318"/>
      <c r="FA1" s="318"/>
      <c r="FB1" s="318"/>
      <c r="FC1" s="318"/>
      <c r="FD1" s="319"/>
    </row>
    <row r="2" spans="1:167" ht="36">
      <c r="A2" s="77" t="s">
        <v>180</v>
      </c>
      <c r="B2" s="78" t="s">
        <v>181</v>
      </c>
      <c r="C2" s="78" t="s">
        <v>182</v>
      </c>
      <c r="D2" s="79" t="s">
        <v>183</v>
      </c>
      <c r="E2" s="80" t="s">
        <v>184</v>
      </c>
      <c r="F2" s="272"/>
      <c r="G2" s="272"/>
      <c r="H2" s="272"/>
      <c r="I2" s="272"/>
      <c r="J2" s="348"/>
      <c r="K2" s="348"/>
      <c r="L2" s="348"/>
      <c r="M2" s="348"/>
      <c r="N2" s="350"/>
      <c r="O2" s="81"/>
      <c r="P2" s="342"/>
      <c r="Q2" s="342"/>
      <c r="R2" s="342"/>
      <c r="S2" s="342"/>
      <c r="T2" s="344"/>
      <c r="U2" s="82"/>
      <c r="V2" s="83"/>
      <c r="W2" s="84"/>
      <c r="X2" s="85"/>
      <c r="Y2" s="86" t="s">
        <v>185</v>
      </c>
      <c r="Z2" s="87"/>
      <c r="AA2" s="83"/>
      <c r="AB2" s="84"/>
      <c r="AC2" s="85"/>
      <c r="AD2" s="88"/>
      <c r="AE2" s="89" t="s">
        <v>186</v>
      </c>
      <c r="AF2" s="89" t="s">
        <v>187</v>
      </c>
      <c r="AG2" s="90" t="s">
        <v>188</v>
      </c>
      <c r="AH2" s="83"/>
      <c r="AI2" s="91"/>
      <c r="AJ2" s="84" t="s">
        <v>185</v>
      </c>
      <c r="AK2" s="85"/>
      <c r="AL2" s="87"/>
      <c r="AM2" s="83"/>
      <c r="AN2" s="84"/>
      <c r="AO2" s="85"/>
      <c r="AP2" s="87"/>
      <c r="AQ2" s="83"/>
      <c r="AR2" s="92" t="s">
        <v>189</v>
      </c>
      <c r="AS2" s="91"/>
      <c r="AT2" s="91"/>
      <c r="AU2" s="91" t="s">
        <v>189</v>
      </c>
      <c r="AV2" s="91"/>
      <c r="AW2" s="84"/>
      <c r="AX2" s="85"/>
      <c r="AY2" s="88"/>
      <c r="AZ2" s="88"/>
      <c r="BA2" s="87"/>
      <c r="BB2" s="83"/>
      <c r="BC2" s="84" t="s">
        <v>185</v>
      </c>
      <c r="BD2" s="85"/>
      <c r="BE2" s="87" t="s">
        <v>185</v>
      </c>
      <c r="BF2" s="83"/>
      <c r="BG2" s="84"/>
      <c r="BH2" s="85"/>
      <c r="BI2" s="93" t="s">
        <v>185</v>
      </c>
      <c r="BJ2" s="88"/>
      <c r="BK2" s="88"/>
      <c r="BL2" s="94" t="s">
        <v>185</v>
      </c>
      <c r="BM2" s="87"/>
      <c r="BN2" s="83"/>
      <c r="BO2" s="95" t="s">
        <v>185</v>
      </c>
      <c r="BP2" s="84"/>
      <c r="BQ2" s="85"/>
      <c r="BR2" s="87"/>
      <c r="BS2" s="83"/>
      <c r="BT2" s="84"/>
      <c r="BU2" s="85"/>
      <c r="BV2" s="88"/>
      <c r="BW2" s="96"/>
      <c r="BX2" s="88"/>
      <c r="BY2" s="88"/>
      <c r="BZ2" s="97"/>
      <c r="CA2" s="83"/>
      <c r="CB2" s="84"/>
      <c r="CC2" s="85"/>
      <c r="CD2" s="87"/>
      <c r="CE2" s="98"/>
      <c r="CF2" s="99"/>
      <c r="CG2" s="96"/>
      <c r="CH2" s="97"/>
      <c r="CI2" s="98"/>
      <c r="CJ2" s="85"/>
      <c r="CK2" s="93" t="s">
        <v>185</v>
      </c>
      <c r="CL2" s="88"/>
      <c r="CM2" s="87"/>
      <c r="CN2" s="83"/>
      <c r="CO2" s="92" t="s">
        <v>185</v>
      </c>
      <c r="CP2" s="91"/>
      <c r="CQ2" s="84"/>
      <c r="CR2" s="85"/>
      <c r="CS2" s="88"/>
      <c r="CT2" s="88"/>
      <c r="CU2" s="88"/>
      <c r="CV2" s="88"/>
      <c r="CW2" s="87"/>
      <c r="CX2" s="98"/>
      <c r="CY2" s="82"/>
      <c r="CZ2" s="98"/>
      <c r="DA2" s="82"/>
      <c r="DB2" s="98"/>
      <c r="DC2" s="100"/>
      <c r="DD2" s="339"/>
      <c r="DE2" s="339"/>
      <c r="DF2" s="339"/>
      <c r="DG2" s="339"/>
      <c r="DH2" s="315" t="s">
        <v>190</v>
      </c>
      <c r="DI2" s="315" t="s">
        <v>191</v>
      </c>
      <c r="DJ2" s="315" t="s">
        <v>192</v>
      </c>
      <c r="DK2" s="320" t="s">
        <v>193</v>
      </c>
      <c r="DL2" s="322" t="s">
        <v>194</v>
      </c>
      <c r="DM2" s="322" t="s">
        <v>195</v>
      </c>
      <c r="DN2" s="307" t="s">
        <v>196</v>
      </c>
      <c r="DO2" s="307" t="s">
        <v>197</v>
      </c>
      <c r="DP2" s="324" t="s">
        <v>198</v>
      </c>
      <c r="DQ2" s="315" t="s">
        <v>199</v>
      </c>
      <c r="DR2" s="322" t="s">
        <v>195</v>
      </c>
      <c r="DS2" s="311" t="s">
        <v>196</v>
      </c>
      <c r="DT2" s="307" t="s">
        <v>197</v>
      </c>
      <c r="DU2" s="307" t="s">
        <v>198</v>
      </c>
      <c r="DV2" s="309" t="s">
        <v>200</v>
      </c>
      <c r="DW2" s="311" t="s">
        <v>201</v>
      </c>
      <c r="DX2" s="313" t="s">
        <v>202</v>
      </c>
      <c r="DY2" s="315" t="s">
        <v>203</v>
      </c>
      <c r="DZ2" s="307" t="s">
        <v>191</v>
      </c>
      <c r="EA2" s="307" t="s">
        <v>190</v>
      </c>
      <c r="EB2" s="307" t="s">
        <v>204</v>
      </c>
      <c r="EC2" s="336"/>
      <c r="ED2" s="339"/>
      <c r="EE2" s="101" t="s">
        <v>205</v>
      </c>
      <c r="EF2" s="101" t="s">
        <v>206</v>
      </c>
      <c r="EG2" s="101" t="s">
        <v>207</v>
      </c>
      <c r="EH2" s="101" t="s">
        <v>208</v>
      </c>
      <c r="EI2" s="102" t="s">
        <v>209</v>
      </c>
      <c r="EJ2" s="103" t="s">
        <v>210</v>
      </c>
      <c r="EK2" s="104" t="s">
        <v>211</v>
      </c>
      <c r="EL2" s="75" t="s">
        <v>212</v>
      </c>
      <c r="EM2" s="75" t="s">
        <v>213</v>
      </c>
      <c r="EN2" s="105" t="s">
        <v>214</v>
      </c>
      <c r="EO2" s="106" t="s">
        <v>207</v>
      </c>
      <c r="EP2" s="106"/>
      <c r="EQ2" s="106" t="s">
        <v>215</v>
      </c>
      <c r="ER2" s="107" t="s">
        <v>209</v>
      </c>
      <c r="ES2" s="107" t="s">
        <v>216</v>
      </c>
      <c r="ET2" s="106" t="s">
        <v>208</v>
      </c>
      <c r="EU2" s="106" t="s">
        <v>217</v>
      </c>
      <c r="EV2" s="108"/>
      <c r="EX2" s="106" t="s">
        <v>207</v>
      </c>
      <c r="EY2" s="106"/>
      <c r="EZ2" s="106" t="s">
        <v>215</v>
      </c>
      <c r="FA2" s="107" t="s">
        <v>209</v>
      </c>
      <c r="FB2" s="107" t="s">
        <v>216</v>
      </c>
      <c r="FC2" s="106" t="s">
        <v>208</v>
      </c>
      <c r="FD2" s="106" t="s">
        <v>217</v>
      </c>
    </row>
    <row r="3" spans="1:167" s="129" customFormat="1" ht="17.25">
      <c r="A3" s="77" t="s">
        <v>180</v>
      </c>
      <c r="B3" s="78" t="s">
        <v>181</v>
      </c>
      <c r="C3" s="78" t="s">
        <v>182</v>
      </c>
      <c r="D3" s="79" t="s">
        <v>183</v>
      </c>
      <c r="E3" s="80"/>
      <c r="F3" s="272"/>
      <c r="G3" s="272"/>
      <c r="H3" s="272"/>
      <c r="I3" s="272"/>
      <c r="J3" s="109"/>
      <c r="K3" s="109"/>
      <c r="L3" s="109"/>
      <c r="M3" s="109"/>
      <c r="N3" s="110"/>
      <c r="O3" s="109"/>
      <c r="P3" s="111"/>
      <c r="Q3" s="111"/>
      <c r="R3" s="111"/>
      <c r="S3" s="111"/>
      <c r="T3" s="109"/>
      <c r="U3" s="112"/>
      <c r="V3" s="113"/>
      <c r="W3" s="114"/>
      <c r="X3" s="115"/>
      <c r="Y3" s="116"/>
      <c r="Z3" s="117"/>
      <c r="AA3" s="113"/>
      <c r="AB3" s="114"/>
      <c r="AC3" s="115"/>
      <c r="AD3" s="118"/>
      <c r="AE3" s="118"/>
      <c r="AF3" s="118"/>
      <c r="AG3" s="117"/>
      <c r="AH3" s="113"/>
      <c r="AI3" s="119"/>
      <c r="AJ3" s="114"/>
      <c r="AK3" s="115"/>
      <c r="AL3" s="117"/>
      <c r="AM3" s="113"/>
      <c r="AN3" s="114"/>
      <c r="AO3" s="115"/>
      <c r="AP3" s="117"/>
      <c r="AQ3" s="113"/>
      <c r="AR3" s="120"/>
      <c r="AS3" s="119"/>
      <c r="AT3" s="119"/>
      <c r="AU3" s="119"/>
      <c r="AV3" s="119"/>
      <c r="AW3" s="114"/>
      <c r="AX3" s="115"/>
      <c r="AY3" s="118"/>
      <c r="AZ3" s="118"/>
      <c r="BA3" s="117"/>
      <c r="BB3" s="113"/>
      <c r="BC3" s="114"/>
      <c r="BD3" s="115"/>
      <c r="BE3" s="117"/>
      <c r="BF3" s="113"/>
      <c r="BG3" s="114"/>
      <c r="BH3" s="115"/>
      <c r="BI3" s="121"/>
      <c r="BJ3" s="118"/>
      <c r="BK3" s="118"/>
      <c r="BL3" s="122"/>
      <c r="BM3" s="117"/>
      <c r="BN3" s="113"/>
      <c r="BO3" s="123"/>
      <c r="BP3" s="114"/>
      <c r="BQ3" s="115"/>
      <c r="BR3" s="117"/>
      <c r="BS3" s="113"/>
      <c r="BT3" s="114"/>
      <c r="BU3" s="115"/>
      <c r="BV3" s="118"/>
      <c r="BW3" s="124"/>
      <c r="BX3" s="118"/>
      <c r="BY3" s="118"/>
      <c r="BZ3" s="125"/>
      <c r="CA3" s="113"/>
      <c r="CB3" s="114"/>
      <c r="CC3" s="115"/>
      <c r="CD3" s="117"/>
      <c r="CE3" s="126"/>
      <c r="CF3" s="127"/>
      <c r="CG3" s="124"/>
      <c r="CH3" s="125"/>
      <c r="CI3" s="126"/>
      <c r="CJ3" s="115"/>
      <c r="CK3" s="121"/>
      <c r="CL3" s="118"/>
      <c r="CM3" s="117"/>
      <c r="CN3" s="113"/>
      <c r="CO3" s="120"/>
      <c r="CP3" s="119"/>
      <c r="CQ3" s="114"/>
      <c r="CR3" s="115"/>
      <c r="CS3" s="118"/>
      <c r="CT3" s="118"/>
      <c r="CU3" s="118"/>
      <c r="CV3" s="118"/>
      <c r="CW3" s="117"/>
      <c r="CX3" s="126"/>
      <c r="CY3" s="112"/>
      <c r="CZ3" s="126"/>
      <c r="DA3" s="112"/>
      <c r="DB3" s="126"/>
      <c r="DC3" s="128"/>
      <c r="DD3" s="340"/>
      <c r="DE3" s="340"/>
      <c r="DF3" s="340"/>
      <c r="DG3" s="340"/>
      <c r="DH3" s="316"/>
      <c r="DI3" s="316"/>
      <c r="DJ3" s="316"/>
      <c r="DK3" s="321"/>
      <c r="DL3" s="323"/>
      <c r="DM3" s="323"/>
      <c r="DN3" s="308"/>
      <c r="DO3" s="308"/>
      <c r="DP3" s="325"/>
      <c r="DQ3" s="316"/>
      <c r="DR3" s="323"/>
      <c r="DS3" s="312"/>
      <c r="DT3" s="308"/>
      <c r="DU3" s="308"/>
      <c r="DV3" s="310"/>
      <c r="DW3" s="312"/>
      <c r="DX3" s="314"/>
      <c r="DY3" s="316"/>
      <c r="DZ3" s="308"/>
      <c r="EA3" s="308"/>
      <c r="EB3" s="308"/>
      <c r="EC3" s="337"/>
      <c r="ED3" s="340"/>
      <c r="EJ3" s="130"/>
      <c r="EK3" s="130"/>
      <c r="EL3" s="131">
        <v>0.54</v>
      </c>
      <c r="EM3" s="131">
        <v>0.45999999999999996</v>
      </c>
      <c r="EN3" s="50"/>
      <c r="EO3" s="132"/>
      <c r="EP3" s="132"/>
      <c r="EQ3" s="133"/>
      <c r="ER3" s="133"/>
      <c r="ES3" s="133"/>
      <c r="ET3" s="133"/>
      <c r="EU3" s="133"/>
      <c r="FF3" s="129" t="s">
        <v>15</v>
      </c>
      <c r="FG3" s="129" t="s">
        <v>16</v>
      </c>
      <c r="FH3" s="129" t="s">
        <v>17</v>
      </c>
      <c r="FI3" s="129" t="s">
        <v>198</v>
      </c>
      <c r="FJ3" s="129" t="s">
        <v>326</v>
      </c>
      <c r="FK3" s="129" t="s">
        <v>327</v>
      </c>
    </row>
    <row r="4" spans="1:167" ht="24">
      <c r="F4" s="134">
        <v>1</v>
      </c>
      <c r="G4" s="135" t="s">
        <v>10</v>
      </c>
      <c r="H4" s="135" t="s">
        <v>10</v>
      </c>
      <c r="I4" s="136"/>
      <c r="J4" s="304" t="s">
        <v>218</v>
      </c>
      <c r="K4" s="305"/>
      <c r="L4" s="305"/>
      <c r="M4" s="306"/>
      <c r="N4" s="137"/>
      <c r="O4" s="138" t="s">
        <v>219</v>
      </c>
      <c r="P4" s="138"/>
      <c r="Q4" s="138"/>
      <c r="R4" s="138"/>
      <c r="S4" s="137"/>
      <c r="T4" s="137"/>
      <c r="U4" s="139"/>
      <c r="V4" s="140"/>
      <c r="W4" s="141"/>
      <c r="X4" s="142"/>
      <c r="Y4" s="143"/>
      <c r="Z4" s="144"/>
      <c r="AA4" s="140"/>
      <c r="AB4" s="141"/>
      <c r="AC4" s="142"/>
      <c r="AD4" s="145"/>
      <c r="AE4" s="145"/>
      <c r="AF4" s="145"/>
      <c r="AG4" s="144"/>
      <c r="AH4" s="140"/>
      <c r="AI4" s="146"/>
      <c r="AJ4" s="141"/>
      <c r="AK4" s="142"/>
      <c r="AL4" s="144"/>
      <c r="AM4" s="140"/>
      <c r="AN4" s="141"/>
      <c r="AO4" s="142"/>
      <c r="AP4" s="144"/>
      <c r="AQ4" s="140"/>
      <c r="AR4" s="147"/>
      <c r="AS4" s="146"/>
      <c r="AT4" s="146"/>
      <c r="AU4" s="146"/>
      <c r="AV4" s="146"/>
      <c r="AW4" s="141"/>
      <c r="AX4" s="142"/>
      <c r="AY4" s="145"/>
      <c r="AZ4" s="145"/>
      <c r="BA4" s="144"/>
      <c r="BB4" s="140"/>
      <c r="BC4" s="141"/>
      <c r="BD4" s="142"/>
      <c r="BE4" s="144"/>
      <c r="BF4" s="140"/>
      <c r="BG4" s="141"/>
      <c r="BH4" s="142"/>
      <c r="BI4" s="148"/>
      <c r="BJ4" s="145"/>
      <c r="BK4" s="145"/>
      <c r="BL4" s="149"/>
      <c r="BM4" s="144"/>
      <c r="BN4" s="140"/>
      <c r="BO4" s="150"/>
      <c r="BP4" s="141"/>
      <c r="BQ4" s="142"/>
      <c r="BR4" s="144"/>
      <c r="BS4" s="140"/>
      <c r="BT4" s="141"/>
      <c r="BU4" s="142"/>
      <c r="BV4" s="145"/>
      <c r="BW4" s="151"/>
      <c r="BX4" s="145"/>
      <c r="BY4" s="145"/>
      <c r="BZ4" s="152"/>
      <c r="CA4" s="140"/>
      <c r="CB4" s="141"/>
      <c r="CC4" s="142"/>
      <c r="CD4" s="144"/>
      <c r="CE4" s="153"/>
      <c r="CF4" s="154"/>
      <c r="CG4" s="151"/>
      <c r="CH4" s="152"/>
      <c r="CI4" s="153"/>
      <c r="CJ4" s="142"/>
      <c r="CK4" s="148"/>
      <c r="CL4" s="145"/>
      <c r="CM4" s="144"/>
      <c r="CN4" s="140"/>
      <c r="CO4" s="147"/>
      <c r="CP4" s="146"/>
      <c r="CQ4" s="141"/>
      <c r="CR4" s="142"/>
      <c r="CS4" s="145"/>
      <c r="CT4" s="145"/>
      <c r="CU4" s="145"/>
      <c r="CV4" s="145"/>
      <c r="CW4" s="144"/>
      <c r="CX4" s="153"/>
      <c r="CY4" s="139"/>
      <c r="CZ4" s="153"/>
      <c r="DA4" s="139"/>
      <c r="DB4" s="153"/>
      <c r="DC4" s="155"/>
      <c r="DD4" s="156"/>
      <c r="DE4" s="157"/>
      <c r="DF4" s="158"/>
      <c r="DG4" s="159"/>
      <c r="DH4" s="160"/>
      <c r="DI4" s="160"/>
      <c r="DJ4" s="160"/>
      <c r="DK4" s="160"/>
      <c r="DL4" s="160"/>
      <c r="DM4" s="161"/>
      <c r="DN4" s="161"/>
      <c r="DO4" s="161"/>
      <c r="DP4" s="160"/>
      <c r="DQ4" s="161" t="s">
        <v>10</v>
      </c>
      <c r="DR4" s="161" t="s">
        <v>10</v>
      </c>
      <c r="DS4" s="161" t="s">
        <v>10</v>
      </c>
      <c r="DT4" s="161" t="s">
        <v>10</v>
      </c>
      <c r="DU4" s="161" t="s">
        <v>10</v>
      </c>
      <c r="DV4" s="161"/>
      <c r="DW4" s="161"/>
      <c r="DX4" s="161">
        <v>0</v>
      </c>
      <c r="DY4" s="161">
        <v>0</v>
      </c>
      <c r="DZ4" s="161">
        <v>0</v>
      </c>
      <c r="EA4" s="161">
        <v>0</v>
      </c>
      <c r="EB4" s="161">
        <v>0</v>
      </c>
      <c r="EC4" s="161">
        <v>0</v>
      </c>
      <c r="ED4" s="162"/>
      <c r="EE4" s="50" t="s">
        <v>220</v>
      </c>
      <c r="EF4" s="74" t="s">
        <v>221</v>
      </c>
      <c r="EG4" s="74" t="s">
        <v>221</v>
      </c>
      <c r="EH4" s="74" t="s">
        <v>221</v>
      </c>
      <c r="EI4" s="74" t="s">
        <v>221</v>
      </c>
      <c r="EJ4" s="74">
        <v>2</v>
      </c>
      <c r="EK4" s="74" t="s">
        <v>222</v>
      </c>
      <c r="EN4" s="74" t="s">
        <v>221</v>
      </c>
      <c r="EO4" s="163"/>
      <c r="EP4" s="163"/>
      <c r="EQ4" s="163"/>
      <c r="ER4" s="163"/>
      <c r="ES4" s="163"/>
      <c r="ET4" s="163"/>
      <c r="EU4" s="163"/>
      <c r="EV4" s="164"/>
      <c r="EX4" s="163"/>
      <c r="EY4" s="163"/>
      <c r="EZ4" s="163"/>
      <c r="FA4" s="163"/>
      <c r="FB4" s="163"/>
      <c r="FC4" s="163"/>
      <c r="FD4" s="163"/>
      <c r="FE4" s="50" t="str">
        <f>F4&amp;IF(G4="","","_")&amp;G4&amp;IF(H4="","","_")&amp;H4</f>
        <v>1</v>
      </c>
      <c r="FF4" s="198" t="str">
        <f>DR4</f>
        <v/>
      </c>
      <c r="FG4" s="198" t="str">
        <f>DS4</f>
        <v/>
      </c>
      <c r="FI4" s="198" t="str">
        <f t="shared" ref="FI4:FK5" si="0">DU4</f>
        <v/>
      </c>
      <c r="FJ4" s="198">
        <f t="shared" si="0"/>
        <v>0</v>
      </c>
      <c r="FK4" s="198">
        <f t="shared" si="0"/>
        <v>0</v>
      </c>
    </row>
    <row r="5" spans="1:167" ht="36.75" customHeight="1">
      <c r="F5" s="165">
        <v>1</v>
      </c>
      <c r="G5" s="166">
        <v>1</v>
      </c>
      <c r="H5" s="166" t="s">
        <v>10</v>
      </c>
      <c r="I5" s="167"/>
      <c r="J5" s="168"/>
      <c r="K5" s="169" t="s">
        <v>223</v>
      </c>
      <c r="L5" s="169"/>
      <c r="M5" s="170"/>
      <c r="N5" s="171" t="s">
        <v>224</v>
      </c>
      <c r="O5" s="172"/>
      <c r="P5" s="173" t="s">
        <v>225</v>
      </c>
      <c r="Q5" s="172"/>
      <c r="R5" s="172"/>
      <c r="S5" s="171" t="s">
        <v>226</v>
      </c>
      <c r="T5" s="171"/>
      <c r="U5" s="174" t="s">
        <v>227</v>
      </c>
      <c r="V5" s="175" t="s">
        <v>227</v>
      </c>
      <c r="W5" s="176" t="s">
        <v>227</v>
      </c>
      <c r="X5" s="177" t="s">
        <v>227</v>
      </c>
      <c r="Y5" s="178" t="s">
        <v>228</v>
      </c>
      <c r="Z5" s="179" t="s">
        <v>227</v>
      </c>
      <c r="AA5" s="175" t="s">
        <v>227</v>
      </c>
      <c r="AB5" s="176" t="s">
        <v>227</v>
      </c>
      <c r="AC5" s="177" t="s">
        <v>227</v>
      </c>
      <c r="AD5" s="180" t="s">
        <v>227</v>
      </c>
      <c r="AE5" s="180" t="s">
        <v>228</v>
      </c>
      <c r="AF5" s="180" t="s">
        <v>228</v>
      </c>
      <c r="AG5" s="179" t="s">
        <v>228</v>
      </c>
      <c r="AH5" s="175" t="s">
        <v>227</v>
      </c>
      <c r="AI5" s="181" t="s">
        <v>227</v>
      </c>
      <c r="AJ5" s="176" t="s">
        <v>228</v>
      </c>
      <c r="AK5" s="177" t="s">
        <v>227</v>
      </c>
      <c r="AL5" s="179" t="s">
        <v>227</v>
      </c>
      <c r="AM5" s="175" t="s">
        <v>227</v>
      </c>
      <c r="AN5" s="176" t="s">
        <v>227</v>
      </c>
      <c r="AO5" s="177" t="s">
        <v>227</v>
      </c>
      <c r="AP5" s="179" t="s">
        <v>227</v>
      </c>
      <c r="AQ5" s="175" t="s">
        <v>227</v>
      </c>
      <c r="AR5" s="182" t="s">
        <v>228</v>
      </c>
      <c r="AS5" s="181" t="s">
        <v>227</v>
      </c>
      <c r="AT5" s="181" t="s">
        <v>227</v>
      </c>
      <c r="AU5" s="181" t="s">
        <v>228</v>
      </c>
      <c r="AV5" s="181" t="s">
        <v>227</v>
      </c>
      <c r="AW5" s="176" t="s">
        <v>227</v>
      </c>
      <c r="AX5" s="177" t="s">
        <v>227</v>
      </c>
      <c r="AY5" s="180" t="s">
        <v>227</v>
      </c>
      <c r="AZ5" s="180" t="s">
        <v>227</v>
      </c>
      <c r="BA5" s="179" t="s">
        <v>227</v>
      </c>
      <c r="BB5" s="175" t="s">
        <v>227</v>
      </c>
      <c r="BC5" s="176" t="s">
        <v>228</v>
      </c>
      <c r="BD5" s="177" t="s">
        <v>227</v>
      </c>
      <c r="BE5" s="179" t="s">
        <v>228</v>
      </c>
      <c r="BF5" s="175" t="s">
        <v>227</v>
      </c>
      <c r="BG5" s="176" t="s">
        <v>227</v>
      </c>
      <c r="BH5" s="177" t="s">
        <v>227</v>
      </c>
      <c r="BI5" s="183" t="s">
        <v>228</v>
      </c>
      <c r="BJ5" s="180" t="s">
        <v>227</v>
      </c>
      <c r="BK5" s="180" t="s">
        <v>227</v>
      </c>
      <c r="BL5" s="184" t="s">
        <v>228</v>
      </c>
      <c r="BM5" s="179" t="s">
        <v>227</v>
      </c>
      <c r="BN5" s="175" t="s">
        <v>227</v>
      </c>
      <c r="BO5" s="185" t="s">
        <v>228</v>
      </c>
      <c r="BP5" s="176" t="s">
        <v>227</v>
      </c>
      <c r="BQ5" s="177" t="s">
        <v>227</v>
      </c>
      <c r="BR5" s="179" t="s">
        <v>227</v>
      </c>
      <c r="BS5" s="175" t="s">
        <v>227</v>
      </c>
      <c r="BT5" s="176" t="s">
        <v>227</v>
      </c>
      <c r="BU5" s="177" t="s">
        <v>227</v>
      </c>
      <c r="BV5" s="180" t="s">
        <v>227</v>
      </c>
      <c r="BW5" s="186" t="s">
        <v>227</v>
      </c>
      <c r="BX5" s="180" t="s">
        <v>227</v>
      </c>
      <c r="BY5" s="180" t="s">
        <v>227</v>
      </c>
      <c r="BZ5" s="187" t="s">
        <v>227</v>
      </c>
      <c r="CA5" s="175" t="s">
        <v>227</v>
      </c>
      <c r="CB5" s="176" t="s">
        <v>227</v>
      </c>
      <c r="CC5" s="177" t="s">
        <v>227</v>
      </c>
      <c r="CD5" s="179" t="s">
        <v>227</v>
      </c>
      <c r="CE5" s="188" t="s">
        <v>227</v>
      </c>
      <c r="CF5" s="189" t="s">
        <v>227</v>
      </c>
      <c r="CG5" s="186" t="s">
        <v>227</v>
      </c>
      <c r="CH5" s="187" t="s">
        <v>227</v>
      </c>
      <c r="CI5" s="188" t="s">
        <v>227</v>
      </c>
      <c r="CJ5" s="177" t="s">
        <v>227</v>
      </c>
      <c r="CK5" s="183" t="s">
        <v>228</v>
      </c>
      <c r="CL5" s="180" t="s">
        <v>227</v>
      </c>
      <c r="CM5" s="179" t="s">
        <v>227</v>
      </c>
      <c r="CN5" s="175" t="s">
        <v>227</v>
      </c>
      <c r="CO5" s="182" t="s">
        <v>228</v>
      </c>
      <c r="CP5" s="181" t="s">
        <v>227</v>
      </c>
      <c r="CQ5" s="176" t="s">
        <v>227</v>
      </c>
      <c r="CR5" s="177" t="s">
        <v>227</v>
      </c>
      <c r="CS5" s="180" t="s">
        <v>227</v>
      </c>
      <c r="CT5" s="180" t="s">
        <v>227</v>
      </c>
      <c r="CU5" s="180" t="s">
        <v>227</v>
      </c>
      <c r="CV5" s="180" t="s">
        <v>227</v>
      </c>
      <c r="CW5" s="179" t="s">
        <v>227</v>
      </c>
      <c r="CX5" s="188" t="s">
        <v>227</v>
      </c>
      <c r="CY5" s="174" t="s">
        <v>227</v>
      </c>
      <c r="CZ5" s="188" t="s">
        <v>227</v>
      </c>
      <c r="DA5" s="174" t="s">
        <v>227</v>
      </c>
      <c r="DB5" s="188" t="s">
        <v>227</v>
      </c>
      <c r="DC5" s="190" t="s">
        <v>229</v>
      </c>
      <c r="DD5" s="191" t="s">
        <v>230</v>
      </c>
      <c r="DE5" s="192">
        <v>1</v>
      </c>
      <c r="DF5" s="193">
        <v>240</v>
      </c>
      <c r="DG5" s="194"/>
      <c r="DH5" s="195"/>
      <c r="DI5" s="195"/>
      <c r="DJ5" s="195"/>
      <c r="DK5" s="195"/>
      <c r="DL5" s="195"/>
      <c r="DM5" s="196"/>
      <c r="DN5" s="196"/>
      <c r="DO5" s="196"/>
      <c r="DP5" s="195"/>
      <c r="DQ5" s="196">
        <v>0</v>
      </c>
      <c r="DR5" s="196">
        <v>3.625</v>
      </c>
      <c r="DS5" s="196">
        <v>6.75</v>
      </c>
      <c r="DT5" s="196">
        <v>6.75</v>
      </c>
      <c r="DU5" s="196">
        <v>1.125</v>
      </c>
      <c r="DV5" s="196">
        <v>3.6450000000000005</v>
      </c>
      <c r="DW5" s="196">
        <v>3.1049999999999995</v>
      </c>
      <c r="DX5" s="196">
        <v>18.25</v>
      </c>
      <c r="DY5" s="196">
        <v>0</v>
      </c>
      <c r="DZ5" s="196">
        <v>0</v>
      </c>
      <c r="EA5" s="196">
        <v>0</v>
      </c>
      <c r="EB5" s="196">
        <v>0</v>
      </c>
      <c r="EC5" s="196">
        <v>0</v>
      </c>
      <c r="ED5" s="197" t="s">
        <v>231</v>
      </c>
      <c r="EE5" s="50" t="s">
        <v>220</v>
      </c>
      <c r="EF5" s="50" t="s">
        <v>232</v>
      </c>
      <c r="EG5" s="50" t="s">
        <v>233</v>
      </c>
      <c r="EH5" s="50" t="s">
        <v>233</v>
      </c>
      <c r="EI5" s="50" t="s">
        <v>233</v>
      </c>
      <c r="EJ5" s="74">
        <v>2</v>
      </c>
      <c r="EL5" s="50">
        <v>4.2525000000000004</v>
      </c>
      <c r="EM5" s="50">
        <v>3.6224999999999996</v>
      </c>
      <c r="EN5" s="50" t="s">
        <v>234</v>
      </c>
      <c r="EO5" s="132">
        <v>0.72500000000000009</v>
      </c>
      <c r="EP5" s="132">
        <v>0</v>
      </c>
      <c r="EQ5" s="132">
        <v>0.72500000000000009</v>
      </c>
      <c r="ER5" s="132">
        <v>0.72900000000000009</v>
      </c>
      <c r="ES5" s="132">
        <v>0.72900000000000009</v>
      </c>
      <c r="ET5" s="132">
        <v>0</v>
      </c>
      <c r="EU5" s="196">
        <v>3.1049999999999995</v>
      </c>
      <c r="EV5" s="198"/>
      <c r="EX5" s="163"/>
      <c r="EY5" s="163"/>
      <c r="EZ5" s="163"/>
      <c r="FA5" s="163"/>
      <c r="FB5" s="163"/>
      <c r="FC5" s="163"/>
      <c r="FD5" s="163"/>
      <c r="FE5" s="50" t="str">
        <f t="shared" ref="FE5:FE31" si="1">F5&amp;IF(G5="","","_")&amp;G5&amp;IF(H5="","","_")&amp;H5</f>
        <v>1_1</v>
      </c>
      <c r="FF5" s="198">
        <f>DR5</f>
        <v>3.625</v>
      </c>
      <c r="FG5" s="198">
        <f>DS5</f>
        <v>6.75</v>
      </c>
      <c r="FI5" s="198">
        <f t="shared" si="0"/>
        <v>1.125</v>
      </c>
      <c r="FJ5" s="198">
        <f t="shared" si="0"/>
        <v>3.6450000000000005</v>
      </c>
      <c r="FK5" s="198">
        <f t="shared" si="0"/>
        <v>3.1049999999999995</v>
      </c>
    </row>
    <row r="6" spans="1:167" ht="36.75" customHeight="1">
      <c r="F6" s="165"/>
      <c r="G6" s="166"/>
      <c r="H6" s="166"/>
      <c r="I6" s="167"/>
      <c r="J6" s="168"/>
      <c r="K6" s="169"/>
      <c r="L6" s="169"/>
      <c r="M6" s="170"/>
      <c r="N6" s="171"/>
      <c r="O6" s="172"/>
      <c r="P6" s="173"/>
      <c r="Q6" s="172"/>
      <c r="R6" s="172"/>
      <c r="S6" s="171"/>
      <c r="T6" s="171"/>
      <c r="U6" s="174"/>
      <c r="V6" s="175"/>
      <c r="W6" s="176"/>
      <c r="X6" s="177"/>
      <c r="Y6" s="178"/>
      <c r="Z6" s="179"/>
      <c r="AA6" s="175"/>
      <c r="AB6" s="176"/>
      <c r="AC6" s="177"/>
      <c r="AD6" s="180"/>
      <c r="AE6" s="180"/>
      <c r="AF6" s="180"/>
      <c r="AG6" s="179"/>
      <c r="AH6" s="175"/>
      <c r="AI6" s="181"/>
      <c r="AJ6" s="176"/>
      <c r="AK6" s="177"/>
      <c r="AL6" s="179"/>
      <c r="AM6" s="175"/>
      <c r="AN6" s="176"/>
      <c r="AO6" s="177"/>
      <c r="AP6" s="179"/>
      <c r="AQ6" s="175"/>
      <c r="AR6" s="182"/>
      <c r="AS6" s="181"/>
      <c r="AT6" s="181"/>
      <c r="AU6" s="181"/>
      <c r="AV6" s="181"/>
      <c r="AW6" s="176"/>
      <c r="AX6" s="177"/>
      <c r="AY6" s="180"/>
      <c r="AZ6" s="180"/>
      <c r="BA6" s="179"/>
      <c r="BB6" s="175"/>
      <c r="BC6" s="176"/>
      <c r="BD6" s="177"/>
      <c r="BE6" s="179"/>
      <c r="BF6" s="175"/>
      <c r="BG6" s="176"/>
      <c r="BH6" s="177"/>
      <c r="BI6" s="183"/>
      <c r="BJ6" s="180"/>
      <c r="BK6" s="180"/>
      <c r="BL6" s="184"/>
      <c r="BM6" s="179"/>
      <c r="BN6" s="175"/>
      <c r="BO6" s="185"/>
      <c r="BP6" s="176"/>
      <c r="BQ6" s="177"/>
      <c r="BR6" s="179"/>
      <c r="BS6" s="175"/>
      <c r="BT6" s="176"/>
      <c r="BU6" s="177"/>
      <c r="BV6" s="180"/>
      <c r="BW6" s="186"/>
      <c r="BX6" s="180"/>
      <c r="BY6" s="180"/>
      <c r="BZ6" s="187"/>
      <c r="CA6" s="175"/>
      <c r="CB6" s="176"/>
      <c r="CC6" s="177"/>
      <c r="CD6" s="179"/>
      <c r="CE6" s="188"/>
      <c r="CF6" s="189"/>
      <c r="CG6" s="186"/>
      <c r="CH6" s="187"/>
      <c r="CI6" s="188"/>
      <c r="CJ6" s="177"/>
      <c r="CK6" s="183"/>
      <c r="CL6" s="180"/>
      <c r="CM6" s="179"/>
      <c r="CN6" s="175"/>
      <c r="CO6" s="182"/>
      <c r="CP6" s="181"/>
      <c r="CQ6" s="176"/>
      <c r="CR6" s="177"/>
      <c r="CS6" s="180"/>
      <c r="CT6" s="180"/>
      <c r="CU6" s="180"/>
      <c r="CV6" s="180"/>
      <c r="CW6" s="179"/>
      <c r="CX6" s="188"/>
      <c r="CY6" s="174"/>
      <c r="CZ6" s="188"/>
      <c r="DA6" s="174"/>
      <c r="DB6" s="188"/>
      <c r="DC6" s="190"/>
      <c r="DD6" s="191"/>
      <c r="DE6" s="192"/>
      <c r="DF6" s="193"/>
      <c r="DG6" s="194"/>
      <c r="DH6" s="195"/>
      <c r="DI6" s="195"/>
      <c r="DJ6" s="195"/>
      <c r="DK6" s="195"/>
      <c r="DL6" s="195"/>
      <c r="DM6" s="196"/>
      <c r="DN6" s="196"/>
      <c r="DO6" s="196"/>
      <c r="DP6" s="195"/>
      <c r="DQ6" s="196"/>
      <c r="DR6" s="196"/>
      <c r="DS6" s="196"/>
      <c r="DT6" s="196"/>
      <c r="DU6" s="196"/>
      <c r="DV6" s="196"/>
      <c r="DW6" s="196"/>
      <c r="DX6" s="196"/>
      <c r="DY6" s="196"/>
      <c r="DZ6" s="196"/>
      <c r="EA6" s="196"/>
      <c r="EB6" s="196"/>
      <c r="EC6" s="196"/>
      <c r="ED6" s="197"/>
      <c r="EO6" s="132"/>
      <c r="EP6" s="132"/>
      <c r="EQ6" s="132"/>
      <c r="ER6" s="132"/>
      <c r="ES6" s="132"/>
      <c r="ET6" s="132"/>
      <c r="EU6" s="196"/>
      <c r="EV6" s="198"/>
      <c r="EX6" s="163"/>
      <c r="EY6" s="163"/>
      <c r="EZ6" s="163"/>
      <c r="FA6" s="163"/>
      <c r="FB6" s="163"/>
      <c r="FC6" s="163"/>
      <c r="FD6" s="163"/>
      <c r="FE6" s="50" t="str">
        <f t="shared" si="1"/>
        <v/>
      </c>
      <c r="FF6" s="198">
        <f t="shared" ref="FF6:FF30" si="2">DR6</f>
        <v>0</v>
      </c>
      <c r="FG6" s="198">
        <f t="shared" ref="FG6:FG30" si="3">DS6</f>
        <v>0</v>
      </c>
      <c r="FI6" s="198">
        <f t="shared" ref="FI6:FI30" si="4">DU6</f>
        <v>0</v>
      </c>
      <c r="FJ6" s="198">
        <f t="shared" ref="FJ6:FJ30" si="5">DV6</f>
        <v>0</v>
      </c>
      <c r="FK6" s="198">
        <f t="shared" ref="FK6:FK30" si="6">DW6</f>
        <v>0</v>
      </c>
    </row>
    <row r="7" spans="1:167" ht="36">
      <c r="F7" s="134">
        <v>2</v>
      </c>
      <c r="G7" s="135" t="s">
        <v>10</v>
      </c>
      <c r="H7" s="135" t="s">
        <v>10</v>
      </c>
      <c r="I7" s="136"/>
      <c r="J7" s="304" t="s">
        <v>77</v>
      </c>
      <c r="K7" s="305"/>
      <c r="L7" s="305"/>
      <c r="M7" s="306"/>
      <c r="N7" s="137"/>
      <c r="O7" s="138" t="s">
        <v>235</v>
      </c>
      <c r="P7" s="138"/>
      <c r="Q7" s="138"/>
      <c r="R7" s="138"/>
      <c r="S7" s="137"/>
      <c r="T7" s="137"/>
      <c r="U7" s="139"/>
      <c r="V7" s="140"/>
      <c r="W7" s="141"/>
      <c r="X7" s="142"/>
      <c r="Y7" s="143"/>
      <c r="Z7" s="144"/>
      <c r="AA7" s="140"/>
      <c r="AB7" s="141"/>
      <c r="AC7" s="142"/>
      <c r="AD7" s="145"/>
      <c r="AE7" s="145"/>
      <c r="AF7" s="145"/>
      <c r="AG7" s="144"/>
      <c r="AH7" s="140"/>
      <c r="AI7" s="146"/>
      <c r="AJ7" s="141"/>
      <c r="AK7" s="142"/>
      <c r="AL7" s="144"/>
      <c r="AM7" s="140"/>
      <c r="AN7" s="141"/>
      <c r="AO7" s="142"/>
      <c r="AP7" s="144"/>
      <c r="AQ7" s="140"/>
      <c r="AR7" s="147"/>
      <c r="AS7" s="146"/>
      <c r="AT7" s="146"/>
      <c r="AU7" s="146"/>
      <c r="AV7" s="146"/>
      <c r="AW7" s="141"/>
      <c r="AX7" s="142"/>
      <c r="AY7" s="145"/>
      <c r="AZ7" s="145"/>
      <c r="BA7" s="144"/>
      <c r="BB7" s="140"/>
      <c r="BC7" s="141"/>
      <c r="BD7" s="142"/>
      <c r="BE7" s="144"/>
      <c r="BF7" s="140"/>
      <c r="BG7" s="141"/>
      <c r="BH7" s="142"/>
      <c r="BI7" s="148"/>
      <c r="BJ7" s="145"/>
      <c r="BK7" s="145"/>
      <c r="BL7" s="149"/>
      <c r="BM7" s="144"/>
      <c r="BN7" s="140"/>
      <c r="BO7" s="150"/>
      <c r="BP7" s="141"/>
      <c r="BQ7" s="142"/>
      <c r="BR7" s="144"/>
      <c r="BS7" s="140"/>
      <c r="BT7" s="141"/>
      <c r="BU7" s="142"/>
      <c r="BV7" s="145"/>
      <c r="BW7" s="151"/>
      <c r="BX7" s="145"/>
      <c r="BY7" s="145"/>
      <c r="BZ7" s="152"/>
      <c r="CA7" s="140"/>
      <c r="CB7" s="141"/>
      <c r="CC7" s="142"/>
      <c r="CD7" s="144"/>
      <c r="CE7" s="153"/>
      <c r="CF7" s="154"/>
      <c r="CG7" s="151"/>
      <c r="CH7" s="152"/>
      <c r="CI7" s="153"/>
      <c r="CJ7" s="142"/>
      <c r="CK7" s="148"/>
      <c r="CL7" s="145"/>
      <c r="CM7" s="144"/>
      <c r="CN7" s="140"/>
      <c r="CO7" s="147"/>
      <c r="CP7" s="146"/>
      <c r="CQ7" s="141"/>
      <c r="CR7" s="142"/>
      <c r="CS7" s="145"/>
      <c r="CT7" s="145"/>
      <c r="CU7" s="145"/>
      <c r="CV7" s="145"/>
      <c r="CW7" s="144"/>
      <c r="CX7" s="153"/>
      <c r="CY7" s="139"/>
      <c r="CZ7" s="153"/>
      <c r="DA7" s="139"/>
      <c r="DB7" s="153"/>
      <c r="DC7" s="155"/>
      <c r="DD7" s="156"/>
      <c r="DE7" s="157"/>
      <c r="DF7" s="158"/>
      <c r="DG7" s="159"/>
      <c r="DH7" s="160"/>
      <c r="DI7" s="160"/>
      <c r="DJ7" s="160"/>
      <c r="DK7" s="160"/>
      <c r="DL7" s="160"/>
      <c r="DM7" s="161"/>
      <c r="DN7" s="161"/>
      <c r="DO7" s="161"/>
      <c r="DP7" s="160"/>
      <c r="DQ7" s="161" t="s">
        <v>10</v>
      </c>
      <c r="DR7" s="161" t="s">
        <v>10</v>
      </c>
      <c r="DS7" s="161" t="s">
        <v>10</v>
      </c>
      <c r="DT7" s="161" t="s">
        <v>10</v>
      </c>
      <c r="DU7" s="161" t="s">
        <v>10</v>
      </c>
      <c r="DV7" s="161"/>
      <c r="DW7" s="161"/>
      <c r="DX7" s="161">
        <v>0</v>
      </c>
      <c r="DY7" s="161">
        <v>0</v>
      </c>
      <c r="DZ7" s="161">
        <v>0</v>
      </c>
      <c r="EA7" s="161">
        <v>0</v>
      </c>
      <c r="EB7" s="161">
        <v>0</v>
      </c>
      <c r="EC7" s="161">
        <v>0</v>
      </c>
      <c r="ED7" s="162"/>
      <c r="EE7" s="50" t="s">
        <v>220</v>
      </c>
      <c r="EF7" s="74" t="s">
        <v>221</v>
      </c>
      <c r="EG7" s="74" t="s">
        <v>221</v>
      </c>
      <c r="EH7" s="74" t="s">
        <v>221</v>
      </c>
      <c r="EI7" s="74" t="s">
        <v>221</v>
      </c>
      <c r="EJ7" s="74">
        <v>1</v>
      </c>
      <c r="EK7" s="74" t="s">
        <v>222</v>
      </c>
      <c r="EN7" s="74" t="s">
        <v>221</v>
      </c>
      <c r="EO7" s="163"/>
      <c r="EP7" s="163"/>
      <c r="EQ7" s="163"/>
      <c r="ER7" s="163"/>
      <c r="ES7" s="163"/>
      <c r="ET7" s="163"/>
      <c r="EU7" s="163"/>
      <c r="EV7" s="164"/>
      <c r="EX7" s="163"/>
      <c r="EY7" s="163"/>
      <c r="EZ7" s="163"/>
      <c r="FA7" s="163"/>
      <c r="FB7" s="163"/>
      <c r="FC7" s="163"/>
      <c r="FD7" s="163"/>
      <c r="FE7" s="50" t="str">
        <f t="shared" si="1"/>
        <v>2</v>
      </c>
      <c r="FF7" s="198" t="str">
        <f t="shared" si="2"/>
        <v/>
      </c>
      <c r="FG7" s="198" t="str">
        <f t="shared" si="3"/>
        <v/>
      </c>
      <c r="FI7" s="198" t="str">
        <f t="shared" si="4"/>
        <v/>
      </c>
      <c r="FJ7" s="198">
        <f t="shared" si="5"/>
        <v>0</v>
      </c>
      <c r="FK7" s="198">
        <f t="shared" si="6"/>
        <v>0</v>
      </c>
    </row>
    <row r="8" spans="1:167" ht="18.75">
      <c r="F8" s="165">
        <v>2</v>
      </c>
      <c r="G8" s="166">
        <v>1</v>
      </c>
      <c r="H8" s="166" t="s">
        <v>10</v>
      </c>
      <c r="I8" s="167"/>
      <c r="J8" s="168"/>
      <c r="K8" s="169" t="s">
        <v>77</v>
      </c>
      <c r="L8" s="169"/>
      <c r="M8" s="170"/>
      <c r="N8" s="171" t="s">
        <v>224</v>
      </c>
      <c r="O8" s="172"/>
      <c r="P8" s="172"/>
      <c r="Q8" s="172"/>
      <c r="R8" s="172"/>
      <c r="S8" s="171"/>
      <c r="T8" s="171"/>
      <c r="U8" s="174" t="s">
        <v>227</v>
      </c>
      <c r="V8" s="175" t="s">
        <v>227</v>
      </c>
      <c r="W8" s="176" t="s">
        <v>227</v>
      </c>
      <c r="X8" s="177" t="s">
        <v>227</v>
      </c>
      <c r="Y8" s="178" t="s">
        <v>228</v>
      </c>
      <c r="Z8" s="179" t="s">
        <v>227</v>
      </c>
      <c r="AA8" s="175" t="s">
        <v>227</v>
      </c>
      <c r="AB8" s="176" t="s">
        <v>227</v>
      </c>
      <c r="AC8" s="177" t="s">
        <v>227</v>
      </c>
      <c r="AD8" s="180" t="s">
        <v>227</v>
      </c>
      <c r="AE8" s="180" t="s">
        <v>228</v>
      </c>
      <c r="AF8" s="180" t="s">
        <v>228</v>
      </c>
      <c r="AG8" s="179" t="s">
        <v>228</v>
      </c>
      <c r="AH8" s="175" t="s">
        <v>227</v>
      </c>
      <c r="AI8" s="181" t="s">
        <v>227</v>
      </c>
      <c r="AJ8" s="176" t="s">
        <v>228</v>
      </c>
      <c r="AK8" s="177" t="s">
        <v>227</v>
      </c>
      <c r="AL8" s="179" t="s">
        <v>227</v>
      </c>
      <c r="AM8" s="175" t="s">
        <v>227</v>
      </c>
      <c r="AN8" s="176" t="s">
        <v>227</v>
      </c>
      <c r="AO8" s="177" t="s">
        <v>227</v>
      </c>
      <c r="AP8" s="179" t="s">
        <v>227</v>
      </c>
      <c r="AQ8" s="175" t="s">
        <v>227</v>
      </c>
      <c r="AR8" s="182" t="s">
        <v>228</v>
      </c>
      <c r="AS8" s="181" t="s">
        <v>227</v>
      </c>
      <c r="AT8" s="181" t="s">
        <v>227</v>
      </c>
      <c r="AU8" s="181" t="s">
        <v>228</v>
      </c>
      <c r="AV8" s="181" t="s">
        <v>227</v>
      </c>
      <c r="AW8" s="176" t="s">
        <v>227</v>
      </c>
      <c r="AX8" s="177" t="s">
        <v>227</v>
      </c>
      <c r="AY8" s="180" t="s">
        <v>227</v>
      </c>
      <c r="AZ8" s="180" t="s">
        <v>227</v>
      </c>
      <c r="BA8" s="179" t="s">
        <v>227</v>
      </c>
      <c r="BB8" s="175" t="s">
        <v>227</v>
      </c>
      <c r="BC8" s="176" t="s">
        <v>228</v>
      </c>
      <c r="BD8" s="177" t="s">
        <v>227</v>
      </c>
      <c r="BE8" s="179" t="s">
        <v>228</v>
      </c>
      <c r="BF8" s="175" t="s">
        <v>227</v>
      </c>
      <c r="BG8" s="176" t="s">
        <v>227</v>
      </c>
      <c r="BH8" s="177" t="s">
        <v>227</v>
      </c>
      <c r="BI8" s="183" t="s">
        <v>228</v>
      </c>
      <c r="BJ8" s="180" t="s">
        <v>227</v>
      </c>
      <c r="BK8" s="180" t="s">
        <v>227</v>
      </c>
      <c r="BL8" s="184" t="s">
        <v>228</v>
      </c>
      <c r="BM8" s="179" t="s">
        <v>227</v>
      </c>
      <c r="BN8" s="175" t="s">
        <v>227</v>
      </c>
      <c r="BO8" s="185" t="s">
        <v>228</v>
      </c>
      <c r="BP8" s="176" t="s">
        <v>227</v>
      </c>
      <c r="BQ8" s="177" t="s">
        <v>227</v>
      </c>
      <c r="BR8" s="179" t="s">
        <v>227</v>
      </c>
      <c r="BS8" s="175" t="s">
        <v>227</v>
      </c>
      <c r="BT8" s="176" t="s">
        <v>227</v>
      </c>
      <c r="BU8" s="177" t="s">
        <v>227</v>
      </c>
      <c r="BV8" s="180" t="s">
        <v>227</v>
      </c>
      <c r="BW8" s="186" t="s">
        <v>227</v>
      </c>
      <c r="BX8" s="180" t="s">
        <v>227</v>
      </c>
      <c r="BY8" s="180" t="s">
        <v>227</v>
      </c>
      <c r="BZ8" s="187" t="s">
        <v>227</v>
      </c>
      <c r="CA8" s="175" t="s">
        <v>227</v>
      </c>
      <c r="CB8" s="176" t="s">
        <v>227</v>
      </c>
      <c r="CC8" s="177" t="s">
        <v>227</v>
      </c>
      <c r="CD8" s="179" t="s">
        <v>227</v>
      </c>
      <c r="CE8" s="188" t="s">
        <v>227</v>
      </c>
      <c r="CF8" s="189" t="s">
        <v>227</v>
      </c>
      <c r="CG8" s="186" t="s">
        <v>227</v>
      </c>
      <c r="CH8" s="187" t="s">
        <v>227</v>
      </c>
      <c r="CI8" s="188" t="s">
        <v>227</v>
      </c>
      <c r="CJ8" s="177" t="s">
        <v>227</v>
      </c>
      <c r="CK8" s="183" t="s">
        <v>228</v>
      </c>
      <c r="CL8" s="180" t="s">
        <v>227</v>
      </c>
      <c r="CM8" s="179" t="s">
        <v>227</v>
      </c>
      <c r="CN8" s="175" t="s">
        <v>227</v>
      </c>
      <c r="CO8" s="182" t="s">
        <v>228</v>
      </c>
      <c r="CP8" s="181" t="s">
        <v>227</v>
      </c>
      <c r="CQ8" s="176" t="s">
        <v>227</v>
      </c>
      <c r="CR8" s="177" t="s">
        <v>227</v>
      </c>
      <c r="CS8" s="180" t="s">
        <v>227</v>
      </c>
      <c r="CT8" s="180" t="s">
        <v>227</v>
      </c>
      <c r="CU8" s="180" t="s">
        <v>227</v>
      </c>
      <c r="CV8" s="180" t="s">
        <v>227</v>
      </c>
      <c r="CW8" s="179" t="s">
        <v>227</v>
      </c>
      <c r="CX8" s="188" t="s">
        <v>227</v>
      </c>
      <c r="CY8" s="174" t="s">
        <v>227</v>
      </c>
      <c r="CZ8" s="188" t="s">
        <v>227</v>
      </c>
      <c r="DA8" s="174" t="s">
        <v>227</v>
      </c>
      <c r="DB8" s="188" t="s">
        <v>227</v>
      </c>
      <c r="DC8" s="190" t="s">
        <v>229</v>
      </c>
      <c r="DD8" s="199" t="s">
        <v>236</v>
      </c>
      <c r="DE8" s="192">
        <v>1</v>
      </c>
      <c r="DF8" s="200">
        <v>100</v>
      </c>
      <c r="DG8" s="194"/>
      <c r="DH8" s="195"/>
      <c r="DI8" s="195"/>
      <c r="DJ8" s="195"/>
      <c r="DK8" s="195"/>
      <c r="DL8" s="195"/>
      <c r="DM8" s="196"/>
      <c r="DN8" s="196"/>
      <c r="DO8" s="196"/>
      <c r="DP8" s="195"/>
      <c r="DQ8" s="196">
        <v>0</v>
      </c>
      <c r="DR8" s="196">
        <v>1</v>
      </c>
      <c r="DS8" s="196">
        <v>3.375</v>
      </c>
      <c r="DT8" s="196">
        <v>2.875</v>
      </c>
      <c r="DU8" s="196">
        <v>0.5</v>
      </c>
      <c r="DV8" s="196">
        <v>1.5525000000000002</v>
      </c>
      <c r="DW8" s="196">
        <v>1.3224999999999998</v>
      </c>
      <c r="DX8" s="196">
        <v>7.75</v>
      </c>
      <c r="DY8" s="196">
        <v>0</v>
      </c>
      <c r="DZ8" s="196">
        <v>0</v>
      </c>
      <c r="EA8" s="196">
        <v>0</v>
      </c>
      <c r="EB8" s="196">
        <v>0</v>
      </c>
      <c r="EC8" s="196">
        <v>0</v>
      </c>
      <c r="ED8" s="201" t="s">
        <v>237</v>
      </c>
      <c r="EE8" s="50" t="s">
        <v>220</v>
      </c>
      <c r="EF8" s="50" t="s">
        <v>232</v>
      </c>
      <c r="EG8" s="50" t="s">
        <v>238</v>
      </c>
      <c r="EH8" s="50" t="s">
        <v>238</v>
      </c>
      <c r="EI8" s="50" t="s">
        <v>233</v>
      </c>
      <c r="EJ8" s="74">
        <v>1</v>
      </c>
      <c r="EL8" s="50">
        <v>1.8225000000000002</v>
      </c>
      <c r="EM8" s="50">
        <v>1.5524999999999998</v>
      </c>
      <c r="EN8" s="50" t="s">
        <v>234</v>
      </c>
      <c r="EO8" s="132">
        <v>0</v>
      </c>
      <c r="EP8" s="132">
        <v>0</v>
      </c>
      <c r="EQ8" s="132">
        <v>0</v>
      </c>
      <c r="ER8" s="132">
        <v>0.31050000000000005</v>
      </c>
      <c r="ES8" s="132">
        <v>0.31050000000000005</v>
      </c>
      <c r="ET8" s="132">
        <v>0</v>
      </c>
      <c r="EU8" s="196">
        <v>1.3224999999999998</v>
      </c>
      <c r="EV8" s="198"/>
      <c r="EX8" s="163"/>
      <c r="EY8" s="163"/>
      <c r="EZ8" s="163"/>
      <c r="FA8" s="163"/>
      <c r="FB8" s="163"/>
      <c r="FC8" s="163"/>
      <c r="FD8" s="163"/>
      <c r="FE8" s="50" t="str">
        <f t="shared" si="1"/>
        <v>2_1</v>
      </c>
      <c r="FF8" s="198">
        <f t="shared" si="2"/>
        <v>1</v>
      </c>
      <c r="FG8" s="198">
        <f t="shared" si="3"/>
        <v>3.375</v>
      </c>
      <c r="FI8" s="198">
        <f t="shared" si="4"/>
        <v>0.5</v>
      </c>
      <c r="FJ8" s="198">
        <f t="shared" si="5"/>
        <v>1.5525000000000002</v>
      </c>
      <c r="FK8" s="198">
        <f t="shared" si="6"/>
        <v>1.3224999999999998</v>
      </c>
    </row>
    <row r="9" spans="1:167" ht="60">
      <c r="F9" s="134">
        <v>3</v>
      </c>
      <c r="G9" s="135" t="s">
        <v>10</v>
      </c>
      <c r="H9" s="135" t="s">
        <v>10</v>
      </c>
      <c r="I9" s="136"/>
      <c r="J9" s="304" t="s">
        <v>239</v>
      </c>
      <c r="K9" s="305"/>
      <c r="L9" s="305"/>
      <c r="M9" s="306"/>
      <c r="N9" s="137"/>
      <c r="O9" s="138" t="s">
        <v>240</v>
      </c>
      <c r="P9" s="138"/>
      <c r="Q9" s="138"/>
      <c r="R9" s="138"/>
      <c r="S9" s="137"/>
      <c r="T9" s="137"/>
      <c r="U9" s="139"/>
      <c r="V9" s="140"/>
      <c r="W9" s="141"/>
      <c r="X9" s="142"/>
      <c r="Y9" s="143"/>
      <c r="Z9" s="144"/>
      <c r="AA9" s="140"/>
      <c r="AB9" s="141"/>
      <c r="AC9" s="142"/>
      <c r="AD9" s="145"/>
      <c r="AE9" s="145"/>
      <c r="AF9" s="145"/>
      <c r="AG9" s="144"/>
      <c r="AH9" s="140"/>
      <c r="AI9" s="146"/>
      <c r="AJ9" s="141"/>
      <c r="AK9" s="142"/>
      <c r="AL9" s="144"/>
      <c r="AM9" s="140"/>
      <c r="AN9" s="141"/>
      <c r="AO9" s="142"/>
      <c r="AP9" s="144"/>
      <c r="AQ9" s="140"/>
      <c r="AR9" s="147"/>
      <c r="AS9" s="146"/>
      <c r="AT9" s="146"/>
      <c r="AU9" s="146"/>
      <c r="AV9" s="146"/>
      <c r="AW9" s="141"/>
      <c r="AX9" s="142"/>
      <c r="AY9" s="145"/>
      <c r="AZ9" s="145"/>
      <c r="BA9" s="144"/>
      <c r="BB9" s="140"/>
      <c r="BC9" s="141"/>
      <c r="BD9" s="142"/>
      <c r="BE9" s="144"/>
      <c r="BF9" s="140"/>
      <c r="BG9" s="141"/>
      <c r="BH9" s="142"/>
      <c r="BI9" s="148"/>
      <c r="BJ9" s="145"/>
      <c r="BK9" s="145"/>
      <c r="BL9" s="149"/>
      <c r="BM9" s="144"/>
      <c r="BN9" s="140"/>
      <c r="BO9" s="150"/>
      <c r="BP9" s="141"/>
      <c r="BQ9" s="142"/>
      <c r="BR9" s="144"/>
      <c r="BS9" s="140"/>
      <c r="BT9" s="141"/>
      <c r="BU9" s="142"/>
      <c r="BV9" s="145"/>
      <c r="BW9" s="151"/>
      <c r="BX9" s="145"/>
      <c r="BY9" s="145"/>
      <c r="BZ9" s="152"/>
      <c r="CA9" s="140"/>
      <c r="CB9" s="141"/>
      <c r="CC9" s="142"/>
      <c r="CD9" s="144"/>
      <c r="CE9" s="153"/>
      <c r="CF9" s="154"/>
      <c r="CG9" s="151"/>
      <c r="CH9" s="152"/>
      <c r="CI9" s="153"/>
      <c r="CJ9" s="142"/>
      <c r="CK9" s="148"/>
      <c r="CL9" s="145"/>
      <c r="CM9" s="144"/>
      <c r="CN9" s="140"/>
      <c r="CO9" s="147"/>
      <c r="CP9" s="146"/>
      <c r="CQ9" s="141"/>
      <c r="CR9" s="142"/>
      <c r="CS9" s="145"/>
      <c r="CT9" s="145"/>
      <c r="CU9" s="145"/>
      <c r="CV9" s="145"/>
      <c r="CW9" s="144"/>
      <c r="CX9" s="153"/>
      <c r="CY9" s="139"/>
      <c r="CZ9" s="153"/>
      <c r="DA9" s="139"/>
      <c r="DB9" s="153"/>
      <c r="DC9" s="155"/>
      <c r="DD9" s="156"/>
      <c r="DE9" s="157"/>
      <c r="DF9" s="158"/>
      <c r="DG9" s="159"/>
      <c r="DH9" s="160"/>
      <c r="DI9" s="160"/>
      <c r="DJ9" s="160"/>
      <c r="DK9" s="160"/>
      <c r="DL9" s="160"/>
      <c r="DM9" s="161"/>
      <c r="DN9" s="161"/>
      <c r="DO9" s="161"/>
      <c r="DP9" s="160"/>
      <c r="DQ9" s="161" t="s">
        <v>10</v>
      </c>
      <c r="DR9" s="161" t="s">
        <v>10</v>
      </c>
      <c r="DS9" s="161" t="s">
        <v>10</v>
      </c>
      <c r="DT9" s="161" t="s">
        <v>10</v>
      </c>
      <c r="DU9" s="161" t="s">
        <v>10</v>
      </c>
      <c r="DV9" s="161"/>
      <c r="DW9" s="161"/>
      <c r="DX9" s="161">
        <v>0</v>
      </c>
      <c r="DY9" s="161">
        <v>0</v>
      </c>
      <c r="DZ9" s="161">
        <v>0</v>
      </c>
      <c r="EA9" s="161">
        <v>0</v>
      </c>
      <c r="EB9" s="161">
        <v>0</v>
      </c>
      <c r="EC9" s="161">
        <v>0</v>
      </c>
      <c r="ED9" s="162"/>
      <c r="EE9" s="50" t="s">
        <v>220</v>
      </c>
      <c r="EF9" s="74" t="s">
        <v>221</v>
      </c>
      <c r="EG9" s="74" t="s">
        <v>221</v>
      </c>
      <c r="EH9" s="74" t="s">
        <v>221</v>
      </c>
      <c r="EI9" s="74" t="s">
        <v>221</v>
      </c>
      <c r="EJ9" s="74">
        <v>4</v>
      </c>
      <c r="EK9" s="74" t="s">
        <v>241</v>
      </c>
      <c r="EN9" s="74" t="s">
        <v>221</v>
      </c>
      <c r="EO9" s="163"/>
      <c r="EP9" s="163"/>
      <c r="EQ9" s="163"/>
      <c r="ER9" s="163"/>
      <c r="ES9" s="163"/>
      <c r="ET9" s="163"/>
      <c r="EU9" s="163"/>
      <c r="EV9" s="164"/>
      <c r="EX9" s="163"/>
      <c r="EY9" s="163"/>
      <c r="EZ9" s="163"/>
      <c r="FA9" s="163"/>
      <c r="FB9" s="163"/>
      <c r="FC9" s="163"/>
      <c r="FD9" s="163"/>
      <c r="FE9" s="50" t="str">
        <f t="shared" si="1"/>
        <v>3</v>
      </c>
      <c r="FF9" s="198" t="str">
        <f t="shared" si="2"/>
        <v/>
      </c>
      <c r="FG9" s="198" t="str">
        <f t="shared" si="3"/>
        <v/>
      </c>
      <c r="FI9" s="198" t="str">
        <f t="shared" si="4"/>
        <v/>
      </c>
      <c r="FJ9" s="198">
        <f t="shared" si="5"/>
        <v>0</v>
      </c>
      <c r="FK9" s="198">
        <f t="shared" si="6"/>
        <v>0</v>
      </c>
    </row>
    <row r="10" spans="1:167" ht="24">
      <c r="F10" s="165">
        <v>3</v>
      </c>
      <c r="G10" s="166">
        <v>1</v>
      </c>
      <c r="H10" s="166" t="s">
        <v>10</v>
      </c>
      <c r="I10" s="167"/>
      <c r="J10" s="202"/>
      <c r="K10" s="169" t="s">
        <v>242</v>
      </c>
      <c r="L10" s="169"/>
      <c r="M10" s="170"/>
      <c r="N10" s="171" t="s">
        <v>243</v>
      </c>
      <c r="O10" s="172"/>
      <c r="P10" s="172"/>
      <c r="Q10" s="172"/>
      <c r="R10" s="172"/>
      <c r="S10" s="171"/>
      <c r="T10" s="171"/>
      <c r="U10" s="174" t="s">
        <v>227</v>
      </c>
      <c r="V10" s="175" t="s">
        <v>227</v>
      </c>
      <c r="W10" s="176" t="s">
        <v>227</v>
      </c>
      <c r="X10" s="177" t="s">
        <v>227</v>
      </c>
      <c r="Y10" s="178" t="s">
        <v>228</v>
      </c>
      <c r="Z10" s="179" t="s">
        <v>227</v>
      </c>
      <c r="AA10" s="175" t="s">
        <v>227</v>
      </c>
      <c r="AB10" s="176" t="s">
        <v>227</v>
      </c>
      <c r="AC10" s="177" t="s">
        <v>227</v>
      </c>
      <c r="AD10" s="180" t="s">
        <v>227</v>
      </c>
      <c r="AE10" s="180" t="s">
        <v>228</v>
      </c>
      <c r="AF10" s="180" t="s">
        <v>228</v>
      </c>
      <c r="AG10" s="179" t="s">
        <v>228</v>
      </c>
      <c r="AH10" s="175" t="s">
        <v>227</v>
      </c>
      <c r="AI10" s="181" t="s">
        <v>227</v>
      </c>
      <c r="AJ10" s="176" t="s">
        <v>228</v>
      </c>
      <c r="AK10" s="177" t="s">
        <v>227</v>
      </c>
      <c r="AL10" s="177" t="s">
        <v>227</v>
      </c>
      <c r="AM10" s="175" t="s">
        <v>227</v>
      </c>
      <c r="AN10" s="176" t="s">
        <v>227</v>
      </c>
      <c r="AO10" s="177" t="s">
        <v>227</v>
      </c>
      <c r="AP10" s="179" t="s">
        <v>227</v>
      </c>
      <c r="AQ10" s="182" t="s">
        <v>228</v>
      </c>
      <c r="AR10" s="182" t="s">
        <v>228</v>
      </c>
      <c r="AS10" s="181" t="s">
        <v>227</v>
      </c>
      <c r="AT10" s="181" t="s">
        <v>227</v>
      </c>
      <c r="AU10" s="181" t="s">
        <v>228</v>
      </c>
      <c r="AV10" s="181" t="s">
        <v>227</v>
      </c>
      <c r="AW10" s="176" t="s">
        <v>227</v>
      </c>
      <c r="AX10" s="177" t="s">
        <v>227</v>
      </c>
      <c r="AY10" s="180" t="s">
        <v>227</v>
      </c>
      <c r="AZ10" s="180" t="s">
        <v>227</v>
      </c>
      <c r="BA10" s="179" t="s">
        <v>227</v>
      </c>
      <c r="BB10" s="175" t="s">
        <v>227</v>
      </c>
      <c r="BC10" s="176" t="s">
        <v>228</v>
      </c>
      <c r="BD10" s="177" t="s">
        <v>227</v>
      </c>
      <c r="BE10" s="179" t="s">
        <v>228</v>
      </c>
      <c r="BF10" s="175" t="s">
        <v>227</v>
      </c>
      <c r="BG10" s="176" t="s">
        <v>227</v>
      </c>
      <c r="BH10" s="177" t="s">
        <v>227</v>
      </c>
      <c r="BI10" s="183" t="s">
        <v>228</v>
      </c>
      <c r="BJ10" s="180" t="s">
        <v>227</v>
      </c>
      <c r="BK10" s="180" t="s">
        <v>227</v>
      </c>
      <c r="BL10" s="184" t="s">
        <v>228</v>
      </c>
      <c r="BM10" s="179" t="s">
        <v>227</v>
      </c>
      <c r="BN10" s="175" t="s">
        <v>227</v>
      </c>
      <c r="BO10" s="185" t="s">
        <v>228</v>
      </c>
      <c r="BP10" s="176" t="s">
        <v>227</v>
      </c>
      <c r="BQ10" s="177" t="s">
        <v>227</v>
      </c>
      <c r="BR10" s="179" t="s">
        <v>227</v>
      </c>
      <c r="BS10" s="175" t="s">
        <v>227</v>
      </c>
      <c r="BT10" s="176" t="s">
        <v>227</v>
      </c>
      <c r="BU10" s="177" t="s">
        <v>227</v>
      </c>
      <c r="BV10" s="180" t="s">
        <v>227</v>
      </c>
      <c r="BW10" s="186" t="s">
        <v>227</v>
      </c>
      <c r="BX10" s="180" t="s">
        <v>227</v>
      </c>
      <c r="BY10" s="180" t="s">
        <v>227</v>
      </c>
      <c r="BZ10" s="187" t="s">
        <v>227</v>
      </c>
      <c r="CA10" s="175" t="s">
        <v>227</v>
      </c>
      <c r="CB10" s="176" t="s">
        <v>227</v>
      </c>
      <c r="CC10" s="177" t="s">
        <v>227</v>
      </c>
      <c r="CD10" s="179" t="s">
        <v>227</v>
      </c>
      <c r="CE10" s="188" t="s">
        <v>227</v>
      </c>
      <c r="CF10" s="189" t="s">
        <v>227</v>
      </c>
      <c r="CG10" s="186" t="s">
        <v>227</v>
      </c>
      <c r="CH10" s="187" t="s">
        <v>227</v>
      </c>
      <c r="CI10" s="188" t="s">
        <v>227</v>
      </c>
      <c r="CJ10" s="177" t="s">
        <v>227</v>
      </c>
      <c r="CK10" s="183" t="s">
        <v>228</v>
      </c>
      <c r="CL10" s="180" t="s">
        <v>227</v>
      </c>
      <c r="CM10" s="179" t="s">
        <v>227</v>
      </c>
      <c r="CN10" s="175" t="s">
        <v>227</v>
      </c>
      <c r="CO10" s="182" t="s">
        <v>228</v>
      </c>
      <c r="CP10" s="181" t="s">
        <v>227</v>
      </c>
      <c r="CQ10" s="176" t="s">
        <v>227</v>
      </c>
      <c r="CR10" s="177" t="s">
        <v>227</v>
      </c>
      <c r="CS10" s="180" t="s">
        <v>227</v>
      </c>
      <c r="CT10" s="180" t="s">
        <v>227</v>
      </c>
      <c r="CU10" s="180" t="s">
        <v>227</v>
      </c>
      <c r="CV10" s="180" t="s">
        <v>227</v>
      </c>
      <c r="CW10" s="179" t="s">
        <v>227</v>
      </c>
      <c r="CX10" s="188" t="s">
        <v>227</v>
      </c>
      <c r="CY10" s="174" t="s">
        <v>227</v>
      </c>
      <c r="CZ10" s="188" t="s">
        <v>227</v>
      </c>
      <c r="DA10" s="174" t="s">
        <v>227</v>
      </c>
      <c r="DB10" s="188" t="s">
        <v>227</v>
      </c>
      <c r="DC10" s="190" t="s">
        <v>229</v>
      </c>
      <c r="DD10" s="203" t="s">
        <v>244</v>
      </c>
      <c r="DE10" s="192">
        <v>1</v>
      </c>
      <c r="DF10" s="204">
        <v>120</v>
      </c>
      <c r="DG10" s="194"/>
      <c r="DH10" s="195"/>
      <c r="DI10" s="195"/>
      <c r="DJ10" s="195"/>
      <c r="DK10" s="195"/>
      <c r="DL10" s="195"/>
      <c r="DM10" s="196"/>
      <c r="DN10" s="196"/>
      <c r="DO10" s="196"/>
      <c r="DP10" s="195"/>
      <c r="DQ10" s="196">
        <v>0</v>
      </c>
      <c r="DR10" s="196">
        <v>1.875</v>
      </c>
      <c r="DS10" s="196">
        <v>3.375</v>
      </c>
      <c r="DT10" s="196">
        <v>3.375</v>
      </c>
      <c r="DU10" s="196">
        <v>0.625</v>
      </c>
      <c r="DV10" s="196">
        <v>1.8225000000000002</v>
      </c>
      <c r="DW10" s="196">
        <v>1.5524999999999998</v>
      </c>
      <c r="DX10" s="196">
        <v>9.25</v>
      </c>
      <c r="DY10" s="196">
        <v>0</v>
      </c>
      <c r="DZ10" s="196">
        <v>0</v>
      </c>
      <c r="EA10" s="196">
        <v>0</v>
      </c>
      <c r="EB10" s="196">
        <v>0</v>
      </c>
      <c r="EC10" s="196">
        <v>0</v>
      </c>
      <c r="ED10" s="197" t="s">
        <v>245</v>
      </c>
      <c r="EE10" s="50" t="s">
        <v>220</v>
      </c>
      <c r="EF10" s="50" t="s">
        <v>232</v>
      </c>
      <c r="EG10" s="50" t="s">
        <v>246</v>
      </c>
      <c r="EH10" s="50" t="s">
        <v>246</v>
      </c>
      <c r="EI10" s="50" t="s">
        <v>246</v>
      </c>
      <c r="EJ10" s="74">
        <v>4</v>
      </c>
      <c r="EL10" s="50">
        <v>2.16</v>
      </c>
      <c r="EM10" s="50">
        <v>1.8399999999999999</v>
      </c>
      <c r="EN10" s="50" t="s">
        <v>234</v>
      </c>
      <c r="EO10" s="132">
        <v>0</v>
      </c>
      <c r="EP10" s="132">
        <v>0</v>
      </c>
      <c r="EQ10" s="132">
        <v>0</v>
      </c>
      <c r="ER10" s="132">
        <v>0</v>
      </c>
      <c r="ES10" s="132">
        <v>0</v>
      </c>
      <c r="ET10" s="132">
        <v>0</v>
      </c>
      <c r="EU10" s="196">
        <v>1.5524999999999998</v>
      </c>
      <c r="EV10" s="198"/>
      <c r="EX10" s="163"/>
      <c r="EY10" s="163"/>
      <c r="EZ10" s="163"/>
      <c r="FA10" s="163"/>
      <c r="FB10" s="163"/>
      <c r="FC10" s="163"/>
      <c r="FD10" s="163"/>
      <c r="FE10" s="50" t="str">
        <f t="shared" si="1"/>
        <v>3_1</v>
      </c>
      <c r="FF10" s="198">
        <f t="shared" si="2"/>
        <v>1.875</v>
      </c>
      <c r="FG10" s="198">
        <f t="shared" si="3"/>
        <v>3.375</v>
      </c>
      <c r="FI10" s="198">
        <f t="shared" si="4"/>
        <v>0.625</v>
      </c>
      <c r="FJ10" s="198">
        <f t="shared" si="5"/>
        <v>1.8225000000000002</v>
      </c>
      <c r="FK10" s="198">
        <f t="shared" si="6"/>
        <v>1.5524999999999998</v>
      </c>
    </row>
    <row r="11" spans="1:167" ht="84">
      <c r="F11" s="134">
        <v>4</v>
      </c>
      <c r="G11" s="135" t="s">
        <v>10</v>
      </c>
      <c r="H11" s="135" t="s">
        <v>10</v>
      </c>
      <c r="I11" s="136"/>
      <c r="J11" s="301" t="s">
        <v>247</v>
      </c>
      <c r="K11" s="302"/>
      <c r="L11" s="302"/>
      <c r="M11" s="303"/>
      <c r="N11" s="137"/>
      <c r="O11" s="138" t="s">
        <v>248</v>
      </c>
      <c r="P11" s="138"/>
      <c r="Q11" s="138"/>
      <c r="R11" s="138"/>
      <c r="S11" s="137"/>
      <c r="T11" s="137"/>
      <c r="U11" s="139"/>
      <c r="V11" s="140"/>
      <c r="W11" s="141"/>
      <c r="X11" s="142"/>
      <c r="Y11" s="143"/>
      <c r="Z11" s="144"/>
      <c r="AA11" s="140"/>
      <c r="AB11" s="141"/>
      <c r="AC11" s="142"/>
      <c r="AD11" s="145"/>
      <c r="AE11" s="145"/>
      <c r="AF11" s="145"/>
      <c r="AG11" s="144"/>
      <c r="AH11" s="140"/>
      <c r="AI11" s="146"/>
      <c r="AJ11" s="141"/>
      <c r="AK11" s="142"/>
      <c r="AL11" s="144"/>
      <c r="AM11" s="140"/>
      <c r="AN11" s="141"/>
      <c r="AO11" s="142"/>
      <c r="AP11" s="144"/>
      <c r="AQ11" s="140"/>
      <c r="AR11" s="147"/>
      <c r="AS11" s="146"/>
      <c r="AT11" s="146"/>
      <c r="AU11" s="146"/>
      <c r="AV11" s="146"/>
      <c r="AW11" s="141"/>
      <c r="AX11" s="142"/>
      <c r="AY11" s="145"/>
      <c r="AZ11" s="145"/>
      <c r="BA11" s="144"/>
      <c r="BB11" s="140"/>
      <c r="BC11" s="141"/>
      <c r="BD11" s="142"/>
      <c r="BE11" s="144"/>
      <c r="BF11" s="140"/>
      <c r="BG11" s="141"/>
      <c r="BH11" s="142"/>
      <c r="BI11" s="148"/>
      <c r="BJ11" s="145"/>
      <c r="BK11" s="145"/>
      <c r="BL11" s="149"/>
      <c r="BM11" s="144"/>
      <c r="BN11" s="140"/>
      <c r="BO11" s="150"/>
      <c r="BP11" s="141"/>
      <c r="BQ11" s="142"/>
      <c r="BR11" s="144"/>
      <c r="BS11" s="140"/>
      <c r="BT11" s="141"/>
      <c r="BU11" s="142"/>
      <c r="BV11" s="145"/>
      <c r="BW11" s="151"/>
      <c r="BX11" s="145"/>
      <c r="BY11" s="145"/>
      <c r="BZ11" s="152"/>
      <c r="CA11" s="140"/>
      <c r="CB11" s="141"/>
      <c r="CC11" s="142"/>
      <c r="CD11" s="144"/>
      <c r="CE11" s="153"/>
      <c r="CF11" s="154"/>
      <c r="CG11" s="151"/>
      <c r="CH11" s="152"/>
      <c r="CI11" s="153"/>
      <c r="CJ11" s="142"/>
      <c r="CK11" s="148"/>
      <c r="CL11" s="145"/>
      <c r="CM11" s="144"/>
      <c r="CN11" s="140"/>
      <c r="CO11" s="147"/>
      <c r="CP11" s="146"/>
      <c r="CQ11" s="141"/>
      <c r="CR11" s="142"/>
      <c r="CS11" s="145"/>
      <c r="CT11" s="145"/>
      <c r="CU11" s="145"/>
      <c r="CV11" s="145"/>
      <c r="CW11" s="144"/>
      <c r="CX11" s="153"/>
      <c r="CY11" s="139"/>
      <c r="CZ11" s="153"/>
      <c r="DA11" s="139"/>
      <c r="DB11" s="153"/>
      <c r="DC11" s="155"/>
      <c r="DD11" s="156"/>
      <c r="DE11" s="157"/>
      <c r="DF11" s="158"/>
      <c r="DG11" s="159"/>
      <c r="DH11" s="160"/>
      <c r="DI11" s="160"/>
      <c r="DJ11" s="160"/>
      <c r="DK11" s="160"/>
      <c r="DL11" s="160"/>
      <c r="DM11" s="161"/>
      <c r="DN11" s="161"/>
      <c r="DO11" s="161"/>
      <c r="DP11" s="160"/>
      <c r="DQ11" s="161" t="s">
        <v>10</v>
      </c>
      <c r="DR11" s="161" t="s">
        <v>10</v>
      </c>
      <c r="DS11" s="161" t="s">
        <v>10</v>
      </c>
      <c r="DT11" s="161" t="s">
        <v>10</v>
      </c>
      <c r="DU11" s="161" t="s">
        <v>10</v>
      </c>
      <c r="DV11" s="161"/>
      <c r="DW11" s="161"/>
      <c r="DX11" s="161">
        <v>0</v>
      </c>
      <c r="DY11" s="161">
        <v>0</v>
      </c>
      <c r="DZ11" s="161">
        <v>0</v>
      </c>
      <c r="EA11" s="161">
        <v>0</v>
      </c>
      <c r="EB11" s="161">
        <v>0</v>
      </c>
      <c r="EC11" s="161">
        <v>0</v>
      </c>
      <c r="ED11" s="162"/>
      <c r="EE11" s="50" t="s">
        <v>220</v>
      </c>
      <c r="EF11" s="74" t="s">
        <v>221</v>
      </c>
      <c r="EG11" s="74" t="s">
        <v>221</v>
      </c>
      <c r="EH11" s="74" t="s">
        <v>221</v>
      </c>
      <c r="EI11" s="74" t="s">
        <v>221</v>
      </c>
      <c r="EJ11" s="74">
        <v>52</v>
      </c>
      <c r="EK11" s="74" t="s">
        <v>241</v>
      </c>
      <c r="EN11" s="74" t="s">
        <v>221</v>
      </c>
      <c r="EO11" s="163"/>
      <c r="EP11" s="163"/>
      <c r="EQ11" s="163"/>
      <c r="ER11" s="163"/>
      <c r="ES11" s="163"/>
      <c r="ET11" s="163"/>
      <c r="EU11" s="163"/>
      <c r="EV11" s="164"/>
      <c r="EX11" s="163"/>
      <c r="EY11" s="163"/>
      <c r="EZ11" s="163"/>
      <c r="FA11" s="163"/>
      <c r="FB11" s="163"/>
      <c r="FC11" s="163"/>
      <c r="FD11" s="163"/>
      <c r="FE11" s="50" t="str">
        <f t="shared" si="1"/>
        <v>4</v>
      </c>
      <c r="FF11" s="198" t="str">
        <f t="shared" si="2"/>
        <v/>
      </c>
      <c r="FG11" s="198" t="str">
        <f t="shared" si="3"/>
        <v/>
      </c>
      <c r="FI11" s="198" t="str">
        <f t="shared" si="4"/>
        <v/>
      </c>
      <c r="FJ11" s="198">
        <f t="shared" si="5"/>
        <v>0</v>
      </c>
      <c r="FK11" s="198">
        <f t="shared" si="6"/>
        <v>0</v>
      </c>
    </row>
    <row r="12" spans="1:167" ht="30" customHeight="1">
      <c r="F12" s="165">
        <v>4</v>
      </c>
      <c r="G12" s="166">
        <v>1</v>
      </c>
      <c r="H12" s="166">
        <v>1</v>
      </c>
      <c r="I12" s="167"/>
      <c r="J12" s="168"/>
      <c r="K12" s="169" t="s">
        <v>9</v>
      </c>
      <c r="L12" s="169"/>
      <c r="M12" s="170"/>
      <c r="N12" s="171" t="s">
        <v>249</v>
      </c>
      <c r="O12" s="172"/>
      <c r="P12" s="172"/>
      <c r="Q12" s="205" t="s">
        <v>250</v>
      </c>
      <c r="R12" s="205"/>
      <c r="S12" s="171"/>
      <c r="T12" s="171"/>
      <c r="U12" s="174" t="s">
        <v>229</v>
      </c>
      <c r="V12" s="175" t="s">
        <v>229</v>
      </c>
      <c r="W12" s="176" t="s">
        <v>229</v>
      </c>
      <c r="X12" s="177" t="s">
        <v>229</v>
      </c>
      <c r="Y12" s="177" t="s">
        <v>227</v>
      </c>
      <c r="Z12" s="179" t="s">
        <v>229</v>
      </c>
      <c r="AA12" s="175" t="s">
        <v>227</v>
      </c>
      <c r="AB12" s="176" t="s">
        <v>227</v>
      </c>
      <c r="AC12" s="177" t="s">
        <v>227</v>
      </c>
      <c r="AD12" s="180" t="s">
        <v>227</v>
      </c>
      <c r="AE12" s="180" t="s">
        <v>227</v>
      </c>
      <c r="AF12" s="180" t="s">
        <v>227</v>
      </c>
      <c r="AG12" s="179" t="s">
        <v>227</v>
      </c>
      <c r="AH12" s="175" t="s">
        <v>227</v>
      </c>
      <c r="AI12" s="181" t="s">
        <v>227</v>
      </c>
      <c r="AJ12" s="176" t="s">
        <v>227</v>
      </c>
      <c r="AK12" s="177" t="s">
        <v>227</v>
      </c>
      <c r="AL12" s="179" t="s">
        <v>227</v>
      </c>
      <c r="AM12" s="175" t="s">
        <v>227</v>
      </c>
      <c r="AN12" s="176" t="s">
        <v>227</v>
      </c>
      <c r="AO12" s="177" t="s">
        <v>229</v>
      </c>
      <c r="AP12" s="179" t="s">
        <v>229</v>
      </c>
      <c r="AQ12" s="175" t="s">
        <v>227</v>
      </c>
      <c r="AR12" s="182" t="s">
        <v>227</v>
      </c>
      <c r="AS12" s="181" t="s">
        <v>227</v>
      </c>
      <c r="AT12" s="181" t="s">
        <v>227</v>
      </c>
      <c r="AU12" s="181" t="s">
        <v>227</v>
      </c>
      <c r="AV12" s="181" t="s">
        <v>227</v>
      </c>
      <c r="AW12" s="176" t="s">
        <v>227</v>
      </c>
      <c r="AX12" s="177" t="s">
        <v>227</v>
      </c>
      <c r="AY12" s="180" t="s">
        <v>227</v>
      </c>
      <c r="AZ12" s="180" t="s">
        <v>227</v>
      </c>
      <c r="BA12" s="179" t="s">
        <v>227</v>
      </c>
      <c r="BB12" s="175" t="s">
        <v>227</v>
      </c>
      <c r="BC12" s="176" t="s">
        <v>227</v>
      </c>
      <c r="BD12" s="177" t="s">
        <v>227</v>
      </c>
      <c r="BE12" s="179" t="s">
        <v>227</v>
      </c>
      <c r="BF12" s="175" t="s">
        <v>227</v>
      </c>
      <c r="BG12" s="176" t="s">
        <v>227</v>
      </c>
      <c r="BH12" s="177" t="s">
        <v>227</v>
      </c>
      <c r="BI12" s="183" t="s">
        <v>227</v>
      </c>
      <c r="BJ12" s="180" t="s">
        <v>227</v>
      </c>
      <c r="BK12" s="180" t="s">
        <v>227</v>
      </c>
      <c r="BL12" s="184" t="s">
        <v>227</v>
      </c>
      <c r="BM12" s="179" t="s">
        <v>227</v>
      </c>
      <c r="BN12" s="175" t="s">
        <v>227</v>
      </c>
      <c r="BO12" s="185" t="s">
        <v>227</v>
      </c>
      <c r="BP12" s="176" t="s">
        <v>227</v>
      </c>
      <c r="BQ12" s="177" t="s">
        <v>227</v>
      </c>
      <c r="BR12" s="179" t="s">
        <v>227</v>
      </c>
      <c r="BS12" s="175" t="s">
        <v>227</v>
      </c>
      <c r="BT12" s="176" t="s">
        <v>227</v>
      </c>
      <c r="BU12" s="177" t="s">
        <v>227</v>
      </c>
      <c r="BV12" s="180" t="s">
        <v>227</v>
      </c>
      <c r="BW12" s="186" t="s">
        <v>227</v>
      </c>
      <c r="BX12" s="180" t="s">
        <v>227</v>
      </c>
      <c r="BY12" s="180" t="s">
        <v>227</v>
      </c>
      <c r="BZ12" s="187" t="s">
        <v>227</v>
      </c>
      <c r="CA12" s="175" t="s">
        <v>227</v>
      </c>
      <c r="CB12" s="176" t="s">
        <v>227</v>
      </c>
      <c r="CC12" s="177" t="s">
        <v>227</v>
      </c>
      <c r="CD12" s="179" t="s">
        <v>227</v>
      </c>
      <c r="CE12" s="188" t="s">
        <v>227</v>
      </c>
      <c r="CF12" s="189" t="s">
        <v>227</v>
      </c>
      <c r="CG12" s="186" t="s">
        <v>227</v>
      </c>
      <c r="CH12" s="187" t="s">
        <v>227</v>
      </c>
      <c r="CI12" s="188" t="s">
        <v>227</v>
      </c>
      <c r="CJ12" s="177" t="s">
        <v>227</v>
      </c>
      <c r="CK12" s="183" t="s">
        <v>227</v>
      </c>
      <c r="CL12" s="180" t="s">
        <v>227</v>
      </c>
      <c r="CM12" s="179" t="s">
        <v>227</v>
      </c>
      <c r="CN12" s="175" t="s">
        <v>227</v>
      </c>
      <c r="CO12" s="182" t="s">
        <v>227</v>
      </c>
      <c r="CP12" s="181" t="s">
        <v>227</v>
      </c>
      <c r="CQ12" s="176" t="s">
        <v>227</v>
      </c>
      <c r="CR12" s="177" t="s">
        <v>227</v>
      </c>
      <c r="CS12" s="180" t="s">
        <v>227</v>
      </c>
      <c r="CT12" s="180" t="s">
        <v>227</v>
      </c>
      <c r="CU12" s="180" t="s">
        <v>227</v>
      </c>
      <c r="CV12" s="180" t="s">
        <v>227</v>
      </c>
      <c r="CW12" s="179" t="s">
        <v>227</v>
      </c>
      <c r="CX12" s="188" t="s">
        <v>227</v>
      </c>
      <c r="CY12" s="174" t="s">
        <v>227</v>
      </c>
      <c r="CZ12" s="188" t="s">
        <v>227</v>
      </c>
      <c r="DA12" s="174" t="s">
        <v>227</v>
      </c>
      <c r="DB12" s="188" t="s">
        <v>227</v>
      </c>
      <c r="DC12" s="190" t="s">
        <v>227</v>
      </c>
      <c r="DD12" s="203" t="s">
        <v>244</v>
      </c>
      <c r="DE12" s="192">
        <v>7</v>
      </c>
      <c r="DF12" s="204">
        <v>60</v>
      </c>
      <c r="DG12" s="194"/>
      <c r="DH12" s="195"/>
      <c r="DI12" s="195"/>
      <c r="DJ12" s="195"/>
      <c r="DK12" s="195"/>
      <c r="DL12" s="195"/>
      <c r="DM12" s="196"/>
      <c r="DN12" s="196"/>
      <c r="DO12" s="196"/>
      <c r="DP12" s="195"/>
      <c r="DQ12" s="196">
        <v>0</v>
      </c>
      <c r="DR12" s="196">
        <v>2</v>
      </c>
      <c r="DS12" s="196">
        <v>3.75</v>
      </c>
      <c r="DT12" s="196">
        <v>3.75</v>
      </c>
      <c r="DU12" s="196">
        <v>0.625</v>
      </c>
      <c r="DV12" s="196">
        <v>2.3625000000000003</v>
      </c>
      <c r="DW12" s="196">
        <v>2.0124999999999997</v>
      </c>
      <c r="DX12" s="196">
        <v>10.125</v>
      </c>
      <c r="DY12" s="196">
        <v>0</v>
      </c>
      <c r="DZ12" s="196">
        <v>0</v>
      </c>
      <c r="EA12" s="196">
        <v>0</v>
      </c>
      <c r="EB12" s="196">
        <v>0</v>
      </c>
      <c r="EC12" s="196">
        <v>0</v>
      </c>
      <c r="ED12" s="197" t="s">
        <v>251</v>
      </c>
      <c r="EE12" s="50" t="s">
        <v>220</v>
      </c>
      <c r="EF12" s="50" t="s">
        <v>232</v>
      </c>
      <c r="EG12" s="50" t="s">
        <v>233</v>
      </c>
      <c r="EH12" s="50" t="s">
        <v>252</v>
      </c>
      <c r="EI12" s="50" t="s">
        <v>252</v>
      </c>
      <c r="EJ12" s="74">
        <v>52</v>
      </c>
      <c r="EL12" s="50">
        <v>2.3625000000000003</v>
      </c>
      <c r="EM12" s="50">
        <v>2.0124999999999997</v>
      </c>
      <c r="EN12" s="50" t="s">
        <v>253</v>
      </c>
      <c r="EO12" s="132">
        <v>0.4</v>
      </c>
      <c r="EP12" s="132">
        <v>0</v>
      </c>
      <c r="EQ12" s="132">
        <v>0.4</v>
      </c>
      <c r="ER12" s="132">
        <v>2.3625000000000003</v>
      </c>
      <c r="ES12" s="132">
        <v>0.47250000000000009</v>
      </c>
      <c r="ET12" s="132">
        <v>3.75</v>
      </c>
      <c r="EU12" s="196">
        <v>2.0124999999999997</v>
      </c>
      <c r="EV12" s="198"/>
      <c r="EX12" s="163"/>
      <c r="EY12" s="163"/>
      <c r="EZ12" s="163"/>
      <c r="FA12" s="163"/>
      <c r="FB12" s="163"/>
      <c r="FC12" s="163"/>
      <c r="FD12" s="163"/>
      <c r="FE12" s="50" t="str">
        <f t="shared" si="1"/>
        <v>4_1_1</v>
      </c>
      <c r="FF12" s="198">
        <f t="shared" si="2"/>
        <v>2</v>
      </c>
      <c r="FG12" s="198">
        <f t="shared" si="3"/>
        <v>3.75</v>
      </c>
      <c r="FI12" s="198">
        <f t="shared" si="4"/>
        <v>0.625</v>
      </c>
      <c r="FJ12" s="198">
        <f t="shared" si="5"/>
        <v>2.3625000000000003</v>
      </c>
      <c r="FK12" s="198">
        <f t="shared" si="6"/>
        <v>2.0124999999999997</v>
      </c>
    </row>
    <row r="13" spans="1:167" ht="30" customHeight="1">
      <c r="F13" s="165">
        <v>4</v>
      </c>
      <c r="G13" s="166">
        <v>1</v>
      </c>
      <c r="H13" s="166">
        <v>2</v>
      </c>
      <c r="I13" s="167"/>
      <c r="J13" s="168"/>
      <c r="K13" s="169" t="s">
        <v>9</v>
      </c>
      <c r="L13" s="169"/>
      <c r="M13" s="170"/>
      <c r="N13" s="171" t="s">
        <v>254</v>
      </c>
      <c r="O13" s="172"/>
      <c r="P13" s="172"/>
      <c r="Q13" s="205" t="s">
        <v>250</v>
      </c>
      <c r="R13" s="205"/>
      <c r="S13" s="171"/>
      <c r="T13" s="171"/>
      <c r="U13" s="174" t="s">
        <v>229</v>
      </c>
      <c r="V13" s="175" t="s">
        <v>227</v>
      </c>
      <c r="W13" s="175" t="s">
        <v>227</v>
      </c>
      <c r="X13" s="177" t="s">
        <v>227</v>
      </c>
      <c r="Y13" s="177" t="s">
        <v>227</v>
      </c>
      <c r="Z13" s="177" t="s">
        <v>227</v>
      </c>
      <c r="AA13" s="175" t="s">
        <v>227</v>
      </c>
      <c r="AB13" s="176" t="s">
        <v>227</v>
      </c>
      <c r="AC13" s="177" t="s">
        <v>227</v>
      </c>
      <c r="AD13" s="180" t="s">
        <v>227</v>
      </c>
      <c r="AE13" s="180" t="s">
        <v>227</v>
      </c>
      <c r="AF13" s="180" t="s">
        <v>227</v>
      </c>
      <c r="AG13" s="179" t="s">
        <v>227</v>
      </c>
      <c r="AH13" s="175" t="s">
        <v>227</v>
      </c>
      <c r="AI13" s="181" t="s">
        <v>227</v>
      </c>
      <c r="AJ13" s="176" t="s">
        <v>227</v>
      </c>
      <c r="AK13" s="177" t="s">
        <v>227</v>
      </c>
      <c r="AL13" s="179" t="s">
        <v>227</v>
      </c>
      <c r="AM13" s="175" t="s">
        <v>227</v>
      </c>
      <c r="AN13" s="176" t="s">
        <v>227</v>
      </c>
      <c r="AO13" s="177" t="s">
        <v>227</v>
      </c>
      <c r="AP13" s="177" t="s">
        <v>227</v>
      </c>
      <c r="AQ13" s="175" t="s">
        <v>227</v>
      </c>
      <c r="AR13" s="182" t="s">
        <v>227</v>
      </c>
      <c r="AS13" s="181" t="s">
        <v>227</v>
      </c>
      <c r="AT13" s="181" t="s">
        <v>227</v>
      </c>
      <c r="AU13" s="181" t="s">
        <v>227</v>
      </c>
      <c r="AV13" s="181" t="s">
        <v>227</v>
      </c>
      <c r="AW13" s="176" t="s">
        <v>227</v>
      </c>
      <c r="AX13" s="177" t="s">
        <v>227</v>
      </c>
      <c r="AY13" s="180" t="s">
        <v>227</v>
      </c>
      <c r="AZ13" s="180" t="s">
        <v>227</v>
      </c>
      <c r="BA13" s="179" t="s">
        <v>227</v>
      </c>
      <c r="BB13" s="175" t="s">
        <v>227</v>
      </c>
      <c r="BC13" s="176" t="s">
        <v>227</v>
      </c>
      <c r="BD13" s="177" t="s">
        <v>227</v>
      </c>
      <c r="BE13" s="179" t="s">
        <v>227</v>
      </c>
      <c r="BF13" s="175" t="s">
        <v>227</v>
      </c>
      <c r="BG13" s="176" t="s">
        <v>227</v>
      </c>
      <c r="BH13" s="177" t="s">
        <v>227</v>
      </c>
      <c r="BI13" s="183" t="s">
        <v>227</v>
      </c>
      <c r="BJ13" s="180" t="s">
        <v>227</v>
      </c>
      <c r="BK13" s="180" t="s">
        <v>227</v>
      </c>
      <c r="BL13" s="184" t="s">
        <v>227</v>
      </c>
      <c r="BM13" s="179" t="s">
        <v>227</v>
      </c>
      <c r="BN13" s="175" t="s">
        <v>227</v>
      </c>
      <c r="BO13" s="185" t="s">
        <v>227</v>
      </c>
      <c r="BP13" s="176" t="s">
        <v>227</v>
      </c>
      <c r="BQ13" s="177" t="s">
        <v>227</v>
      </c>
      <c r="BR13" s="179" t="s">
        <v>227</v>
      </c>
      <c r="BS13" s="175" t="s">
        <v>227</v>
      </c>
      <c r="BT13" s="176" t="s">
        <v>227</v>
      </c>
      <c r="BU13" s="177" t="s">
        <v>227</v>
      </c>
      <c r="BV13" s="180" t="s">
        <v>227</v>
      </c>
      <c r="BW13" s="186" t="s">
        <v>227</v>
      </c>
      <c r="BX13" s="180" t="s">
        <v>227</v>
      </c>
      <c r="BY13" s="180" t="s">
        <v>227</v>
      </c>
      <c r="BZ13" s="187" t="s">
        <v>227</v>
      </c>
      <c r="CA13" s="175" t="s">
        <v>227</v>
      </c>
      <c r="CB13" s="176" t="s">
        <v>227</v>
      </c>
      <c r="CC13" s="177" t="s">
        <v>227</v>
      </c>
      <c r="CD13" s="179" t="s">
        <v>227</v>
      </c>
      <c r="CE13" s="188" t="s">
        <v>227</v>
      </c>
      <c r="CF13" s="189" t="s">
        <v>227</v>
      </c>
      <c r="CG13" s="186" t="s">
        <v>227</v>
      </c>
      <c r="CH13" s="187" t="s">
        <v>227</v>
      </c>
      <c r="CI13" s="188" t="s">
        <v>227</v>
      </c>
      <c r="CJ13" s="177" t="s">
        <v>227</v>
      </c>
      <c r="CK13" s="183" t="s">
        <v>227</v>
      </c>
      <c r="CL13" s="180" t="s">
        <v>227</v>
      </c>
      <c r="CM13" s="179" t="s">
        <v>227</v>
      </c>
      <c r="CN13" s="175" t="s">
        <v>227</v>
      </c>
      <c r="CO13" s="182" t="s">
        <v>227</v>
      </c>
      <c r="CP13" s="181" t="s">
        <v>227</v>
      </c>
      <c r="CQ13" s="176" t="s">
        <v>227</v>
      </c>
      <c r="CR13" s="177" t="s">
        <v>227</v>
      </c>
      <c r="CS13" s="180" t="s">
        <v>227</v>
      </c>
      <c r="CT13" s="180" t="s">
        <v>227</v>
      </c>
      <c r="CU13" s="180" t="s">
        <v>227</v>
      </c>
      <c r="CV13" s="180" t="s">
        <v>227</v>
      </c>
      <c r="CW13" s="179" t="s">
        <v>227</v>
      </c>
      <c r="CX13" s="188" t="s">
        <v>227</v>
      </c>
      <c r="CY13" s="174" t="s">
        <v>227</v>
      </c>
      <c r="CZ13" s="188" t="s">
        <v>227</v>
      </c>
      <c r="DA13" s="174" t="s">
        <v>227</v>
      </c>
      <c r="DB13" s="188" t="s">
        <v>227</v>
      </c>
      <c r="DC13" s="190" t="s">
        <v>227</v>
      </c>
      <c r="DD13" s="203" t="s">
        <v>244</v>
      </c>
      <c r="DE13" s="192">
        <v>1</v>
      </c>
      <c r="DF13" s="204">
        <v>80</v>
      </c>
      <c r="DG13" s="194"/>
      <c r="DH13" s="195"/>
      <c r="DI13" s="195"/>
      <c r="DJ13" s="195"/>
      <c r="DK13" s="195"/>
      <c r="DL13" s="195"/>
      <c r="DM13" s="196"/>
      <c r="DN13" s="196"/>
      <c r="DO13" s="196"/>
      <c r="DP13" s="195"/>
      <c r="DQ13" s="196">
        <v>0</v>
      </c>
      <c r="DR13" s="196">
        <v>1.25</v>
      </c>
      <c r="DS13" s="196">
        <v>2.25</v>
      </c>
      <c r="DT13" s="196">
        <v>2.25</v>
      </c>
      <c r="DU13" s="196">
        <v>0.375</v>
      </c>
      <c r="DV13" s="196">
        <v>1.4175</v>
      </c>
      <c r="DW13" s="196">
        <v>1.2075</v>
      </c>
      <c r="DX13" s="196">
        <v>6.125</v>
      </c>
      <c r="DY13" s="196">
        <v>0</v>
      </c>
      <c r="DZ13" s="196">
        <v>0</v>
      </c>
      <c r="EA13" s="196">
        <v>0</v>
      </c>
      <c r="EB13" s="196">
        <v>0</v>
      </c>
      <c r="EC13" s="196">
        <v>0</v>
      </c>
      <c r="ED13" s="197" t="s">
        <v>255</v>
      </c>
      <c r="EE13" s="50" t="s">
        <v>220</v>
      </c>
      <c r="EF13" s="50" t="s">
        <v>232</v>
      </c>
      <c r="EG13" s="50" t="s">
        <v>233</v>
      </c>
      <c r="EH13" s="50" t="s">
        <v>252</v>
      </c>
      <c r="EI13" s="50" t="s">
        <v>252</v>
      </c>
      <c r="EJ13" s="74">
        <v>52</v>
      </c>
      <c r="EL13" s="50">
        <v>1.4175</v>
      </c>
      <c r="EM13" s="50">
        <v>1.2075</v>
      </c>
      <c r="EN13" s="50" t="s">
        <v>253</v>
      </c>
      <c r="EO13" s="132">
        <v>0.25</v>
      </c>
      <c r="EP13" s="132">
        <v>0</v>
      </c>
      <c r="EQ13" s="132">
        <v>0.25</v>
      </c>
      <c r="ER13" s="132">
        <v>1.4175</v>
      </c>
      <c r="ES13" s="132">
        <v>0.28350000000000003</v>
      </c>
      <c r="ET13" s="132">
        <v>2.25</v>
      </c>
      <c r="EU13" s="196">
        <v>1.2075</v>
      </c>
      <c r="EV13" s="198"/>
      <c r="EX13" s="163"/>
      <c r="EY13" s="163"/>
      <c r="EZ13" s="163"/>
      <c r="FA13" s="163"/>
      <c r="FB13" s="163"/>
      <c r="FC13" s="163"/>
      <c r="FD13" s="163"/>
      <c r="FE13" s="50" t="str">
        <f t="shared" si="1"/>
        <v>4_1_2</v>
      </c>
      <c r="FF13" s="198">
        <f t="shared" si="2"/>
        <v>1.25</v>
      </c>
      <c r="FG13" s="198">
        <f t="shared" si="3"/>
        <v>2.25</v>
      </c>
      <c r="FI13" s="198">
        <f t="shared" si="4"/>
        <v>0.375</v>
      </c>
      <c r="FJ13" s="198">
        <f t="shared" si="5"/>
        <v>1.4175</v>
      </c>
      <c r="FK13" s="198">
        <f t="shared" si="6"/>
        <v>1.2075</v>
      </c>
    </row>
    <row r="14" spans="1:167" ht="27.75" customHeight="1">
      <c r="F14" s="165">
        <v>4</v>
      </c>
      <c r="G14" s="166">
        <v>2</v>
      </c>
      <c r="H14" s="166"/>
      <c r="I14" s="167"/>
      <c r="J14" s="168"/>
      <c r="K14" s="169" t="s">
        <v>8</v>
      </c>
      <c r="L14" s="169"/>
      <c r="M14" s="170"/>
      <c r="N14" s="171" t="s">
        <v>256</v>
      </c>
      <c r="O14" s="172"/>
      <c r="P14" s="172"/>
      <c r="Q14" s="205" t="s">
        <v>250</v>
      </c>
      <c r="R14" s="205"/>
      <c r="S14" s="171"/>
      <c r="T14" s="171"/>
      <c r="U14" s="174" t="s">
        <v>257</v>
      </c>
      <c r="V14" s="175" t="s">
        <v>257</v>
      </c>
      <c r="W14" s="176" t="s">
        <v>257</v>
      </c>
      <c r="X14" s="177" t="s">
        <v>257</v>
      </c>
      <c r="Y14" s="178" t="s">
        <v>257</v>
      </c>
      <c r="Z14" s="179" t="s">
        <v>257</v>
      </c>
      <c r="AA14" s="175" t="s">
        <v>257</v>
      </c>
      <c r="AB14" s="176" t="s">
        <v>257</v>
      </c>
      <c r="AC14" s="177" t="s">
        <v>227</v>
      </c>
      <c r="AD14" s="180" t="s">
        <v>227</v>
      </c>
      <c r="AE14" s="180" t="s">
        <v>227</v>
      </c>
      <c r="AF14" s="180" t="s">
        <v>227</v>
      </c>
      <c r="AG14" s="179" t="s">
        <v>227</v>
      </c>
      <c r="AH14" s="175" t="s">
        <v>227</v>
      </c>
      <c r="AI14" s="181" t="s">
        <v>227</v>
      </c>
      <c r="AJ14" s="176" t="s">
        <v>227</v>
      </c>
      <c r="AK14" s="177" t="s">
        <v>257</v>
      </c>
      <c r="AL14" s="179" t="s">
        <v>257</v>
      </c>
      <c r="AM14" s="175" t="s">
        <v>227</v>
      </c>
      <c r="AN14" s="176" t="s">
        <v>227</v>
      </c>
      <c r="AO14" s="177" t="s">
        <v>257</v>
      </c>
      <c r="AP14" s="179" t="s">
        <v>257</v>
      </c>
      <c r="AQ14" s="175" t="s">
        <v>227</v>
      </c>
      <c r="AR14" s="182" t="s">
        <v>227</v>
      </c>
      <c r="AS14" s="181" t="s">
        <v>227</v>
      </c>
      <c r="AT14" s="181" t="s">
        <v>227</v>
      </c>
      <c r="AU14" s="181" t="s">
        <v>227</v>
      </c>
      <c r="AV14" s="181" t="s">
        <v>227</v>
      </c>
      <c r="AW14" s="176" t="s">
        <v>227</v>
      </c>
      <c r="AX14" s="177" t="s">
        <v>227</v>
      </c>
      <c r="AY14" s="180" t="s">
        <v>227</v>
      </c>
      <c r="AZ14" s="180" t="s">
        <v>227</v>
      </c>
      <c r="BA14" s="179" t="s">
        <v>227</v>
      </c>
      <c r="BB14" s="175" t="s">
        <v>257</v>
      </c>
      <c r="BC14" s="176" t="s">
        <v>257</v>
      </c>
      <c r="BD14" s="177" t="s">
        <v>257</v>
      </c>
      <c r="BE14" s="179" t="s">
        <v>257</v>
      </c>
      <c r="BF14" s="175" t="s">
        <v>227</v>
      </c>
      <c r="BG14" s="176" t="s">
        <v>227</v>
      </c>
      <c r="BH14" s="177" t="s">
        <v>227</v>
      </c>
      <c r="BI14" s="183" t="s">
        <v>227</v>
      </c>
      <c r="BJ14" s="180" t="s">
        <v>227</v>
      </c>
      <c r="BK14" s="180" t="s">
        <v>227</v>
      </c>
      <c r="BL14" s="184" t="s">
        <v>227</v>
      </c>
      <c r="BM14" s="179" t="s">
        <v>227</v>
      </c>
      <c r="BN14" s="175" t="s">
        <v>227</v>
      </c>
      <c r="BO14" s="185" t="s">
        <v>227</v>
      </c>
      <c r="BP14" s="176" t="s">
        <v>227</v>
      </c>
      <c r="BQ14" s="177" t="s">
        <v>227</v>
      </c>
      <c r="BR14" s="179" t="s">
        <v>227</v>
      </c>
      <c r="BS14" s="175" t="s">
        <v>227</v>
      </c>
      <c r="BT14" s="176" t="s">
        <v>227</v>
      </c>
      <c r="BU14" s="177" t="s">
        <v>227</v>
      </c>
      <c r="BV14" s="180" t="s">
        <v>227</v>
      </c>
      <c r="BW14" s="186" t="s">
        <v>227</v>
      </c>
      <c r="BX14" s="180" t="s">
        <v>227</v>
      </c>
      <c r="BY14" s="180" t="s">
        <v>227</v>
      </c>
      <c r="BZ14" s="187" t="s">
        <v>227</v>
      </c>
      <c r="CA14" s="175" t="s">
        <v>227</v>
      </c>
      <c r="CB14" s="176" t="s">
        <v>227</v>
      </c>
      <c r="CC14" s="177" t="s">
        <v>227</v>
      </c>
      <c r="CD14" s="179" t="s">
        <v>227</v>
      </c>
      <c r="CE14" s="188" t="s">
        <v>227</v>
      </c>
      <c r="CF14" s="189" t="s">
        <v>227</v>
      </c>
      <c r="CG14" s="186" t="s">
        <v>227</v>
      </c>
      <c r="CH14" s="187" t="s">
        <v>227</v>
      </c>
      <c r="CI14" s="188" t="s">
        <v>227</v>
      </c>
      <c r="CJ14" s="177" t="s">
        <v>257</v>
      </c>
      <c r="CK14" s="183" t="s">
        <v>257</v>
      </c>
      <c r="CL14" s="180" t="s">
        <v>227</v>
      </c>
      <c r="CM14" s="179" t="s">
        <v>227</v>
      </c>
      <c r="CN14" s="175" t="s">
        <v>227</v>
      </c>
      <c r="CO14" s="182" t="s">
        <v>227</v>
      </c>
      <c r="CP14" s="181" t="s">
        <v>227</v>
      </c>
      <c r="CQ14" s="176" t="s">
        <v>227</v>
      </c>
      <c r="CR14" s="177" t="s">
        <v>227</v>
      </c>
      <c r="CS14" s="180" t="s">
        <v>227</v>
      </c>
      <c r="CT14" s="180" t="s">
        <v>227</v>
      </c>
      <c r="CU14" s="180" t="s">
        <v>227</v>
      </c>
      <c r="CV14" s="180" t="s">
        <v>227</v>
      </c>
      <c r="CW14" s="179" t="s">
        <v>227</v>
      </c>
      <c r="CX14" s="188" t="s">
        <v>227</v>
      </c>
      <c r="CY14" s="174" t="s">
        <v>227</v>
      </c>
      <c r="CZ14" s="188" t="s">
        <v>227</v>
      </c>
      <c r="DA14" s="174" t="s">
        <v>227</v>
      </c>
      <c r="DB14" s="188" t="s">
        <v>227</v>
      </c>
      <c r="DC14" s="190" t="s">
        <v>227</v>
      </c>
      <c r="DD14" s="206" t="s">
        <v>258</v>
      </c>
      <c r="DE14" s="192">
        <v>18</v>
      </c>
      <c r="DF14" s="207">
        <v>60</v>
      </c>
      <c r="DG14" s="194"/>
      <c r="DH14" s="195"/>
      <c r="DI14" s="195"/>
      <c r="DJ14" s="195"/>
      <c r="DK14" s="195"/>
      <c r="DL14" s="195"/>
      <c r="DM14" s="196"/>
      <c r="DN14" s="196"/>
      <c r="DO14" s="196"/>
      <c r="DP14" s="195"/>
      <c r="DQ14" s="196">
        <v>0</v>
      </c>
      <c r="DR14" s="196">
        <v>4</v>
      </c>
      <c r="DS14" s="196">
        <v>7.5</v>
      </c>
      <c r="DT14" s="196">
        <v>7.5</v>
      </c>
      <c r="DU14" s="196">
        <v>1.25</v>
      </c>
      <c r="DV14" s="196">
        <v>4.7250000000000005</v>
      </c>
      <c r="DW14" s="196">
        <v>4.0249999999999995</v>
      </c>
      <c r="DX14" s="196">
        <v>20.25</v>
      </c>
      <c r="DY14" s="196"/>
      <c r="DZ14" s="196"/>
      <c r="EA14" s="196"/>
      <c r="EB14" s="196"/>
      <c r="EC14" s="196">
        <v>0</v>
      </c>
      <c r="ED14" s="201" t="s">
        <v>259</v>
      </c>
      <c r="EE14" s="50" t="s">
        <v>220</v>
      </c>
      <c r="EF14" s="50" t="s">
        <v>232</v>
      </c>
      <c r="EG14" s="50" t="s">
        <v>233</v>
      </c>
      <c r="EH14" s="50" t="s">
        <v>252</v>
      </c>
      <c r="EI14" s="50" t="s">
        <v>252</v>
      </c>
      <c r="EJ14" s="74">
        <v>52</v>
      </c>
      <c r="EL14" s="50">
        <v>4.7250000000000005</v>
      </c>
      <c r="EM14" s="50">
        <v>4.0249999999999995</v>
      </c>
      <c r="EN14" s="50" t="s">
        <v>253</v>
      </c>
      <c r="EO14" s="132">
        <v>0.8</v>
      </c>
      <c r="EP14" s="132">
        <v>0</v>
      </c>
      <c r="EQ14" s="132">
        <v>0.8</v>
      </c>
      <c r="ER14" s="132">
        <v>4.7250000000000005</v>
      </c>
      <c r="ES14" s="132">
        <v>0.94500000000000017</v>
      </c>
      <c r="ET14" s="132">
        <v>7.5</v>
      </c>
      <c r="EU14" s="196">
        <v>4.0249999999999995</v>
      </c>
      <c r="EV14" s="198"/>
      <c r="EX14" s="163"/>
      <c r="EY14" s="163"/>
      <c r="EZ14" s="163"/>
      <c r="FA14" s="163"/>
      <c r="FB14" s="163"/>
      <c r="FC14" s="163"/>
      <c r="FD14" s="163"/>
      <c r="FE14" s="50" t="str">
        <f t="shared" si="1"/>
        <v>4_2</v>
      </c>
      <c r="FF14" s="198">
        <f t="shared" si="2"/>
        <v>4</v>
      </c>
      <c r="FG14" s="198">
        <f t="shared" si="3"/>
        <v>7.5</v>
      </c>
      <c r="FI14" s="198">
        <f t="shared" si="4"/>
        <v>1.25</v>
      </c>
      <c r="FJ14" s="198">
        <f t="shared" si="5"/>
        <v>4.7250000000000005</v>
      </c>
      <c r="FK14" s="198">
        <f t="shared" si="6"/>
        <v>4.0249999999999995</v>
      </c>
    </row>
    <row r="15" spans="1:167" ht="51" customHeight="1">
      <c r="F15" s="165">
        <v>4</v>
      </c>
      <c r="G15" s="166">
        <v>3</v>
      </c>
      <c r="H15" s="166"/>
      <c r="I15" s="167"/>
      <c r="J15" s="168"/>
      <c r="K15" s="169" t="s">
        <v>260</v>
      </c>
      <c r="L15" s="169"/>
      <c r="M15" s="170"/>
      <c r="N15" s="171" t="s">
        <v>261</v>
      </c>
      <c r="O15" s="172"/>
      <c r="P15" s="172"/>
      <c r="Q15" s="205" t="s">
        <v>250</v>
      </c>
      <c r="R15" s="205"/>
      <c r="S15" s="171"/>
      <c r="T15" s="171"/>
      <c r="U15" s="174" t="s">
        <v>227</v>
      </c>
      <c r="V15" s="175" t="s">
        <v>227</v>
      </c>
      <c r="W15" s="176" t="s">
        <v>227</v>
      </c>
      <c r="X15" s="177" t="s">
        <v>227</v>
      </c>
      <c r="Y15" s="178" t="s">
        <v>227</v>
      </c>
      <c r="Z15" s="179" t="s">
        <v>227</v>
      </c>
      <c r="AA15" s="175" t="s">
        <v>227</v>
      </c>
      <c r="AB15" s="176" t="s">
        <v>227</v>
      </c>
      <c r="AC15" s="177" t="s">
        <v>227</v>
      </c>
      <c r="AD15" s="180" t="s">
        <v>227</v>
      </c>
      <c r="AE15" s="180" t="s">
        <v>227</v>
      </c>
      <c r="AF15" s="180" t="s">
        <v>227</v>
      </c>
      <c r="AG15" s="179" t="s">
        <v>227</v>
      </c>
      <c r="AH15" s="175" t="s">
        <v>227</v>
      </c>
      <c r="AI15" s="181" t="s">
        <v>227</v>
      </c>
      <c r="AJ15" s="176" t="s">
        <v>227</v>
      </c>
      <c r="AK15" s="177" t="s">
        <v>229</v>
      </c>
      <c r="AL15" s="179" t="s">
        <v>229</v>
      </c>
      <c r="AM15" s="175" t="s">
        <v>227</v>
      </c>
      <c r="AN15" s="176" t="s">
        <v>227</v>
      </c>
      <c r="AO15" s="177" t="s">
        <v>227</v>
      </c>
      <c r="AP15" s="179" t="s">
        <v>227</v>
      </c>
      <c r="AQ15" s="175" t="s">
        <v>227</v>
      </c>
      <c r="AR15" s="182" t="s">
        <v>227</v>
      </c>
      <c r="AS15" s="181" t="s">
        <v>227</v>
      </c>
      <c r="AT15" s="181" t="s">
        <v>227</v>
      </c>
      <c r="AU15" s="181" t="s">
        <v>227</v>
      </c>
      <c r="AV15" s="181" t="s">
        <v>227</v>
      </c>
      <c r="AW15" s="176" t="s">
        <v>227</v>
      </c>
      <c r="AX15" s="177" t="s">
        <v>227</v>
      </c>
      <c r="AY15" s="180" t="s">
        <v>227</v>
      </c>
      <c r="AZ15" s="180" t="s">
        <v>227</v>
      </c>
      <c r="BA15" s="179" t="s">
        <v>227</v>
      </c>
      <c r="BB15" s="175" t="s">
        <v>227</v>
      </c>
      <c r="BC15" s="176" t="s">
        <v>227</v>
      </c>
      <c r="BD15" s="177" t="s">
        <v>227</v>
      </c>
      <c r="BE15" s="179" t="s">
        <v>227</v>
      </c>
      <c r="BF15" s="175" t="s">
        <v>227</v>
      </c>
      <c r="BG15" s="176" t="s">
        <v>227</v>
      </c>
      <c r="BH15" s="177" t="s">
        <v>227</v>
      </c>
      <c r="BI15" s="183" t="s">
        <v>227</v>
      </c>
      <c r="BJ15" s="180" t="s">
        <v>227</v>
      </c>
      <c r="BK15" s="180" t="s">
        <v>227</v>
      </c>
      <c r="BL15" s="184" t="s">
        <v>227</v>
      </c>
      <c r="BM15" s="179" t="s">
        <v>227</v>
      </c>
      <c r="BN15" s="175" t="s">
        <v>227</v>
      </c>
      <c r="BO15" s="185" t="s">
        <v>227</v>
      </c>
      <c r="BP15" s="176" t="s">
        <v>227</v>
      </c>
      <c r="BQ15" s="177" t="s">
        <v>227</v>
      </c>
      <c r="BR15" s="179" t="s">
        <v>227</v>
      </c>
      <c r="BS15" s="175" t="s">
        <v>227</v>
      </c>
      <c r="BT15" s="176" t="s">
        <v>227</v>
      </c>
      <c r="BU15" s="177" t="s">
        <v>227</v>
      </c>
      <c r="BV15" s="180" t="s">
        <v>227</v>
      </c>
      <c r="BW15" s="186" t="s">
        <v>227</v>
      </c>
      <c r="BX15" s="180" t="s">
        <v>227</v>
      </c>
      <c r="BY15" s="180" t="s">
        <v>227</v>
      </c>
      <c r="BZ15" s="187" t="s">
        <v>227</v>
      </c>
      <c r="CA15" s="175" t="s">
        <v>227</v>
      </c>
      <c r="CB15" s="176" t="s">
        <v>227</v>
      </c>
      <c r="CC15" s="177" t="s">
        <v>227</v>
      </c>
      <c r="CD15" s="179" t="s">
        <v>227</v>
      </c>
      <c r="CE15" s="188" t="s">
        <v>227</v>
      </c>
      <c r="CF15" s="189" t="s">
        <v>227</v>
      </c>
      <c r="CG15" s="186" t="s">
        <v>227</v>
      </c>
      <c r="CH15" s="187" t="s">
        <v>227</v>
      </c>
      <c r="CI15" s="188" t="s">
        <v>227</v>
      </c>
      <c r="CJ15" s="177" t="s">
        <v>227</v>
      </c>
      <c r="CK15" s="183" t="s">
        <v>227</v>
      </c>
      <c r="CL15" s="180" t="s">
        <v>227</v>
      </c>
      <c r="CM15" s="179" t="s">
        <v>227</v>
      </c>
      <c r="CN15" s="175" t="s">
        <v>227</v>
      </c>
      <c r="CO15" s="182" t="s">
        <v>227</v>
      </c>
      <c r="CP15" s="181" t="s">
        <v>227</v>
      </c>
      <c r="CQ15" s="176" t="s">
        <v>227</v>
      </c>
      <c r="CR15" s="177" t="s">
        <v>227</v>
      </c>
      <c r="CS15" s="180" t="s">
        <v>227</v>
      </c>
      <c r="CT15" s="180" t="s">
        <v>227</v>
      </c>
      <c r="CU15" s="180" t="s">
        <v>227</v>
      </c>
      <c r="CV15" s="180" t="s">
        <v>227</v>
      </c>
      <c r="CW15" s="179" t="s">
        <v>227</v>
      </c>
      <c r="CX15" s="188" t="s">
        <v>227</v>
      </c>
      <c r="CY15" s="174" t="s">
        <v>227</v>
      </c>
      <c r="CZ15" s="188" t="s">
        <v>227</v>
      </c>
      <c r="DA15" s="174" t="s">
        <v>227</v>
      </c>
      <c r="DB15" s="188" t="s">
        <v>227</v>
      </c>
      <c r="DC15" s="190" t="s">
        <v>227</v>
      </c>
      <c r="DD15" s="203" t="s">
        <v>244</v>
      </c>
      <c r="DE15" s="192">
        <v>2</v>
      </c>
      <c r="DF15" s="204">
        <v>180</v>
      </c>
      <c r="DG15" s="194"/>
      <c r="DH15" s="195"/>
      <c r="DI15" s="195"/>
      <c r="DJ15" s="195"/>
      <c r="DK15" s="195"/>
      <c r="DL15" s="195"/>
      <c r="DM15" s="196"/>
      <c r="DN15" s="196"/>
      <c r="DO15" s="196"/>
      <c r="DP15" s="195"/>
      <c r="DQ15" s="196">
        <v>0</v>
      </c>
      <c r="DR15" s="196">
        <v>3.25</v>
      </c>
      <c r="DS15" s="196">
        <v>6.125</v>
      </c>
      <c r="DT15" s="196">
        <v>6.125</v>
      </c>
      <c r="DU15" s="196">
        <v>1</v>
      </c>
      <c r="DV15" s="196">
        <v>3.8475000000000001</v>
      </c>
      <c r="DW15" s="196">
        <v>3.2774999999999999</v>
      </c>
      <c r="DX15" s="196">
        <v>16.5</v>
      </c>
      <c r="DY15" s="196"/>
      <c r="DZ15" s="196"/>
      <c r="EA15" s="196"/>
      <c r="EB15" s="196"/>
      <c r="EC15" s="196">
        <v>0</v>
      </c>
      <c r="ED15" s="197" t="s">
        <v>262</v>
      </c>
      <c r="EE15" s="50" t="s">
        <v>220</v>
      </c>
      <c r="EF15" s="50" t="s">
        <v>232</v>
      </c>
      <c r="EG15" s="50" t="s">
        <v>233</v>
      </c>
      <c r="EH15" s="50" t="s">
        <v>252</v>
      </c>
      <c r="EI15" s="50" t="s">
        <v>252</v>
      </c>
      <c r="EJ15" s="74">
        <v>52</v>
      </c>
      <c r="EL15" s="50">
        <v>3.8475000000000001</v>
      </c>
      <c r="EM15" s="50">
        <v>3.2774999999999999</v>
      </c>
      <c r="EN15" s="50" t="s">
        <v>253</v>
      </c>
      <c r="EO15" s="132">
        <v>0.65</v>
      </c>
      <c r="EP15" s="132">
        <v>0</v>
      </c>
      <c r="EQ15" s="132">
        <v>0.65</v>
      </c>
      <c r="ER15" s="132">
        <v>3.8475000000000001</v>
      </c>
      <c r="ES15" s="132">
        <v>0.76950000000000007</v>
      </c>
      <c r="ET15" s="132">
        <v>6.125</v>
      </c>
      <c r="EU15" s="196">
        <v>3.2774999999999999</v>
      </c>
      <c r="EV15" s="198"/>
      <c r="EX15" s="163"/>
      <c r="EY15" s="163"/>
      <c r="EZ15" s="163"/>
      <c r="FA15" s="163"/>
      <c r="FB15" s="163"/>
      <c r="FC15" s="163"/>
      <c r="FD15" s="163"/>
      <c r="FE15" s="50" t="str">
        <f t="shared" si="1"/>
        <v>4_3</v>
      </c>
      <c r="FF15" s="198">
        <f t="shared" si="2"/>
        <v>3.25</v>
      </c>
      <c r="FG15" s="198">
        <f t="shared" si="3"/>
        <v>6.125</v>
      </c>
      <c r="FI15" s="198">
        <f t="shared" si="4"/>
        <v>1</v>
      </c>
      <c r="FJ15" s="198">
        <f t="shared" si="5"/>
        <v>3.8475000000000001</v>
      </c>
      <c r="FK15" s="198">
        <f t="shared" si="6"/>
        <v>3.2774999999999999</v>
      </c>
    </row>
    <row r="16" spans="1:167" ht="51" customHeight="1">
      <c r="F16" s="165">
        <v>4</v>
      </c>
      <c r="G16" s="166">
        <v>4</v>
      </c>
      <c r="H16" s="166"/>
      <c r="I16" s="167"/>
      <c r="J16" s="168"/>
      <c r="K16" s="169" t="s">
        <v>263</v>
      </c>
      <c r="L16" s="169"/>
      <c r="M16" s="170"/>
      <c r="N16" s="171" t="s">
        <v>264</v>
      </c>
      <c r="O16" s="172"/>
      <c r="P16" s="172"/>
      <c r="Q16" s="205" t="s">
        <v>250</v>
      </c>
      <c r="R16" s="205"/>
      <c r="S16" s="171"/>
      <c r="T16" s="171"/>
      <c r="U16" s="174" t="s">
        <v>227</v>
      </c>
      <c r="V16" s="175" t="s">
        <v>227</v>
      </c>
      <c r="W16" s="176" t="s">
        <v>227</v>
      </c>
      <c r="X16" s="177" t="s">
        <v>227</v>
      </c>
      <c r="Y16" s="178" t="s">
        <v>227</v>
      </c>
      <c r="Z16" s="179" t="s">
        <v>227</v>
      </c>
      <c r="AA16" s="175" t="s">
        <v>227</v>
      </c>
      <c r="AB16" s="176" t="s">
        <v>227</v>
      </c>
      <c r="AC16" s="177" t="s">
        <v>227</v>
      </c>
      <c r="AD16" s="180" t="s">
        <v>227</v>
      </c>
      <c r="AE16" s="180" t="s">
        <v>227</v>
      </c>
      <c r="AF16" s="180" t="s">
        <v>227</v>
      </c>
      <c r="AG16" s="179" t="s">
        <v>227</v>
      </c>
      <c r="AH16" s="175" t="s">
        <v>227</v>
      </c>
      <c r="AI16" s="181" t="s">
        <v>227</v>
      </c>
      <c r="AJ16" s="176" t="s">
        <v>227</v>
      </c>
      <c r="AK16" s="177" t="s">
        <v>229</v>
      </c>
      <c r="AL16" s="179" t="s">
        <v>229</v>
      </c>
      <c r="AM16" s="175" t="s">
        <v>227</v>
      </c>
      <c r="AN16" s="176" t="s">
        <v>227</v>
      </c>
      <c r="AO16" s="177" t="s">
        <v>227</v>
      </c>
      <c r="AP16" s="179" t="s">
        <v>227</v>
      </c>
      <c r="AQ16" s="175" t="s">
        <v>227</v>
      </c>
      <c r="AR16" s="182" t="s">
        <v>227</v>
      </c>
      <c r="AS16" s="181" t="s">
        <v>227</v>
      </c>
      <c r="AT16" s="181" t="s">
        <v>227</v>
      </c>
      <c r="AU16" s="181" t="s">
        <v>227</v>
      </c>
      <c r="AV16" s="181" t="s">
        <v>227</v>
      </c>
      <c r="AW16" s="176" t="s">
        <v>227</v>
      </c>
      <c r="AX16" s="177" t="s">
        <v>227</v>
      </c>
      <c r="AY16" s="180" t="s">
        <v>227</v>
      </c>
      <c r="AZ16" s="180" t="s">
        <v>227</v>
      </c>
      <c r="BA16" s="179" t="s">
        <v>227</v>
      </c>
      <c r="BB16" s="175" t="s">
        <v>227</v>
      </c>
      <c r="BC16" s="176" t="s">
        <v>227</v>
      </c>
      <c r="BD16" s="177" t="s">
        <v>227</v>
      </c>
      <c r="BE16" s="179" t="s">
        <v>227</v>
      </c>
      <c r="BF16" s="175" t="s">
        <v>227</v>
      </c>
      <c r="BG16" s="176" t="s">
        <v>227</v>
      </c>
      <c r="BH16" s="177" t="s">
        <v>227</v>
      </c>
      <c r="BI16" s="183" t="s">
        <v>227</v>
      </c>
      <c r="BJ16" s="180" t="s">
        <v>227</v>
      </c>
      <c r="BK16" s="180" t="s">
        <v>227</v>
      </c>
      <c r="BL16" s="184" t="s">
        <v>227</v>
      </c>
      <c r="BM16" s="179" t="s">
        <v>227</v>
      </c>
      <c r="BN16" s="175" t="s">
        <v>227</v>
      </c>
      <c r="BO16" s="185" t="s">
        <v>227</v>
      </c>
      <c r="BP16" s="176" t="s">
        <v>227</v>
      </c>
      <c r="BQ16" s="177" t="s">
        <v>227</v>
      </c>
      <c r="BR16" s="179" t="s">
        <v>227</v>
      </c>
      <c r="BS16" s="175" t="s">
        <v>227</v>
      </c>
      <c r="BT16" s="176" t="s">
        <v>227</v>
      </c>
      <c r="BU16" s="177" t="s">
        <v>227</v>
      </c>
      <c r="BV16" s="180" t="s">
        <v>227</v>
      </c>
      <c r="BW16" s="186" t="s">
        <v>227</v>
      </c>
      <c r="BX16" s="180" t="s">
        <v>227</v>
      </c>
      <c r="BY16" s="180" t="s">
        <v>227</v>
      </c>
      <c r="BZ16" s="187" t="s">
        <v>227</v>
      </c>
      <c r="CA16" s="175" t="s">
        <v>227</v>
      </c>
      <c r="CB16" s="176" t="s">
        <v>227</v>
      </c>
      <c r="CC16" s="177" t="s">
        <v>227</v>
      </c>
      <c r="CD16" s="179" t="s">
        <v>227</v>
      </c>
      <c r="CE16" s="188" t="s">
        <v>227</v>
      </c>
      <c r="CF16" s="189" t="s">
        <v>227</v>
      </c>
      <c r="CG16" s="186" t="s">
        <v>227</v>
      </c>
      <c r="CH16" s="187" t="s">
        <v>227</v>
      </c>
      <c r="CI16" s="188" t="s">
        <v>227</v>
      </c>
      <c r="CJ16" s="177" t="s">
        <v>227</v>
      </c>
      <c r="CK16" s="183" t="s">
        <v>227</v>
      </c>
      <c r="CL16" s="180" t="s">
        <v>227</v>
      </c>
      <c r="CM16" s="179" t="s">
        <v>227</v>
      </c>
      <c r="CN16" s="175" t="s">
        <v>227</v>
      </c>
      <c r="CO16" s="182" t="s">
        <v>227</v>
      </c>
      <c r="CP16" s="181" t="s">
        <v>227</v>
      </c>
      <c r="CQ16" s="176" t="s">
        <v>227</v>
      </c>
      <c r="CR16" s="177" t="s">
        <v>227</v>
      </c>
      <c r="CS16" s="180" t="s">
        <v>227</v>
      </c>
      <c r="CT16" s="180" t="s">
        <v>227</v>
      </c>
      <c r="CU16" s="180" t="s">
        <v>227</v>
      </c>
      <c r="CV16" s="180" t="s">
        <v>227</v>
      </c>
      <c r="CW16" s="179" t="s">
        <v>227</v>
      </c>
      <c r="CX16" s="188" t="s">
        <v>227</v>
      </c>
      <c r="CY16" s="174" t="s">
        <v>227</v>
      </c>
      <c r="CZ16" s="188" t="s">
        <v>227</v>
      </c>
      <c r="DA16" s="174" t="s">
        <v>227</v>
      </c>
      <c r="DB16" s="188" t="s">
        <v>227</v>
      </c>
      <c r="DC16" s="190" t="s">
        <v>227</v>
      </c>
      <c r="DD16" s="203" t="s">
        <v>265</v>
      </c>
      <c r="DE16" s="192">
        <v>2</v>
      </c>
      <c r="DF16" s="204">
        <v>90</v>
      </c>
      <c r="DG16" s="194"/>
      <c r="DH16" s="195"/>
      <c r="DI16" s="195"/>
      <c r="DJ16" s="195"/>
      <c r="DK16" s="195"/>
      <c r="DL16" s="195"/>
      <c r="DM16" s="196"/>
      <c r="DN16" s="196"/>
      <c r="DO16" s="196"/>
      <c r="DP16" s="195"/>
      <c r="DQ16" s="196">
        <v>0</v>
      </c>
      <c r="DR16" s="196">
        <v>0</v>
      </c>
      <c r="DS16" s="196">
        <v>0</v>
      </c>
      <c r="DT16" s="196">
        <v>3.125</v>
      </c>
      <c r="DU16" s="196">
        <v>0.5</v>
      </c>
      <c r="DV16" s="196">
        <v>1.9575</v>
      </c>
      <c r="DW16" s="196">
        <v>1.6675</v>
      </c>
      <c r="DX16" s="196">
        <v>3.625</v>
      </c>
      <c r="DY16" s="196"/>
      <c r="DZ16" s="196"/>
      <c r="EA16" s="196"/>
      <c r="EB16" s="196"/>
      <c r="EC16" s="196">
        <v>0</v>
      </c>
      <c r="ED16" s="197" t="s">
        <v>266</v>
      </c>
      <c r="EE16" s="50" t="s">
        <v>220</v>
      </c>
      <c r="EF16" s="50" t="s">
        <v>232</v>
      </c>
      <c r="EG16" s="50" t="s">
        <v>233</v>
      </c>
      <c r="EH16" s="50" t="s">
        <v>252</v>
      </c>
      <c r="EI16" s="50" t="s">
        <v>252</v>
      </c>
      <c r="EJ16" s="74">
        <v>52</v>
      </c>
      <c r="EL16" s="50">
        <v>1.9575</v>
      </c>
      <c r="EM16" s="50">
        <v>1.6675</v>
      </c>
      <c r="EN16" s="50" t="s">
        <v>253</v>
      </c>
      <c r="EO16" s="132">
        <v>0</v>
      </c>
      <c r="EP16" s="132">
        <v>0</v>
      </c>
      <c r="EQ16" s="132">
        <v>0</v>
      </c>
      <c r="ER16" s="132">
        <v>1.9575</v>
      </c>
      <c r="ES16" s="132">
        <v>0.39150000000000001</v>
      </c>
      <c r="ET16" s="132">
        <v>0</v>
      </c>
      <c r="EU16" s="196">
        <v>1.6675</v>
      </c>
      <c r="EV16" s="198"/>
      <c r="EX16" s="163"/>
      <c r="EY16" s="163"/>
      <c r="EZ16" s="163"/>
      <c r="FA16" s="163"/>
      <c r="FB16" s="163"/>
      <c r="FC16" s="163"/>
      <c r="FD16" s="163"/>
      <c r="FE16" s="50" t="str">
        <f t="shared" si="1"/>
        <v>4_4</v>
      </c>
      <c r="FF16" s="198">
        <f t="shared" si="2"/>
        <v>0</v>
      </c>
      <c r="FG16" s="198">
        <f t="shared" si="3"/>
        <v>0</v>
      </c>
      <c r="FI16" s="198">
        <f t="shared" si="4"/>
        <v>0.5</v>
      </c>
      <c r="FJ16" s="198">
        <f t="shared" si="5"/>
        <v>1.9575</v>
      </c>
      <c r="FK16" s="198">
        <f t="shared" si="6"/>
        <v>1.6675</v>
      </c>
    </row>
    <row r="17" spans="6:167" ht="72" customHeight="1">
      <c r="F17" s="165">
        <v>4</v>
      </c>
      <c r="G17" s="166">
        <v>5</v>
      </c>
      <c r="H17" s="166"/>
      <c r="I17" s="167"/>
      <c r="J17" s="202"/>
      <c r="K17" s="169" t="s">
        <v>242</v>
      </c>
      <c r="L17" s="208"/>
      <c r="M17" s="209"/>
      <c r="N17" s="171" t="s">
        <v>267</v>
      </c>
      <c r="O17" s="210"/>
      <c r="P17" s="172"/>
      <c r="Q17" s="205" t="s">
        <v>250</v>
      </c>
      <c r="R17" s="205"/>
      <c r="S17" s="171"/>
      <c r="T17" s="171"/>
      <c r="U17" s="211" t="s">
        <v>227</v>
      </c>
      <c r="V17" s="212" t="s">
        <v>227</v>
      </c>
      <c r="W17" s="213" t="s">
        <v>227</v>
      </c>
      <c r="X17" s="214" t="s">
        <v>229</v>
      </c>
      <c r="Y17" s="215" t="s">
        <v>229</v>
      </c>
      <c r="Z17" s="216" t="s">
        <v>229</v>
      </c>
      <c r="AA17" s="212" t="s">
        <v>229</v>
      </c>
      <c r="AB17" s="213" t="s">
        <v>229</v>
      </c>
      <c r="AC17" s="214" t="s">
        <v>227</v>
      </c>
      <c r="AD17" s="217" t="s">
        <v>227</v>
      </c>
      <c r="AE17" s="217" t="s">
        <v>227</v>
      </c>
      <c r="AF17" s="217" t="s">
        <v>227</v>
      </c>
      <c r="AG17" s="216" t="s">
        <v>227</v>
      </c>
      <c r="AH17" s="212" t="s">
        <v>227</v>
      </c>
      <c r="AI17" s="218" t="s">
        <v>227</v>
      </c>
      <c r="AJ17" s="213" t="s">
        <v>227</v>
      </c>
      <c r="AK17" s="214" t="s">
        <v>229</v>
      </c>
      <c r="AL17" s="216" t="s">
        <v>229</v>
      </c>
      <c r="AM17" s="212" t="s">
        <v>227</v>
      </c>
      <c r="AN17" s="213" t="s">
        <v>227</v>
      </c>
      <c r="AO17" s="214" t="s">
        <v>227</v>
      </c>
      <c r="AP17" s="216" t="s">
        <v>227</v>
      </c>
      <c r="AQ17" s="212" t="s">
        <v>227</v>
      </c>
      <c r="AR17" s="219" t="s">
        <v>227</v>
      </c>
      <c r="AS17" s="218" t="s">
        <v>227</v>
      </c>
      <c r="AT17" s="218" t="s">
        <v>227</v>
      </c>
      <c r="AU17" s="218" t="s">
        <v>227</v>
      </c>
      <c r="AV17" s="218" t="s">
        <v>227</v>
      </c>
      <c r="AW17" s="213" t="s">
        <v>227</v>
      </c>
      <c r="AX17" s="214" t="s">
        <v>227</v>
      </c>
      <c r="AY17" s="217" t="s">
        <v>227</v>
      </c>
      <c r="AZ17" s="217" t="s">
        <v>227</v>
      </c>
      <c r="BA17" s="216" t="s">
        <v>227</v>
      </c>
      <c r="BB17" s="212" t="s">
        <v>229</v>
      </c>
      <c r="BC17" s="213" t="s">
        <v>229</v>
      </c>
      <c r="BD17" s="214" t="s">
        <v>229</v>
      </c>
      <c r="BE17" s="216" t="s">
        <v>229</v>
      </c>
      <c r="BF17" s="212" t="s">
        <v>227</v>
      </c>
      <c r="BG17" s="213" t="s">
        <v>227</v>
      </c>
      <c r="BH17" s="214" t="s">
        <v>227</v>
      </c>
      <c r="BI17" s="220" t="s">
        <v>227</v>
      </c>
      <c r="BJ17" s="217" t="s">
        <v>227</v>
      </c>
      <c r="BK17" s="221" t="s">
        <v>227</v>
      </c>
      <c r="BL17" s="221" t="s">
        <v>227</v>
      </c>
      <c r="BM17" s="216" t="s">
        <v>227</v>
      </c>
      <c r="BN17" s="212" t="s">
        <v>227</v>
      </c>
      <c r="BO17" s="222" t="s">
        <v>227</v>
      </c>
      <c r="BP17" s="213" t="s">
        <v>227</v>
      </c>
      <c r="BQ17" s="214" t="s">
        <v>227</v>
      </c>
      <c r="BR17" s="216" t="s">
        <v>227</v>
      </c>
      <c r="BS17" s="212" t="s">
        <v>227</v>
      </c>
      <c r="BT17" s="213" t="s">
        <v>227</v>
      </c>
      <c r="BU17" s="214" t="s">
        <v>227</v>
      </c>
      <c r="BV17" s="217" t="s">
        <v>227</v>
      </c>
      <c r="BW17" s="223" t="s">
        <v>227</v>
      </c>
      <c r="BX17" s="217" t="s">
        <v>227</v>
      </c>
      <c r="BY17" s="217" t="s">
        <v>227</v>
      </c>
      <c r="BZ17" s="224" t="s">
        <v>227</v>
      </c>
      <c r="CA17" s="212" t="s">
        <v>227</v>
      </c>
      <c r="CB17" s="213" t="s">
        <v>227</v>
      </c>
      <c r="CC17" s="214" t="s">
        <v>227</v>
      </c>
      <c r="CD17" s="216" t="s">
        <v>227</v>
      </c>
      <c r="CE17" s="225" t="s">
        <v>227</v>
      </c>
      <c r="CF17" s="226" t="s">
        <v>227</v>
      </c>
      <c r="CG17" s="223" t="s">
        <v>227</v>
      </c>
      <c r="CH17" s="224" t="s">
        <v>227</v>
      </c>
      <c r="CI17" s="225" t="s">
        <v>227</v>
      </c>
      <c r="CJ17" s="214" t="s">
        <v>229</v>
      </c>
      <c r="CK17" s="220" t="s">
        <v>229</v>
      </c>
      <c r="CL17" s="217" t="s">
        <v>227</v>
      </c>
      <c r="CM17" s="216" t="s">
        <v>227</v>
      </c>
      <c r="CN17" s="212" t="s">
        <v>227</v>
      </c>
      <c r="CO17" s="219" t="s">
        <v>227</v>
      </c>
      <c r="CP17" s="218" t="s">
        <v>227</v>
      </c>
      <c r="CQ17" s="213" t="s">
        <v>227</v>
      </c>
      <c r="CR17" s="214" t="s">
        <v>227</v>
      </c>
      <c r="CS17" s="217" t="s">
        <v>227</v>
      </c>
      <c r="CT17" s="217" t="s">
        <v>227</v>
      </c>
      <c r="CU17" s="217" t="s">
        <v>227</v>
      </c>
      <c r="CV17" s="217" t="s">
        <v>227</v>
      </c>
      <c r="CW17" s="216" t="s">
        <v>227</v>
      </c>
      <c r="CX17" s="225" t="s">
        <v>227</v>
      </c>
      <c r="CY17" s="211" t="s">
        <v>227</v>
      </c>
      <c r="CZ17" s="225" t="s">
        <v>227</v>
      </c>
      <c r="DA17" s="211" t="s">
        <v>227</v>
      </c>
      <c r="DB17" s="225" t="s">
        <v>227</v>
      </c>
      <c r="DC17" s="227" t="s">
        <v>227</v>
      </c>
      <c r="DD17" s="203" t="s">
        <v>265</v>
      </c>
      <c r="DE17" s="192">
        <v>13</v>
      </c>
      <c r="DF17" s="204">
        <v>90</v>
      </c>
      <c r="DG17" s="194"/>
      <c r="DH17" s="195"/>
      <c r="DI17" s="195"/>
      <c r="DJ17" s="195"/>
      <c r="DK17" s="195"/>
      <c r="DL17" s="195"/>
      <c r="DM17" s="196"/>
      <c r="DN17" s="196"/>
      <c r="DO17" s="196"/>
      <c r="DP17" s="195"/>
      <c r="DQ17" s="196">
        <v>0</v>
      </c>
      <c r="DR17" s="196">
        <v>0</v>
      </c>
      <c r="DS17" s="196">
        <v>0</v>
      </c>
      <c r="DT17" s="196">
        <v>8.625</v>
      </c>
      <c r="DU17" s="196">
        <v>1.5</v>
      </c>
      <c r="DV17" s="196">
        <v>5.4675000000000002</v>
      </c>
      <c r="DW17" s="196">
        <v>4.6574999999999998</v>
      </c>
      <c r="DX17" s="196">
        <v>10.125</v>
      </c>
      <c r="DY17" s="196"/>
      <c r="DZ17" s="196"/>
      <c r="EA17" s="196"/>
      <c r="EB17" s="196"/>
      <c r="EC17" s="196">
        <v>0</v>
      </c>
      <c r="ED17" s="197" t="s">
        <v>268</v>
      </c>
      <c r="EE17" s="50" t="s">
        <v>220</v>
      </c>
      <c r="EF17" s="50" t="s">
        <v>232</v>
      </c>
      <c r="EG17" s="50" t="s">
        <v>233</v>
      </c>
      <c r="EH17" s="50" t="s">
        <v>252</v>
      </c>
      <c r="EI17" s="50" t="s">
        <v>252</v>
      </c>
      <c r="EJ17" s="74">
        <v>52</v>
      </c>
      <c r="EL17" s="50">
        <v>5.4675000000000002</v>
      </c>
      <c r="EM17" s="50">
        <v>4.6574999999999998</v>
      </c>
      <c r="EN17" s="50" t="s">
        <v>253</v>
      </c>
      <c r="EO17" s="132">
        <v>0</v>
      </c>
      <c r="EP17" s="132">
        <v>0</v>
      </c>
      <c r="EQ17" s="132">
        <v>0</v>
      </c>
      <c r="ER17" s="132">
        <v>5.4675000000000002</v>
      </c>
      <c r="ES17" s="132">
        <v>1.0935000000000001</v>
      </c>
      <c r="ET17" s="132">
        <v>0</v>
      </c>
      <c r="EU17" s="196">
        <v>4.6574999999999998</v>
      </c>
      <c r="EV17" s="198"/>
      <c r="EX17" s="163"/>
      <c r="EY17" s="163"/>
      <c r="EZ17" s="163"/>
      <c r="FA17" s="163"/>
      <c r="FB17" s="163"/>
      <c r="FC17" s="163"/>
      <c r="FD17" s="163"/>
      <c r="FE17" s="50" t="str">
        <f t="shared" si="1"/>
        <v>4_5</v>
      </c>
      <c r="FF17" s="198">
        <f t="shared" si="2"/>
        <v>0</v>
      </c>
      <c r="FG17" s="198">
        <f t="shared" si="3"/>
        <v>0</v>
      </c>
      <c r="FI17" s="198">
        <f t="shared" si="4"/>
        <v>1.5</v>
      </c>
      <c r="FJ17" s="198">
        <f t="shared" si="5"/>
        <v>5.4675000000000002</v>
      </c>
      <c r="FK17" s="198">
        <f t="shared" si="6"/>
        <v>4.6574999999999998</v>
      </c>
    </row>
    <row r="18" spans="6:167" ht="72">
      <c r="F18" s="134">
        <v>5</v>
      </c>
      <c r="G18" s="135" t="s">
        <v>10</v>
      </c>
      <c r="H18" s="135" t="s">
        <v>10</v>
      </c>
      <c r="I18" s="136"/>
      <c r="J18" s="301" t="s">
        <v>269</v>
      </c>
      <c r="K18" s="302"/>
      <c r="L18" s="302"/>
      <c r="M18" s="303"/>
      <c r="N18" s="137"/>
      <c r="O18" s="138" t="s">
        <v>270</v>
      </c>
      <c r="P18" s="138"/>
      <c r="Q18" s="138"/>
      <c r="R18" s="138"/>
      <c r="S18" s="137"/>
      <c r="T18" s="137"/>
      <c r="U18" s="139"/>
      <c r="V18" s="140"/>
      <c r="W18" s="141"/>
      <c r="X18" s="142"/>
      <c r="Y18" s="143"/>
      <c r="Z18" s="144"/>
      <c r="AA18" s="140"/>
      <c r="AB18" s="141"/>
      <c r="AC18" s="142"/>
      <c r="AD18" s="145"/>
      <c r="AE18" s="145"/>
      <c r="AF18" s="145"/>
      <c r="AG18" s="144"/>
      <c r="AH18" s="140"/>
      <c r="AI18" s="146"/>
      <c r="AJ18" s="141"/>
      <c r="AK18" s="142"/>
      <c r="AL18" s="144"/>
      <c r="AM18" s="140"/>
      <c r="AN18" s="141"/>
      <c r="AO18" s="142"/>
      <c r="AP18" s="144"/>
      <c r="AQ18" s="140"/>
      <c r="AR18" s="147"/>
      <c r="AS18" s="146"/>
      <c r="AT18" s="146"/>
      <c r="AU18" s="146"/>
      <c r="AV18" s="146"/>
      <c r="AW18" s="141"/>
      <c r="AX18" s="142"/>
      <c r="AY18" s="145"/>
      <c r="AZ18" s="145"/>
      <c r="BA18" s="144"/>
      <c r="BB18" s="140"/>
      <c r="BC18" s="141"/>
      <c r="BD18" s="142"/>
      <c r="BE18" s="144"/>
      <c r="BF18" s="140"/>
      <c r="BG18" s="141"/>
      <c r="BH18" s="142"/>
      <c r="BI18" s="148"/>
      <c r="BJ18" s="145"/>
      <c r="BK18" s="145"/>
      <c r="BL18" s="149"/>
      <c r="BM18" s="144"/>
      <c r="BN18" s="140"/>
      <c r="BO18" s="150"/>
      <c r="BP18" s="141"/>
      <c r="BQ18" s="142"/>
      <c r="BR18" s="144"/>
      <c r="BS18" s="140"/>
      <c r="BT18" s="141"/>
      <c r="BU18" s="142"/>
      <c r="BV18" s="145"/>
      <c r="BW18" s="151"/>
      <c r="BX18" s="145"/>
      <c r="BY18" s="145"/>
      <c r="BZ18" s="152"/>
      <c r="CA18" s="140"/>
      <c r="CB18" s="141"/>
      <c r="CC18" s="142"/>
      <c r="CD18" s="144"/>
      <c r="CE18" s="153"/>
      <c r="CF18" s="154"/>
      <c r="CG18" s="151"/>
      <c r="CH18" s="152"/>
      <c r="CI18" s="153"/>
      <c r="CJ18" s="142"/>
      <c r="CK18" s="148"/>
      <c r="CL18" s="145"/>
      <c r="CM18" s="144"/>
      <c r="CN18" s="140"/>
      <c r="CO18" s="147"/>
      <c r="CP18" s="146"/>
      <c r="CQ18" s="141"/>
      <c r="CR18" s="142"/>
      <c r="CS18" s="145"/>
      <c r="CT18" s="145"/>
      <c r="CU18" s="145"/>
      <c r="CV18" s="145"/>
      <c r="CW18" s="144"/>
      <c r="CX18" s="153"/>
      <c r="CY18" s="139"/>
      <c r="CZ18" s="153"/>
      <c r="DA18" s="139"/>
      <c r="DB18" s="153"/>
      <c r="DC18" s="155"/>
      <c r="DD18" s="156"/>
      <c r="DE18" s="157"/>
      <c r="DF18" s="158"/>
      <c r="DG18" s="159"/>
      <c r="DH18" s="160"/>
      <c r="DI18" s="160"/>
      <c r="DJ18" s="160"/>
      <c r="DK18" s="160"/>
      <c r="DL18" s="160"/>
      <c r="DM18" s="161"/>
      <c r="DN18" s="161"/>
      <c r="DO18" s="161"/>
      <c r="DP18" s="160"/>
      <c r="DQ18" s="161"/>
      <c r="DR18" s="161"/>
      <c r="DS18" s="161"/>
      <c r="DT18" s="161"/>
      <c r="DU18" s="161"/>
      <c r="DV18" s="161"/>
      <c r="DW18" s="161"/>
      <c r="DX18" s="161">
        <v>0</v>
      </c>
      <c r="DY18" s="161">
        <v>0</v>
      </c>
      <c r="DZ18" s="161">
        <v>0</v>
      </c>
      <c r="EA18" s="161">
        <v>0</v>
      </c>
      <c r="EB18" s="161">
        <v>0</v>
      </c>
      <c r="EC18" s="161">
        <v>0</v>
      </c>
      <c r="ED18" s="162"/>
      <c r="EE18" s="50" t="s">
        <v>220</v>
      </c>
      <c r="EF18" s="74" t="s">
        <v>221</v>
      </c>
      <c r="EG18" s="74" t="s">
        <v>221</v>
      </c>
      <c r="EH18" s="74" t="s">
        <v>221</v>
      </c>
      <c r="EI18" s="74" t="s">
        <v>221</v>
      </c>
      <c r="EJ18" s="74">
        <v>6</v>
      </c>
      <c r="EK18" s="74" t="s">
        <v>241</v>
      </c>
      <c r="EL18" s="50">
        <v>0</v>
      </c>
      <c r="EM18" s="50">
        <v>0</v>
      </c>
      <c r="EN18" s="74" t="s">
        <v>221</v>
      </c>
      <c r="EO18" s="163"/>
      <c r="EP18" s="163"/>
      <c r="EQ18" s="163"/>
      <c r="ER18" s="163"/>
      <c r="ES18" s="163"/>
      <c r="ET18" s="163"/>
      <c r="EU18" s="163"/>
      <c r="EV18" s="164"/>
      <c r="EX18" s="163"/>
      <c r="EY18" s="163"/>
      <c r="EZ18" s="163"/>
      <c r="FA18" s="163"/>
      <c r="FB18" s="163"/>
      <c r="FC18" s="163"/>
      <c r="FD18" s="163"/>
      <c r="FE18" s="50" t="str">
        <f t="shared" si="1"/>
        <v>5</v>
      </c>
      <c r="FF18" s="198">
        <f t="shared" si="2"/>
        <v>0</v>
      </c>
      <c r="FG18" s="198">
        <f t="shared" si="3"/>
        <v>0</v>
      </c>
      <c r="FI18" s="198">
        <f t="shared" si="4"/>
        <v>0</v>
      </c>
      <c r="FJ18" s="198">
        <f t="shared" si="5"/>
        <v>0</v>
      </c>
      <c r="FK18" s="198">
        <f t="shared" si="6"/>
        <v>0</v>
      </c>
    </row>
    <row r="19" spans="6:167" ht="24">
      <c r="F19" s="165">
        <v>5</v>
      </c>
      <c r="G19" s="166">
        <v>1</v>
      </c>
      <c r="H19" s="166" t="s">
        <v>10</v>
      </c>
      <c r="I19" s="167"/>
      <c r="J19" s="168"/>
      <c r="K19" s="169" t="s">
        <v>8</v>
      </c>
      <c r="L19" s="169"/>
      <c r="M19" s="170"/>
      <c r="N19" s="171" t="s">
        <v>271</v>
      </c>
      <c r="O19" s="172"/>
      <c r="P19" s="172"/>
      <c r="Q19" s="205" t="s">
        <v>272</v>
      </c>
      <c r="R19" s="205"/>
      <c r="S19" s="171"/>
      <c r="T19" s="171"/>
      <c r="U19" s="174" t="s">
        <v>227</v>
      </c>
      <c r="V19" s="175" t="s">
        <v>227</v>
      </c>
      <c r="W19" s="176" t="s">
        <v>227</v>
      </c>
      <c r="X19" s="177" t="s">
        <v>227</v>
      </c>
      <c r="Y19" s="178" t="s">
        <v>228</v>
      </c>
      <c r="Z19" s="179" t="s">
        <v>227</v>
      </c>
      <c r="AA19" s="175" t="s">
        <v>227</v>
      </c>
      <c r="AB19" s="176" t="s">
        <v>227</v>
      </c>
      <c r="AC19" s="177" t="s">
        <v>227</v>
      </c>
      <c r="AD19" s="180" t="s">
        <v>227</v>
      </c>
      <c r="AE19" s="180" t="s">
        <v>228</v>
      </c>
      <c r="AF19" s="180" t="s">
        <v>228</v>
      </c>
      <c r="AG19" s="179" t="s">
        <v>228</v>
      </c>
      <c r="AH19" s="175" t="s">
        <v>227</v>
      </c>
      <c r="AI19" s="181" t="s">
        <v>227</v>
      </c>
      <c r="AJ19" s="176" t="s">
        <v>228</v>
      </c>
      <c r="AK19" s="177" t="s">
        <v>227</v>
      </c>
      <c r="AL19" s="179" t="s">
        <v>227</v>
      </c>
      <c r="AM19" s="175" t="s">
        <v>227</v>
      </c>
      <c r="AN19" s="176" t="s">
        <v>227</v>
      </c>
      <c r="AO19" s="177" t="s">
        <v>227</v>
      </c>
      <c r="AP19" s="179" t="s">
        <v>227</v>
      </c>
      <c r="AQ19" s="175" t="s">
        <v>227</v>
      </c>
      <c r="AR19" s="181" t="s">
        <v>229</v>
      </c>
      <c r="AS19" s="181" t="s">
        <v>229</v>
      </c>
      <c r="AT19" s="181" t="s">
        <v>227</v>
      </c>
      <c r="AU19" s="181" t="s">
        <v>229</v>
      </c>
      <c r="AV19" s="181" t="s">
        <v>227</v>
      </c>
      <c r="AW19" s="176" t="s">
        <v>229</v>
      </c>
      <c r="AX19" s="177" t="s">
        <v>227</v>
      </c>
      <c r="AY19" s="180" t="s">
        <v>229</v>
      </c>
      <c r="AZ19" s="180" t="s">
        <v>227</v>
      </c>
      <c r="BA19" s="179" t="s">
        <v>229</v>
      </c>
      <c r="BB19" s="175" t="s">
        <v>227</v>
      </c>
      <c r="BC19" s="176" t="s">
        <v>228</v>
      </c>
      <c r="BD19" s="177" t="s">
        <v>227</v>
      </c>
      <c r="BE19" s="179" t="s">
        <v>228</v>
      </c>
      <c r="BF19" s="175" t="s">
        <v>227</v>
      </c>
      <c r="BG19" s="176" t="s">
        <v>227</v>
      </c>
      <c r="BH19" s="177" t="s">
        <v>229</v>
      </c>
      <c r="BI19" s="183" t="s">
        <v>229</v>
      </c>
      <c r="BJ19" s="180" t="s">
        <v>229</v>
      </c>
      <c r="BK19" s="180" t="s">
        <v>229</v>
      </c>
      <c r="BL19" s="184" t="s">
        <v>229</v>
      </c>
      <c r="BM19" s="179" t="s">
        <v>229</v>
      </c>
      <c r="BN19" s="185" t="s">
        <v>229</v>
      </c>
      <c r="BO19" s="185" t="s">
        <v>229</v>
      </c>
      <c r="BP19" s="176" t="s">
        <v>229</v>
      </c>
      <c r="BQ19" s="177" t="s">
        <v>229</v>
      </c>
      <c r="BR19" s="179" t="s">
        <v>229</v>
      </c>
      <c r="BS19" s="175" t="s">
        <v>229</v>
      </c>
      <c r="BT19" s="176" t="s">
        <v>229</v>
      </c>
      <c r="BU19" s="177" t="s">
        <v>229</v>
      </c>
      <c r="BV19" s="180" t="s">
        <v>229</v>
      </c>
      <c r="BW19" s="223" t="s">
        <v>227</v>
      </c>
      <c r="BX19" s="180" t="s">
        <v>229</v>
      </c>
      <c r="BY19" s="180" t="s">
        <v>229</v>
      </c>
      <c r="BZ19" s="187" t="s">
        <v>227</v>
      </c>
      <c r="CA19" s="175" t="s">
        <v>229</v>
      </c>
      <c r="CB19" s="176" t="s">
        <v>229</v>
      </c>
      <c r="CC19" s="177" t="s">
        <v>227</v>
      </c>
      <c r="CD19" s="179" t="s">
        <v>227</v>
      </c>
      <c r="CE19" s="188" t="s">
        <v>227</v>
      </c>
      <c r="CF19" s="189" t="s">
        <v>227</v>
      </c>
      <c r="CG19" s="186" t="s">
        <v>227</v>
      </c>
      <c r="CH19" s="187" t="s">
        <v>227</v>
      </c>
      <c r="CI19" s="188" t="s">
        <v>227</v>
      </c>
      <c r="CJ19" s="177" t="s">
        <v>227</v>
      </c>
      <c r="CK19" s="183" t="s">
        <v>228</v>
      </c>
      <c r="CL19" s="180" t="s">
        <v>227</v>
      </c>
      <c r="CM19" s="179" t="s">
        <v>227</v>
      </c>
      <c r="CN19" s="175" t="s">
        <v>227</v>
      </c>
      <c r="CO19" s="182" t="s">
        <v>228</v>
      </c>
      <c r="CP19" s="181" t="s">
        <v>227</v>
      </c>
      <c r="CQ19" s="176" t="s">
        <v>227</v>
      </c>
      <c r="CR19" s="177" t="s">
        <v>227</v>
      </c>
      <c r="CS19" s="180" t="s">
        <v>227</v>
      </c>
      <c r="CT19" s="180" t="s">
        <v>227</v>
      </c>
      <c r="CU19" s="180" t="s">
        <v>227</v>
      </c>
      <c r="CV19" s="180" t="s">
        <v>227</v>
      </c>
      <c r="CW19" s="179" t="s">
        <v>227</v>
      </c>
      <c r="CX19" s="188" t="s">
        <v>227</v>
      </c>
      <c r="CY19" s="174" t="s">
        <v>227</v>
      </c>
      <c r="CZ19" s="188" t="s">
        <v>227</v>
      </c>
      <c r="DA19" s="174" t="s">
        <v>227</v>
      </c>
      <c r="DB19" s="188" t="s">
        <v>227</v>
      </c>
      <c r="DC19" s="190" t="s">
        <v>227</v>
      </c>
      <c r="DD19" s="206" t="s">
        <v>258</v>
      </c>
      <c r="DE19" s="192">
        <v>25</v>
      </c>
      <c r="DF19" s="207">
        <v>60</v>
      </c>
      <c r="DG19" s="194"/>
      <c r="DH19" s="195"/>
      <c r="DI19" s="195"/>
      <c r="DJ19" s="195"/>
      <c r="DK19" s="195"/>
      <c r="DL19" s="195"/>
      <c r="DM19" s="196"/>
      <c r="DN19" s="196"/>
      <c r="DO19" s="196"/>
      <c r="DP19" s="195"/>
      <c r="DQ19" s="196">
        <v>0</v>
      </c>
      <c r="DR19" s="196">
        <v>5.25</v>
      </c>
      <c r="DS19" s="196">
        <v>9.75</v>
      </c>
      <c r="DT19" s="196">
        <v>9.75</v>
      </c>
      <c r="DU19" s="196">
        <v>1.625</v>
      </c>
      <c r="DV19" s="196">
        <v>6.1425000000000001</v>
      </c>
      <c r="DW19" s="196">
        <v>5.2324999999999999</v>
      </c>
      <c r="DX19" s="196">
        <v>26.375</v>
      </c>
      <c r="DY19" s="196">
        <v>0</v>
      </c>
      <c r="DZ19" s="196">
        <v>0</v>
      </c>
      <c r="EA19" s="196">
        <v>0</v>
      </c>
      <c r="EB19" s="196">
        <v>0</v>
      </c>
      <c r="EC19" s="196">
        <v>0</v>
      </c>
      <c r="ED19" s="197" t="s">
        <v>273</v>
      </c>
      <c r="EE19" s="50" t="s">
        <v>220</v>
      </c>
      <c r="EF19" s="50" t="s">
        <v>232</v>
      </c>
      <c r="EG19" s="50" t="s">
        <v>233</v>
      </c>
      <c r="EH19" s="50" t="s">
        <v>252</v>
      </c>
      <c r="EI19" s="50" t="s">
        <v>233</v>
      </c>
      <c r="EJ19" s="74">
        <v>6</v>
      </c>
      <c r="EL19" s="50">
        <v>6.1425000000000001</v>
      </c>
      <c r="EM19" s="50">
        <v>5.2324999999999999</v>
      </c>
      <c r="EN19" s="50" t="s">
        <v>253</v>
      </c>
      <c r="EO19" s="132">
        <v>1.05</v>
      </c>
      <c r="EP19" s="132">
        <v>0</v>
      </c>
      <c r="EQ19" s="132">
        <v>1.05</v>
      </c>
      <c r="ER19" s="132">
        <v>1.2285000000000001</v>
      </c>
      <c r="ES19" s="132">
        <v>1.2285000000000001</v>
      </c>
      <c r="ET19" s="132">
        <v>9.75</v>
      </c>
      <c r="EU19" s="196">
        <v>5.2324999999999999</v>
      </c>
      <c r="EV19" s="198"/>
      <c r="EX19" s="163"/>
      <c r="EY19" s="163"/>
      <c r="EZ19" s="163"/>
      <c r="FA19" s="163"/>
      <c r="FB19" s="163"/>
      <c r="FC19" s="163"/>
      <c r="FD19" s="163"/>
      <c r="FE19" s="50" t="str">
        <f t="shared" si="1"/>
        <v>5_1</v>
      </c>
      <c r="FF19" s="198">
        <f t="shared" si="2"/>
        <v>5.25</v>
      </c>
      <c r="FG19" s="198">
        <f t="shared" si="3"/>
        <v>9.75</v>
      </c>
      <c r="FI19" s="198">
        <f t="shared" si="4"/>
        <v>1.625</v>
      </c>
      <c r="FJ19" s="198">
        <f t="shared" si="5"/>
        <v>6.1425000000000001</v>
      </c>
      <c r="FK19" s="198">
        <f t="shared" si="6"/>
        <v>5.2324999999999999</v>
      </c>
    </row>
    <row r="20" spans="6:167" ht="18.75">
      <c r="F20" s="228">
        <v>5</v>
      </c>
      <c r="G20" s="229">
        <v>2</v>
      </c>
      <c r="H20" s="229" t="s">
        <v>10</v>
      </c>
      <c r="I20" s="230"/>
      <c r="J20" s="231"/>
      <c r="K20" s="232" t="s">
        <v>242</v>
      </c>
      <c r="L20" s="232"/>
      <c r="M20" s="233"/>
      <c r="N20" s="234"/>
      <c r="O20" s="172"/>
      <c r="P20" s="172"/>
      <c r="Q20" s="205"/>
      <c r="R20" s="205"/>
      <c r="S20" s="171"/>
      <c r="T20" s="171"/>
      <c r="U20" s="174" t="s">
        <v>227</v>
      </c>
      <c r="V20" s="175" t="s">
        <v>227</v>
      </c>
      <c r="W20" s="176" t="s">
        <v>227</v>
      </c>
      <c r="X20" s="177" t="s">
        <v>227</v>
      </c>
      <c r="Y20" s="178" t="s">
        <v>228</v>
      </c>
      <c r="Z20" s="179" t="s">
        <v>227</v>
      </c>
      <c r="AA20" s="175" t="s">
        <v>227</v>
      </c>
      <c r="AB20" s="176" t="s">
        <v>227</v>
      </c>
      <c r="AC20" s="177" t="s">
        <v>227</v>
      </c>
      <c r="AD20" s="180" t="s">
        <v>227</v>
      </c>
      <c r="AE20" s="180" t="s">
        <v>228</v>
      </c>
      <c r="AF20" s="180" t="s">
        <v>228</v>
      </c>
      <c r="AG20" s="179" t="s">
        <v>228</v>
      </c>
      <c r="AH20" s="175" t="s">
        <v>227</v>
      </c>
      <c r="AI20" s="181" t="s">
        <v>227</v>
      </c>
      <c r="AJ20" s="176" t="s">
        <v>228</v>
      </c>
      <c r="AK20" s="177" t="s">
        <v>227</v>
      </c>
      <c r="AL20" s="179" t="s">
        <v>227</v>
      </c>
      <c r="AM20" s="175" t="s">
        <v>227</v>
      </c>
      <c r="AN20" s="176" t="s">
        <v>227</v>
      </c>
      <c r="AO20" s="177" t="s">
        <v>227</v>
      </c>
      <c r="AP20" s="179" t="s">
        <v>227</v>
      </c>
      <c r="AQ20" s="175" t="s">
        <v>227</v>
      </c>
      <c r="AR20" s="182" t="s">
        <v>228</v>
      </c>
      <c r="AS20" s="181" t="s">
        <v>227</v>
      </c>
      <c r="AT20" s="181" t="s">
        <v>227</v>
      </c>
      <c r="AU20" s="181" t="s">
        <v>228</v>
      </c>
      <c r="AV20" s="181" t="s">
        <v>227</v>
      </c>
      <c r="AW20" s="176" t="s">
        <v>227</v>
      </c>
      <c r="AX20" s="177" t="s">
        <v>227</v>
      </c>
      <c r="AY20" s="180" t="s">
        <v>227</v>
      </c>
      <c r="AZ20" s="180" t="s">
        <v>227</v>
      </c>
      <c r="BA20" s="179" t="s">
        <v>227</v>
      </c>
      <c r="BB20" s="175" t="s">
        <v>227</v>
      </c>
      <c r="BC20" s="176" t="s">
        <v>228</v>
      </c>
      <c r="BD20" s="177" t="s">
        <v>227</v>
      </c>
      <c r="BE20" s="179" t="s">
        <v>228</v>
      </c>
      <c r="BF20" s="175" t="s">
        <v>227</v>
      </c>
      <c r="BG20" s="176" t="s">
        <v>227</v>
      </c>
      <c r="BH20" s="177" t="s">
        <v>227</v>
      </c>
      <c r="BI20" s="183" t="s">
        <v>228</v>
      </c>
      <c r="BJ20" s="180" t="s">
        <v>227</v>
      </c>
      <c r="BK20" s="180" t="s">
        <v>227</v>
      </c>
      <c r="BL20" s="184" t="s">
        <v>228</v>
      </c>
      <c r="BM20" s="179" t="s">
        <v>227</v>
      </c>
      <c r="BN20" s="175" t="s">
        <v>227</v>
      </c>
      <c r="BO20" s="185" t="s">
        <v>228</v>
      </c>
      <c r="BP20" s="176" t="s">
        <v>227</v>
      </c>
      <c r="BQ20" s="177" t="s">
        <v>227</v>
      </c>
      <c r="BR20" s="179" t="s">
        <v>227</v>
      </c>
      <c r="BS20" s="175" t="s">
        <v>227</v>
      </c>
      <c r="BT20" s="176" t="s">
        <v>227</v>
      </c>
      <c r="BU20" s="177" t="s">
        <v>227</v>
      </c>
      <c r="BV20" s="180" t="s">
        <v>227</v>
      </c>
      <c r="BW20" s="186" t="s">
        <v>227</v>
      </c>
      <c r="BX20" s="180" t="s">
        <v>227</v>
      </c>
      <c r="BY20" s="180" t="s">
        <v>227</v>
      </c>
      <c r="BZ20" s="187" t="s">
        <v>227</v>
      </c>
      <c r="CA20" s="175" t="s">
        <v>227</v>
      </c>
      <c r="CB20" s="176" t="s">
        <v>227</v>
      </c>
      <c r="CC20" s="177" t="s">
        <v>227</v>
      </c>
      <c r="CD20" s="179" t="s">
        <v>227</v>
      </c>
      <c r="CE20" s="188" t="s">
        <v>227</v>
      </c>
      <c r="CF20" s="189" t="s">
        <v>227</v>
      </c>
      <c r="CG20" s="186" t="s">
        <v>227</v>
      </c>
      <c r="CH20" s="187" t="s">
        <v>227</v>
      </c>
      <c r="CI20" s="188" t="s">
        <v>227</v>
      </c>
      <c r="CJ20" s="177" t="s">
        <v>227</v>
      </c>
      <c r="CK20" s="183" t="s">
        <v>228</v>
      </c>
      <c r="CL20" s="180" t="s">
        <v>227</v>
      </c>
      <c r="CM20" s="179" t="s">
        <v>227</v>
      </c>
      <c r="CN20" s="175" t="s">
        <v>227</v>
      </c>
      <c r="CO20" s="182" t="s">
        <v>228</v>
      </c>
      <c r="CP20" s="181" t="s">
        <v>227</v>
      </c>
      <c r="CQ20" s="176" t="s">
        <v>227</v>
      </c>
      <c r="CR20" s="177" t="s">
        <v>227</v>
      </c>
      <c r="CS20" s="180" t="s">
        <v>227</v>
      </c>
      <c r="CT20" s="180" t="s">
        <v>227</v>
      </c>
      <c r="CU20" s="180" t="s">
        <v>227</v>
      </c>
      <c r="CV20" s="180" t="s">
        <v>227</v>
      </c>
      <c r="CW20" s="179" t="s">
        <v>227</v>
      </c>
      <c r="CX20" s="188" t="s">
        <v>227</v>
      </c>
      <c r="CY20" s="174" t="s">
        <v>227</v>
      </c>
      <c r="CZ20" s="188" t="s">
        <v>227</v>
      </c>
      <c r="DA20" s="174" t="s">
        <v>227</v>
      </c>
      <c r="DB20" s="188" t="s">
        <v>227</v>
      </c>
      <c r="DC20" s="190" t="s">
        <v>229</v>
      </c>
      <c r="DD20" s="235" t="s">
        <v>274</v>
      </c>
      <c r="DE20" s="192">
        <v>1</v>
      </c>
      <c r="DF20" s="204">
        <v>0</v>
      </c>
      <c r="DG20" s="194"/>
      <c r="DH20" s="195"/>
      <c r="DI20" s="195"/>
      <c r="DJ20" s="195"/>
      <c r="DK20" s="195"/>
      <c r="DL20" s="195"/>
      <c r="DM20" s="196"/>
      <c r="DN20" s="196"/>
      <c r="DO20" s="196"/>
      <c r="DP20" s="195"/>
      <c r="DQ20" s="196">
        <v>0</v>
      </c>
      <c r="DR20" s="196">
        <v>0</v>
      </c>
      <c r="DS20" s="196">
        <v>0</v>
      </c>
      <c r="DT20" s="196">
        <v>0</v>
      </c>
      <c r="DU20" s="196">
        <v>0</v>
      </c>
      <c r="DV20" s="196">
        <v>0</v>
      </c>
      <c r="DW20" s="196">
        <v>0</v>
      </c>
      <c r="DX20" s="196">
        <v>0</v>
      </c>
      <c r="DY20" s="196"/>
      <c r="DZ20" s="196"/>
      <c r="EA20" s="196"/>
      <c r="EB20" s="196"/>
      <c r="EC20" s="196"/>
      <c r="ED20" s="201" t="s">
        <v>275</v>
      </c>
      <c r="EE20" s="50" t="s">
        <v>220</v>
      </c>
      <c r="EF20" s="50" t="s">
        <v>232</v>
      </c>
      <c r="EG20" s="50" t="s">
        <v>233</v>
      </c>
      <c r="EH20" s="50" t="s">
        <v>252</v>
      </c>
      <c r="EI20" s="50" t="s">
        <v>233</v>
      </c>
      <c r="EJ20" s="74">
        <v>6</v>
      </c>
      <c r="EL20" s="50">
        <v>0</v>
      </c>
      <c r="EM20" s="50">
        <v>0</v>
      </c>
      <c r="EN20" s="50" t="s">
        <v>253</v>
      </c>
      <c r="EO20" s="132">
        <v>0</v>
      </c>
      <c r="EP20" s="132">
        <v>0</v>
      </c>
      <c r="EQ20" s="132">
        <v>0</v>
      </c>
      <c r="ER20" s="132">
        <v>0</v>
      </c>
      <c r="ES20" s="132">
        <v>0</v>
      </c>
      <c r="ET20" s="132">
        <v>0</v>
      </c>
      <c r="EU20" s="196">
        <v>0</v>
      </c>
      <c r="EV20" s="198"/>
      <c r="EX20" s="163"/>
      <c r="EY20" s="163"/>
      <c r="EZ20" s="163"/>
      <c r="FA20" s="163"/>
      <c r="FB20" s="163"/>
      <c r="FC20" s="163"/>
      <c r="FD20" s="163"/>
      <c r="FE20" s="50" t="str">
        <f t="shared" si="1"/>
        <v>5_2</v>
      </c>
      <c r="FF20" s="198">
        <f t="shared" si="2"/>
        <v>0</v>
      </c>
      <c r="FG20" s="198">
        <f t="shared" si="3"/>
        <v>0</v>
      </c>
      <c r="FI20" s="198">
        <f t="shared" si="4"/>
        <v>0</v>
      </c>
      <c r="FJ20" s="198">
        <f t="shared" si="5"/>
        <v>0</v>
      </c>
      <c r="FK20" s="198">
        <f t="shared" si="6"/>
        <v>0</v>
      </c>
    </row>
    <row r="21" spans="6:167" ht="24" customHeight="1">
      <c r="F21" s="134">
        <v>6</v>
      </c>
      <c r="G21" s="135" t="s">
        <v>10</v>
      </c>
      <c r="H21" s="135" t="s">
        <v>10</v>
      </c>
      <c r="I21" s="136"/>
      <c r="J21" s="301" t="s">
        <v>276</v>
      </c>
      <c r="K21" s="302"/>
      <c r="L21" s="302"/>
      <c r="M21" s="303"/>
      <c r="N21" s="137"/>
      <c r="O21" s="138" t="s">
        <v>277</v>
      </c>
      <c r="P21" s="138"/>
      <c r="Q21" s="138"/>
      <c r="R21" s="138"/>
      <c r="S21" s="137"/>
      <c r="T21" s="137"/>
      <c r="U21" s="139"/>
      <c r="V21" s="140"/>
      <c r="W21" s="141"/>
      <c r="X21" s="142"/>
      <c r="Y21" s="143"/>
      <c r="Z21" s="144"/>
      <c r="AA21" s="140"/>
      <c r="AB21" s="141"/>
      <c r="AC21" s="142"/>
      <c r="AD21" s="145"/>
      <c r="AE21" s="145"/>
      <c r="AF21" s="145"/>
      <c r="AG21" s="144"/>
      <c r="AH21" s="140"/>
      <c r="AI21" s="146"/>
      <c r="AJ21" s="141"/>
      <c r="AK21" s="142"/>
      <c r="AL21" s="144"/>
      <c r="AM21" s="140"/>
      <c r="AN21" s="141"/>
      <c r="AO21" s="142"/>
      <c r="AP21" s="144"/>
      <c r="AQ21" s="140"/>
      <c r="AR21" s="147"/>
      <c r="AS21" s="146"/>
      <c r="AT21" s="146"/>
      <c r="AU21" s="146"/>
      <c r="AV21" s="146"/>
      <c r="AW21" s="141"/>
      <c r="AX21" s="142"/>
      <c r="AY21" s="145"/>
      <c r="AZ21" s="145"/>
      <c r="BA21" s="144"/>
      <c r="BB21" s="140"/>
      <c r="BC21" s="141"/>
      <c r="BD21" s="142"/>
      <c r="BE21" s="144"/>
      <c r="BF21" s="140"/>
      <c r="BG21" s="141"/>
      <c r="BH21" s="142"/>
      <c r="BI21" s="148"/>
      <c r="BJ21" s="145"/>
      <c r="BK21" s="145"/>
      <c r="BL21" s="149"/>
      <c r="BM21" s="144"/>
      <c r="BN21" s="140"/>
      <c r="BO21" s="150"/>
      <c r="BP21" s="141"/>
      <c r="BQ21" s="142"/>
      <c r="BR21" s="144"/>
      <c r="BS21" s="140"/>
      <c r="BT21" s="141"/>
      <c r="BU21" s="142"/>
      <c r="BV21" s="145"/>
      <c r="BW21" s="151"/>
      <c r="BX21" s="145"/>
      <c r="BY21" s="145"/>
      <c r="BZ21" s="152"/>
      <c r="CA21" s="140"/>
      <c r="CB21" s="141"/>
      <c r="CC21" s="142"/>
      <c r="CD21" s="144"/>
      <c r="CE21" s="153"/>
      <c r="CF21" s="154"/>
      <c r="CG21" s="151"/>
      <c r="CH21" s="152"/>
      <c r="CI21" s="153"/>
      <c r="CJ21" s="142"/>
      <c r="CK21" s="148"/>
      <c r="CL21" s="145"/>
      <c r="CM21" s="144"/>
      <c r="CN21" s="140"/>
      <c r="CO21" s="147"/>
      <c r="CP21" s="146"/>
      <c r="CQ21" s="141"/>
      <c r="CR21" s="142"/>
      <c r="CS21" s="145"/>
      <c r="CT21" s="145"/>
      <c r="CU21" s="145"/>
      <c r="CV21" s="145"/>
      <c r="CW21" s="144"/>
      <c r="CX21" s="153"/>
      <c r="CY21" s="139"/>
      <c r="CZ21" s="153"/>
      <c r="DA21" s="139"/>
      <c r="DB21" s="153"/>
      <c r="DC21" s="155"/>
      <c r="DD21" s="156"/>
      <c r="DE21" s="157"/>
      <c r="DF21" s="158"/>
      <c r="DG21" s="159"/>
      <c r="DH21" s="160"/>
      <c r="DI21" s="160"/>
      <c r="DJ21" s="160"/>
      <c r="DK21" s="160"/>
      <c r="DL21" s="160"/>
      <c r="DM21" s="161"/>
      <c r="DN21" s="161"/>
      <c r="DO21" s="161"/>
      <c r="DP21" s="160"/>
      <c r="DQ21" s="161" t="s">
        <v>10</v>
      </c>
      <c r="DR21" s="161" t="s">
        <v>10</v>
      </c>
      <c r="DS21" s="161" t="s">
        <v>10</v>
      </c>
      <c r="DT21" s="161" t="s">
        <v>10</v>
      </c>
      <c r="DU21" s="161" t="s">
        <v>10</v>
      </c>
      <c r="DV21" s="161"/>
      <c r="DW21" s="161"/>
      <c r="DX21" s="161">
        <v>0</v>
      </c>
      <c r="DY21" s="161">
        <v>0</v>
      </c>
      <c r="DZ21" s="161">
        <v>0</v>
      </c>
      <c r="EA21" s="161">
        <v>0</v>
      </c>
      <c r="EB21" s="161">
        <v>0</v>
      </c>
      <c r="EC21" s="161">
        <v>0</v>
      </c>
      <c r="ED21" s="162"/>
      <c r="EF21" s="50" t="s">
        <v>221</v>
      </c>
      <c r="EG21" s="50" t="s">
        <v>221</v>
      </c>
      <c r="EH21" s="50" t="s">
        <v>221</v>
      </c>
      <c r="EI21" s="50" t="s">
        <v>221</v>
      </c>
      <c r="EJ21" s="74" t="s">
        <v>278</v>
      </c>
      <c r="EK21" s="74" t="s">
        <v>279</v>
      </c>
      <c r="EN21" s="74" t="s">
        <v>221</v>
      </c>
      <c r="EO21" s="163"/>
      <c r="EP21" s="163"/>
      <c r="EQ21" s="163"/>
      <c r="ER21" s="163"/>
      <c r="ES21" s="163"/>
      <c r="ET21" s="163"/>
      <c r="EU21" s="163"/>
      <c r="EV21" s="164"/>
      <c r="EX21" s="163"/>
      <c r="EY21" s="163"/>
      <c r="EZ21" s="163"/>
      <c r="FA21" s="163"/>
      <c r="FB21" s="163"/>
      <c r="FC21" s="163"/>
      <c r="FD21" s="163"/>
      <c r="FE21" s="50" t="str">
        <f t="shared" si="1"/>
        <v>6</v>
      </c>
      <c r="FF21" s="198" t="str">
        <f t="shared" si="2"/>
        <v/>
      </c>
      <c r="FG21" s="198" t="str">
        <f t="shared" si="3"/>
        <v/>
      </c>
      <c r="FI21" s="198" t="str">
        <f t="shared" si="4"/>
        <v/>
      </c>
      <c r="FJ21" s="198">
        <f t="shared" si="5"/>
        <v>0</v>
      </c>
      <c r="FK21" s="198">
        <f t="shared" si="6"/>
        <v>0</v>
      </c>
    </row>
    <row r="22" spans="6:167" ht="32.25" customHeight="1">
      <c r="F22" s="165">
        <v>6</v>
      </c>
      <c r="G22" s="166">
        <v>1</v>
      </c>
      <c r="H22" s="166" t="s">
        <v>10</v>
      </c>
      <c r="I22" s="167"/>
      <c r="J22" s="168"/>
      <c r="K22" s="169" t="s">
        <v>8</v>
      </c>
      <c r="L22" s="169"/>
      <c r="M22" s="170"/>
      <c r="N22" s="171" t="s">
        <v>280</v>
      </c>
      <c r="O22" s="172"/>
      <c r="P22" s="172"/>
      <c r="Q22" s="172"/>
      <c r="R22" s="172"/>
      <c r="S22" s="171"/>
      <c r="T22" s="171"/>
      <c r="U22" s="174" t="s">
        <v>229</v>
      </c>
      <c r="V22" s="175" t="s">
        <v>229</v>
      </c>
      <c r="W22" s="176" t="s">
        <v>229</v>
      </c>
      <c r="X22" s="177" t="s">
        <v>227</v>
      </c>
      <c r="Y22" s="178" t="s">
        <v>228</v>
      </c>
      <c r="Z22" s="179" t="s">
        <v>227</v>
      </c>
      <c r="AA22" s="175" t="s">
        <v>227</v>
      </c>
      <c r="AB22" s="176" t="s">
        <v>227</v>
      </c>
      <c r="AC22" s="177" t="s">
        <v>229</v>
      </c>
      <c r="AD22" s="180" t="s">
        <v>229</v>
      </c>
      <c r="AE22" s="180" t="s">
        <v>229</v>
      </c>
      <c r="AF22" s="180" t="s">
        <v>229</v>
      </c>
      <c r="AG22" s="179" t="s">
        <v>229</v>
      </c>
      <c r="AH22" s="175" t="s">
        <v>229</v>
      </c>
      <c r="AI22" s="181" t="s">
        <v>229</v>
      </c>
      <c r="AJ22" s="176" t="s">
        <v>229</v>
      </c>
      <c r="AK22" s="177" t="s">
        <v>227</v>
      </c>
      <c r="AL22" s="179" t="s">
        <v>227</v>
      </c>
      <c r="AM22" s="175" t="s">
        <v>227</v>
      </c>
      <c r="AN22" s="176" t="s">
        <v>227</v>
      </c>
      <c r="AO22" s="177" t="s">
        <v>227</v>
      </c>
      <c r="AP22" s="179" t="s">
        <v>227</v>
      </c>
      <c r="AQ22" s="175" t="s">
        <v>229</v>
      </c>
      <c r="AR22" s="175" t="s">
        <v>229</v>
      </c>
      <c r="AS22" s="181" t="s">
        <v>229</v>
      </c>
      <c r="AT22" s="181" t="s">
        <v>229</v>
      </c>
      <c r="AU22" s="181" t="s">
        <v>229</v>
      </c>
      <c r="AV22" s="181" t="s">
        <v>229</v>
      </c>
      <c r="AW22" s="176" t="s">
        <v>229</v>
      </c>
      <c r="AX22" s="177" t="s">
        <v>229</v>
      </c>
      <c r="AY22" s="180" t="s">
        <v>229</v>
      </c>
      <c r="AZ22" s="180" t="s">
        <v>229</v>
      </c>
      <c r="BA22" s="179" t="s">
        <v>229</v>
      </c>
      <c r="BB22" s="175" t="s">
        <v>229</v>
      </c>
      <c r="BC22" s="176" t="s">
        <v>229</v>
      </c>
      <c r="BD22" s="177" t="s">
        <v>229</v>
      </c>
      <c r="BE22" s="179" t="s">
        <v>229</v>
      </c>
      <c r="BF22" s="175" t="s">
        <v>229</v>
      </c>
      <c r="BG22" s="176" t="s">
        <v>229</v>
      </c>
      <c r="BH22" s="177" t="s">
        <v>229</v>
      </c>
      <c r="BI22" s="183" t="s">
        <v>229</v>
      </c>
      <c r="BJ22" s="180" t="s">
        <v>229</v>
      </c>
      <c r="BK22" s="180" t="s">
        <v>229</v>
      </c>
      <c r="BL22" s="184" t="s">
        <v>229</v>
      </c>
      <c r="BM22" s="179" t="s">
        <v>229</v>
      </c>
      <c r="BN22" s="175" t="s">
        <v>229</v>
      </c>
      <c r="BO22" s="185" t="s">
        <v>229</v>
      </c>
      <c r="BP22" s="176" t="s">
        <v>229</v>
      </c>
      <c r="BQ22" s="177" t="s">
        <v>229</v>
      </c>
      <c r="BR22" s="179" t="s">
        <v>229</v>
      </c>
      <c r="BS22" s="175" t="s">
        <v>229</v>
      </c>
      <c r="BT22" s="176" t="s">
        <v>229</v>
      </c>
      <c r="BU22" s="177" t="s">
        <v>229</v>
      </c>
      <c r="BV22" s="180" t="s">
        <v>229</v>
      </c>
      <c r="BW22" s="186" t="s">
        <v>227</v>
      </c>
      <c r="BX22" s="180" t="s">
        <v>229</v>
      </c>
      <c r="BY22" s="180" t="s">
        <v>229</v>
      </c>
      <c r="BZ22" s="187" t="s">
        <v>227</v>
      </c>
      <c r="CA22" s="175" t="s">
        <v>229</v>
      </c>
      <c r="CB22" s="176" t="s">
        <v>229</v>
      </c>
      <c r="CC22" s="177" t="s">
        <v>229</v>
      </c>
      <c r="CD22" s="179" t="s">
        <v>229</v>
      </c>
      <c r="CE22" s="188" t="s">
        <v>229</v>
      </c>
      <c r="CF22" s="189" t="s">
        <v>227</v>
      </c>
      <c r="CG22" s="186" t="s">
        <v>227</v>
      </c>
      <c r="CH22" s="187" t="s">
        <v>227</v>
      </c>
      <c r="CI22" s="188" t="s">
        <v>229</v>
      </c>
      <c r="CJ22" s="177" t="s">
        <v>229</v>
      </c>
      <c r="CK22" s="183" t="s">
        <v>229</v>
      </c>
      <c r="CL22" s="180" t="s">
        <v>227</v>
      </c>
      <c r="CM22" s="179" t="s">
        <v>227</v>
      </c>
      <c r="CN22" s="175" t="s">
        <v>229</v>
      </c>
      <c r="CO22" s="182" t="s">
        <v>229</v>
      </c>
      <c r="CP22" s="181" t="s">
        <v>227</v>
      </c>
      <c r="CQ22" s="176" t="s">
        <v>227</v>
      </c>
      <c r="CR22" s="177" t="s">
        <v>227</v>
      </c>
      <c r="CS22" s="180" t="s">
        <v>227</v>
      </c>
      <c r="CT22" s="180" t="s">
        <v>227</v>
      </c>
      <c r="CU22" s="180" t="s">
        <v>227</v>
      </c>
      <c r="CV22" s="180" t="s">
        <v>227</v>
      </c>
      <c r="CW22" s="179" t="s">
        <v>227</v>
      </c>
      <c r="CX22" s="188" t="s">
        <v>227</v>
      </c>
      <c r="CY22" s="174" t="s">
        <v>227</v>
      </c>
      <c r="CZ22" s="188" t="s">
        <v>227</v>
      </c>
      <c r="DA22" s="174" t="s">
        <v>227</v>
      </c>
      <c r="DB22" s="188" t="s">
        <v>227</v>
      </c>
      <c r="DC22" s="190" t="s">
        <v>227</v>
      </c>
      <c r="DD22" s="236" t="s">
        <v>281</v>
      </c>
      <c r="DE22" s="192">
        <v>55</v>
      </c>
      <c r="DF22" s="237">
        <v>50</v>
      </c>
      <c r="DG22" s="194"/>
      <c r="DH22" s="195"/>
      <c r="DI22" s="195"/>
      <c r="DJ22" s="195"/>
      <c r="DK22" s="195"/>
      <c r="DL22" s="195"/>
      <c r="DM22" s="196"/>
      <c r="DN22" s="196"/>
      <c r="DO22" s="196"/>
      <c r="DP22" s="195"/>
      <c r="DQ22" s="196">
        <v>0</v>
      </c>
      <c r="DR22" s="238">
        <v>2</v>
      </c>
      <c r="DS22" s="238">
        <v>7</v>
      </c>
      <c r="DT22" s="238">
        <v>7</v>
      </c>
      <c r="DU22" s="238">
        <v>4</v>
      </c>
      <c r="DV22" s="239">
        <v>5.94</v>
      </c>
      <c r="DW22" s="239">
        <v>5.0599999999999996</v>
      </c>
      <c r="DX22" s="196">
        <v>20</v>
      </c>
      <c r="DY22" s="196">
        <v>0</v>
      </c>
      <c r="DZ22" s="196">
        <v>0</v>
      </c>
      <c r="EA22" s="196">
        <v>0</v>
      </c>
      <c r="EB22" s="196">
        <v>0</v>
      </c>
      <c r="EC22" s="196">
        <v>0</v>
      </c>
      <c r="ED22" s="197" t="s">
        <v>282</v>
      </c>
      <c r="EE22" s="50" t="s">
        <v>220</v>
      </c>
      <c r="EF22" s="50" t="s">
        <v>232</v>
      </c>
      <c r="EG22" s="50" t="s">
        <v>221</v>
      </c>
      <c r="EH22" s="50" t="s">
        <v>221</v>
      </c>
      <c r="EI22" s="50" t="s">
        <v>221</v>
      </c>
      <c r="EJ22" s="74" t="s">
        <v>278</v>
      </c>
      <c r="EL22" s="50">
        <v>5.94</v>
      </c>
      <c r="EM22" s="50">
        <v>5.0599999999999996</v>
      </c>
      <c r="EN22" s="50" t="s">
        <v>253</v>
      </c>
      <c r="EO22" s="163"/>
      <c r="EP22" s="163"/>
      <c r="EQ22" s="163"/>
      <c r="ER22" s="163"/>
      <c r="ES22" s="163"/>
      <c r="ET22" s="163"/>
      <c r="EU22" s="163"/>
      <c r="EV22" s="164"/>
      <c r="EX22" s="240">
        <v>2</v>
      </c>
      <c r="EY22" s="241"/>
      <c r="EZ22" s="241">
        <v>0.4</v>
      </c>
      <c r="FA22" s="240">
        <v>5.94</v>
      </c>
      <c r="FB22" s="240">
        <v>1.1880000000000002</v>
      </c>
      <c r="FC22" s="240">
        <v>7</v>
      </c>
      <c r="FD22" s="240">
        <v>5.0599999999999996</v>
      </c>
      <c r="FE22" s="50" t="str">
        <f t="shared" si="1"/>
        <v>6_1</v>
      </c>
      <c r="FF22" s="198">
        <f t="shared" si="2"/>
        <v>2</v>
      </c>
      <c r="FG22" s="198">
        <f t="shared" si="3"/>
        <v>7</v>
      </c>
      <c r="FI22" s="198">
        <f t="shared" si="4"/>
        <v>4</v>
      </c>
      <c r="FJ22" s="198">
        <f t="shared" si="5"/>
        <v>5.94</v>
      </c>
      <c r="FK22" s="198">
        <f t="shared" si="6"/>
        <v>5.0599999999999996</v>
      </c>
    </row>
    <row r="23" spans="6:167" ht="45" customHeight="1">
      <c r="F23" s="165">
        <v>6</v>
      </c>
      <c r="G23" s="166">
        <v>2</v>
      </c>
      <c r="H23" s="166" t="s">
        <v>10</v>
      </c>
      <c r="I23" s="167"/>
      <c r="J23" s="168"/>
      <c r="K23" s="169" t="s">
        <v>260</v>
      </c>
      <c r="L23" s="169"/>
      <c r="M23" s="170"/>
      <c r="N23" s="171" t="s">
        <v>283</v>
      </c>
      <c r="O23" s="172"/>
      <c r="P23" s="172"/>
      <c r="Q23" s="205"/>
      <c r="R23" s="205"/>
      <c r="S23" s="171"/>
      <c r="T23" s="171"/>
      <c r="U23" s="174" t="s">
        <v>229</v>
      </c>
      <c r="V23" s="175" t="s">
        <v>229</v>
      </c>
      <c r="W23" s="176" t="s">
        <v>229</v>
      </c>
      <c r="X23" s="177" t="s">
        <v>227</v>
      </c>
      <c r="Y23" s="178" t="s">
        <v>228</v>
      </c>
      <c r="Z23" s="179" t="s">
        <v>227</v>
      </c>
      <c r="AA23" s="175" t="s">
        <v>227</v>
      </c>
      <c r="AB23" s="176" t="s">
        <v>227</v>
      </c>
      <c r="AC23" s="177" t="s">
        <v>229</v>
      </c>
      <c r="AD23" s="180" t="s">
        <v>229</v>
      </c>
      <c r="AE23" s="180" t="s">
        <v>229</v>
      </c>
      <c r="AF23" s="180" t="s">
        <v>229</v>
      </c>
      <c r="AG23" s="179" t="s">
        <v>229</v>
      </c>
      <c r="AH23" s="175" t="s">
        <v>229</v>
      </c>
      <c r="AI23" s="181" t="s">
        <v>229</v>
      </c>
      <c r="AJ23" s="176" t="s">
        <v>229</v>
      </c>
      <c r="AK23" s="177" t="s">
        <v>227</v>
      </c>
      <c r="AL23" s="179" t="s">
        <v>227</v>
      </c>
      <c r="AM23" s="175" t="s">
        <v>227</v>
      </c>
      <c r="AN23" s="176" t="s">
        <v>227</v>
      </c>
      <c r="AO23" s="177" t="s">
        <v>227</v>
      </c>
      <c r="AP23" s="179" t="s">
        <v>227</v>
      </c>
      <c r="AQ23" s="175" t="s">
        <v>229</v>
      </c>
      <c r="AR23" s="175" t="s">
        <v>229</v>
      </c>
      <c r="AS23" s="181" t="s">
        <v>229</v>
      </c>
      <c r="AT23" s="181" t="s">
        <v>229</v>
      </c>
      <c r="AU23" s="181" t="s">
        <v>229</v>
      </c>
      <c r="AV23" s="181" t="s">
        <v>229</v>
      </c>
      <c r="AW23" s="176" t="s">
        <v>229</v>
      </c>
      <c r="AX23" s="177" t="s">
        <v>229</v>
      </c>
      <c r="AY23" s="180" t="s">
        <v>229</v>
      </c>
      <c r="AZ23" s="180" t="s">
        <v>229</v>
      </c>
      <c r="BA23" s="179" t="s">
        <v>229</v>
      </c>
      <c r="BB23" s="175" t="s">
        <v>229</v>
      </c>
      <c r="BC23" s="176" t="s">
        <v>229</v>
      </c>
      <c r="BD23" s="177" t="s">
        <v>229</v>
      </c>
      <c r="BE23" s="179" t="s">
        <v>229</v>
      </c>
      <c r="BF23" s="175" t="s">
        <v>229</v>
      </c>
      <c r="BG23" s="176" t="s">
        <v>229</v>
      </c>
      <c r="BH23" s="177" t="s">
        <v>229</v>
      </c>
      <c r="BI23" s="183" t="s">
        <v>229</v>
      </c>
      <c r="BJ23" s="180" t="s">
        <v>229</v>
      </c>
      <c r="BK23" s="180" t="s">
        <v>229</v>
      </c>
      <c r="BL23" s="184" t="s">
        <v>229</v>
      </c>
      <c r="BM23" s="179" t="s">
        <v>229</v>
      </c>
      <c r="BN23" s="175" t="s">
        <v>229</v>
      </c>
      <c r="BO23" s="185" t="s">
        <v>229</v>
      </c>
      <c r="BP23" s="176" t="s">
        <v>229</v>
      </c>
      <c r="BQ23" s="177" t="s">
        <v>229</v>
      </c>
      <c r="BR23" s="179" t="s">
        <v>229</v>
      </c>
      <c r="BS23" s="175" t="s">
        <v>229</v>
      </c>
      <c r="BT23" s="176" t="s">
        <v>229</v>
      </c>
      <c r="BU23" s="177" t="s">
        <v>229</v>
      </c>
      <c r="BV23" s="180" t="s">
        <v>229</v>
      </c>
      <c r="BW23" s="186" t="s">
        <v>227</v>
      </c>
      <c r="BX23" s="180" t="s">
        <v>229</v>
      </c>
      <c r="BY23" s="180" t="s">
        <v>229</v>
      </c>
      <c r="BZ23" s="187" t="s">
        <v>227</v>
      </c>
      <c r="CA23" s="175" t="s">
        <v>229</v>
      </c>
      <c r="CB23" s="176" t="s">
        <v>229</v>
      </c>
      <c r="CC23" s="177" t="s">
        <v>229</v>
      </c>
      <c r="CD23" s="179" t="s">
        <v>229</v>
      </c>
      <c r="CE23" s="188" t="s">
        <v>229</v>
      </c>
      <c r="CF23" s="189" t="s">
        <v>227</v>
      </c>
      <c r="CG23" s="186" t="s">
        <v>227</v>
      </c>
      <c r="CH23" s="187" t="s">
        <v>227</v>
      </c>
      <c r="CI23" s="188" t="s">
        <v>229</v>
      </c>
      <c r="CJ23" s="177" t="s">
        <v>229</v>
      </c>
      <c r="CK23" s="183" t="s">
        <v>229</v>
      </c>
      <c r="CL23" s="180" t="s">
        <v>227</v>
      </c>
      <c r="CM23" s="179" t="s">
        <v>227</v>
      </c>
      <c r="CN23" s="175" t="s">
        <v>229</v>
      </c>
      <c r="CO23" s="182" t="s">
        <v>229</v>
      </c>
      <c r="CP23" s="181" t="s">
        <v>227</v>
      </c>
      <c r="CQ23" s="176" t="s">
        <v>227</v>
      </c>
      <c r="CR23" s="177" t="s">
        <v>227</v>
      </c>
      <c r="CS23" s="180" t="s">
        <v>227</v>
      </c>
      <c r="CT23" s="180" t="s">
        <v>227</v>
      </c>
      <c r="CU23" s="180" t="s">
        <v>227</v>
      </c>
      <c r="CV23" s="180" t="s">
        <v>227</v>
      </c>
      <c r="CW23" s="179" t="s">
        <v>227</v>
      </c>
      <c r="CX23" s="188" t="s">
        <v>227</v>
      </c>
      <c r="CY23" s="174" t="s">
        <v>227</v>
      </c>
      <c r="CZ23" s="188" t="s">
        <v>227</v>
      </c>
      <c r="DA23" s="174" t="s">
        <v>227</v>
      </c>
      <c r="DB23" s="188" t="s">
        <v>227</v>
      </c>
      <c r="DC23" s="190" t="s">
        <v>227</v>
      </c>
      <c r="DD23" s="236" t="s">
        <v>281</v>
      </c>
      <c r="DE23" s="192">
        <v>55</v>
      </c>
      <c r="DF23" s="237">
        <v>100</v>
      </c>
      <c r="DG23" s="194"/>
      <c r="DH23" s="195"/>
      <c r="DI23" s="195"/>
      <c r="DJ23" s="195"/>
      <c r="DK23" s="195"/>
      <c r="DL23" s="195"/>
      <c r="DM23" s="196"/>
      <c r="DN23" s="196"/>
      <c r="DO23" s="196"/>
      <c r="DP23" s="195"/>
      <c r="DQ23" s="196">
        <v>0</v>
      </c>
      <c r="DR23" s="238">
        <v>0</v>
      </c>
      <c r="DS23" s="238">
        <v>0</v>
      </c>
      <c r="DT23" s="238">
        <v>0</v>
      </c>
      <c r="DU23" s="238">
        <v>5</v>
      </c>
      <c r="DV23" s="239">
        <v>2.7</v>
      </c>
      <c r="DW23" s="239">
        <v>2.2999999999999998</v>
      </c>
      <c r="DX23" s="196">
        <v>5</v>
      </c>
      <c r="DY23" s="196"/>
      <c r="DZ23" s="196"/>
      <c r="EA23" s="196"/>
      <c r="EB23" s="196"/>
      <c r="EC23" s="196"/>
      <c r="ED23" s="201" t="s">
        <v>284</v>
      </c>
      <c r="EE23" s="50" t="s">
        <v>220</v>
      </c>
      <c r="EF23" s="50" t="s">
        <v>232</v>
      </c>
      <c r="EG23" s="50" t="s">
        <v>221</v>
      </c>
      <c r="EH23" s="50" t="s">
        <v>221</v>
      </c>
      <c r="EI23" s="50" t="s">
        <v>221</v>
      </c>
      <c r="EJ23" s="74" t="s">
        <v>278</v>
      </c>
      <c r="EL23" s="50">
        <v>2.7</v>
      </c>
      <c r="EM23" s="50">
        <v>2.2999999999999998</v>
      </c>
      <c r="EN23" s="50" t="s">
        <v>253</v>
      </c>
      <c r="EO23" s="163"/>
      <c r="EP23" s="163"/>
      <c r="EQ23" s="163"/>
      <c r="ER23" s="163"/>
      <c r="ES23" s="163"/>
      <c r="ET23" s="163"/>
      <c r="EU23" s="163"/>
      <c r="EV23" s="164"/>
      <c r="EX23" s="240">
        <v>0</v>
      </c>
      <c r="EY23" s="242"/>
      <c r="EZ23" s="242">
        <v>0</v>
      </c>
      <c r="FA23" s="240">
        <v>2.7</v>
      </c>
      <c r="FB23" s="240">
        <v>0.54</v>
      </c>
      <c r="FC23" s="240">
        <v>0</v>
      </c>
      <c r="FD23" s="240">
        <v>2.2999999999999998</v>
      </c>
      <c r="FE23" s="50" t="str">
        <f t="shared" si="1"/>
        <v>6_2</v>
      </c>
      <c r="FF23" s="198">
        <f t="shared" si="2"/>
        <v>0</v>
      </c>
      <c r="FG23" s="198">
        <f t="shared" si="3"/>
        <v>0</v>
      </c>
      <c r="FI23" s="198">
        <f t="shared" si="4"/>
        <v>5</v>
      </c>
      <c r="FJ23" s="198">
        <f t="shared" si="5"/>
        <v>2.7</v>
      </c>
      <c r="FK23" s="198">
        <f t="shared" si="6"/>
        <v>2.2999999999999998</v>
      </c>
    </row>
    <row r="24" spans="6:167" ht="45" customHeight="1">
      <c r="F24" s="165">
        <v>6</v>
      </c>
      <c r="G24" s="166">
        <v>4</v>
      </c>
      <c r="H24" s="166" t="s">
        <v>10</v>
      </c>
      <c r="I24" s="167"/>
      <c r="J24" s="168"/>
      <c r="K24" s="169" t="s">
        <v>263</v>
      </c>
      <c r="L24" s="169"/>
      <c r="M24" s="170"/>
      <c r="N24" s="171" t="s">
        <v>283</v>
      </c>
      <c r="O24" s="172"/>
      <c r="P24" s="172"/>
      <c r="Q24" s="205"/>
      <c r="R24" s="205"/>
      <c r="S24" s="171"/>
      <c r="T24" s="171"/>
      <c r="U24" s="174" t="s">
        <v>229</v>
      </c>
      <c r="V24" s="175" t="s">
        <v>229</v>
      </c>
      <c r="W24" s="176" t="s">
        <v>229</v>
      </c>
      <c r="X24" s="177" t="s">
        <v>227</v>
      </c>
      <c r="Y24" s="178" t="s">
        <v>228</v>
      </c>
      <c r="Z24" s="179" t="s">
        <v>227</v>
      </c>
      <c r="AA24" s="175" t="s">
        <v>227</v>
      </c>
      <c r="AB24" s="176" t="s">
        <v>227</v>
      </c>
      <c r="AC24" s="177" t="s">
        <v>229</v>
      </c>
      <c r="AD24" s="180" t="s">
        <v>229</v>
      </c>
      <c r="AE24" s="180" t="s">
        <v>229</v>
      </c>
      <c r="AF24" s="180" t="s">
        <v>229</v>
      </c>
      <c r="AG24" s="179" t="s">
        <v>229</v>
      </c>
      <c r="AH24" s="175" t="s">
        <v>229</v>
      </c>
      <c r="AI24" s="181" t="s">
        <v>229</v>
      </c>
      <c r="AJ24" s="176" t="s">
        <v>229</v>
      </c>
      <c r="AK24" s="177" t="s">
        <v>227</v>
      </c>
      <c r="AL24" s="179" t="s">
        <v>227</v>
      </c>
      <c r="AM24" s="175" t="s">
        <v>227</v>
      </c>
      <c r="AN24" s="176" t="s">
        <v>227</v>
      </c>
      <c r="AO24" s="177" t="s">
        <v>227</v>
      </c>
      <c r="AP24" s="179" t="s">
        <v>227</v>
      </c>
      <c r="AQ24" s="175" t="s">
        <v>229</v>
      </c>
      <c r="AR24" s="175" t="s">
        <v>229</v>
      </c>
      <c r="AS24" s="181" t="s">
        <v>229</v>
      </c>
      <c r="AT24" s="181" t="s">
        <v>229</v>
      </c>
      <c r="AU24" s="181" t="s">
        <v>229</v>
      </c>
      <c r="AV24" s="181" t="s">
        <v>229</v>
      </c>
      <c r="AW24" s="176" t="s">
        <v>229</v>
      </c>
      <c r="AX24" s="177" t="s">
        <v>229</v>
      </c>
      <c r="AY24" s="180" t="s">
        <v>229</v>
      </c>
      <c r="AZ24" s="180" t="s">
        <v>229</v>
      </c>
      <c r="BA24" s="179" t="s">
        <v>229</v>
      </c>
      <c r="BB24" s="175" t="s">
        <v>229</v>
      </c>
      <c r="BC24" s="176" t="s">
        <v>229</v>
      </c>
      <c r="BD24" s="177" t="s">
        <v>229</v>
      </c>
      <c r="BE24" s="179" t="s">
        <v>229</v>
      </c>
      <c r="BF24" s="175" t="s">
        <v>229</v>
      </c>
      <c r="BG24" s="176" t="s">
        <v>229</v>
      </c>
      <c r="BH24" s="177" t="s">
        <v>229</v>
      </c>
      <c r="BI24" s="183" t="s">
        <v>229</v>
      </c>
      <c r="BJ24" s="180" t="s">
        <v>229</v>
      </c>
      <c r="BK24" s="180" t="s">
        <v>229</v>
      </c>
      <c r="BL24" s="184" t="s">
        <v>229</v>
      </c>
      <c r="BM24" s="179" t="s">
        <v>229</v>
      </c>
      <c r="BN24" s="175" t="s">
        <v>229</v>
      </c>
      <c r="BO24" s="185" t="s">
        <v>229</v>
      </c>
      <c r="BP24" s="176" t="s">
        <v>229</v>
      </c>
      <c r="BQ24" s="177" t="s">
        <v>229</v>
      </c>
      <c r="BR24" s="179" t="s">
        <v>229</v>
      </c>
      <c r="BS24" s="175" t="s">
        <v>229</v>
      </c>
      <c r="BT24" s="176" t="s">
        <v>229</v>
      </c>
      <c r="BU24" s="177" t="s">
        <v>229</v>
      </c>
      <c r="BV24" s="180" t="s">
        <v>229</v>
      </c>
      <c r="BW24" s="186" t="s">
        <v>227</v>
      </c>
      <c r="BX24" s="180" t="s">
        <v>229</v>
      </c>
      <c r="BY24" s="180" t="s">
        <v>229</v>
      </c>
      <c r="BZ24" s="187" t="s">
        <v>227</v>
      </c>
      <c r="CA24" s="175" t="s">
        <v>229</v>
      </c>
      <c r="CB24" s="176" t="s">
        <v>229</v>
      </c>
      <c r="CC24" s="177" t="s">
        <v>229</v>
      </c>
      <c r="CD24" s="179" t="s">
        <v>229</v>
      </c>
      <c r="CE24" s="188" t="s">
        <v>229</v>
      </c>
      <c r="CF24" s="189" t="s">
        <v>227</v>
      </c>
      <c r="CG24" s="186" t="s">
        <v>227</v>
      </c>
      <c r="CH24" s="187" t="s">
        <v>227</v>
      </c>
      <c r="CI24" s="188" t="s">
        <v>229</v>
      </c>
      <c r="CJ24" s="177" t="s">
        <v>229</v>
      </c>
      <c r="CK24" s="183" t="s">
        <v>229</v>
      </c>
      <c r="CL24" s="180" t="s">
        <v>227</v>
      </c>
      <c r="CM24" s="179" t="s">
        <v>227</v>
      </c>
      <c r="CN24" s="175" t="s">
        <v>229</v>
      </c>
      <c r="CO24" s="182" t="s">
        <v>229</v>
      </c>
      <c r="CP24" s="181" t="s">
        <v>227</v>
      </c>
      <c r="CQ24" s="176" t="s">
        <v>227</v>
      </c>
      <c r="CR24" s="177" t="s">
        <v>227</v>
      </c>
      <c r="CS24" s="180" t="s">
        <v>227</v>
      </c>
      <c r="CT24" s="180" t="s">
        <v>227</v>
      </c>
      <c r="CU24" s="180" t="s">
        <v>227</v>
      </c>
      <c r="CV24" s="180" t="s">
        <v>227</v>
      </c>
      <c r="CW24" s="179" t="s">
        <v>227</v>
      </c>
      <c r="CX24" s="188" t="s">
        <v>227</v>
      </c>
      <c r="CY24" s="174" t="s">
        <v>227</v>
      </c>
      <c r="CZ24" s="188" t="s">
        <v>227</v>
      </c>
      <c r="DA24" s="174" t="s">
        <v>227</v>
      </c>
      <c r="DB24" s="188" t="s">
        <v>227</v>
      </c>
      <c r="DC24" s="190" t="s">
        <v>227</v>
      </c>
      <c r="DD24" s="236" t="s">
        <v>281</v>
      </c>
      <c r="DE24" s="192">
        <v>55</v>
      </c>
      <c r="DF24" s="237">
        <v>100</v>
      </c>
      <c r="DG24" s="194"/>
      <c r="DH24" s="195"/>
      <c r="DI24" s="195"/>
      <c r="DJ24" s="195"/>
      <c r="DK24" s="195"/>
      <c r="DL24" s="195"/>
      <c r="DM24" s="196"/>
      <c r="DN24" s="196"/>
      <c r="DO24" s="196"/>
      <c r="DP24" s="195"/>
      <c r="DQ24" s="196">
        <v>0</v>
      </c>
      <c r="DR24" s="238">
        <v>0</v>
      </c>
      <c r="DS24" s="238">
        <v>0</v>
      </c>
      <c r="DT24" s="238">
        <v>0</v>
      </c>
      <c r="DU24" s="238">
        <v>5</v>
      </c>
      <c r="DV24" s="239">
        <v>2.7</v>
      </c>
      <c r="DW24" s="239">
        <v>2.2999999999999998</v>
      </c>
      <c r="DX24" s="196">
        <v>5</v>
      </c>
      <c r="DY24" s="196"/>
      <c r="DZ24" s="196"/>
      <c r="EA24" s="196"/>
      <c r="EB24" s="196"/>
      <c r="EC24" s="196"/>
      <c r="ED24" s="201" t="s">
        <v>285</v>
      </c>
      <c r="EE24" s="50" t="s">
        <v>220</v>
      </c>
      <c r="EF24" s="50" t="s">
        <v>232</v>
      </c>
      <c r="EG24" s="50" t="s">
        <v>221</v>
      </c>
      <c r="EH24" s="50" t="s">
        <v>221</v>
      </c>
      <c r="EI24" s="50" t="s">
        <v>221</v>
      </c>
      <c r="EJ24" s="74" t="s">
        <v>278</v>
      </c>
      <c r="EL24" s="50">
        <v>2.7</v>
      </c>
      <c r="EM24" s="50">
        <v>2.2999999999999998</v>
      </c>
      <c r="EN24" s="50" t="s">
        <v>253</v>
      </c>
      <c r="EO24" s="163"/>
      <c r="EP24" s="163"/>
      <c r="EQ24" s="163"/>
      <c r="ER24" s="163"/>
      <c r="ES24" s="163"/>
      <c r="ET24" s="163"/>
      <c r="EU24" s="163"/>
      <c r="EV24" s="164"/>
      <c r="EX24" s="240">
        <v>0</v>
      </c>
      <c r="EY24" s="242"/>
      <c r="EZ24" s="242">
        <v>0</v>
      </c>
      <c r="FA24" s="240">
        <v>2.7</v>
      </c>
      <c r="FB24" s="240">
        <v>0.54</v>
      </c>
      <c r="FC24" s="240">
        <v>0</v>
      </c>
      <c r="FD24" s="240">
        <v>2.2999999999999998</v>
      </c>
      <c r="FE24" s="50" t="str">
        <f t="shared" si="1"/>
        <v>6_4</v>
      </c>
      <c r="FF24" s="198">
        <f t="shared" si="2"/>
        <v>0</v>
      </c>
      <c r="FG24" s="198">
        <f t="shared" si="3"/>
        <v>0</v>
      </c>
      <c r="FI24" s="198">
        <f t="shared" si="4"/>
        <v>5</v>
      </c>
      <c r="FJ24" s="198">
        <f t="shared" si="5"/>
        <v>2.7</v>
      </c>
      <c r="FK24" s="198">
        <f t="shared" si="6"/>
        <v>2.2999999999999998</v>
      </c>
    </row>
    <row r="25" spans="6:167" ht="30.75" customHeight="1">
      <c r="F25" s="165">
        <v>6</v>
      </c>
      <c r="G25" s="166">
        <v>5</v>
      </c>
      <c r="H25" s="166" t="s">
        <v>10</v>
      </c>
      <c r="I25" s="167"/>
      <c r="J25" s="168"/>
      <c r="K25" s="169" t="s">
        <v>223</v>
      </c>
      <c r="L25" s="169"/>
      <c r="M25" s="170"/>
      <c r="N25" s="171" t="s">
        <v>286</v>
      </c>
      <c r="O25" s="172"/>
      <c r="P25" s="172"/>
      <c r="Q25" s="205"/>
      <c r="R25" s="205"/>
      <c r="S25" s="171"/>
      <c r="T25" s="171"/>
      <c r="U25" s="174" t="s">
        <v>227</v>
      </c>
      <c r="V25" s="175" t="s">
        <v>227</v>
      </c>
      <c r="W25" s="176" t="s">
        <v>227</v>
      </c>
      <c r="X25" s="177" t="s">
        <v>227</v>
      </c>
      <c r="Y25" s="178" t="s">
        <v>228</v>
      </c>
      <c r="Z25" s="179" t="s">
        <v>227</v>
      </c>
      <c r="AA25" s="175" t="s">
        <v>227</v>
      </c>
      <c r="AB25" s="176" t="s">
        <v>227</v>
      </c>
      <c r="AC25" s="177" t="s">
        <v>227</v>
      </c>
      <c r="AD25" s="180" t="s">
        <v>227</v>
      </c>
      <c r="AE25" s="180" t="s">
        <v>228</v>
      </c>
      <c r="AF25" s="180" t="s">
        <v>228</v>
      </c>
      <c r="AG25" s="179" t="s">
        <v>228</v>
      </c>
      <c r="AH25" s="175" t="s">
        <v>227</v>
      </c>
      <c r="AI25" s="181" t="s">
        <v>227</v>
      </c>
      <c r="AJ25" s="176" t="s">
        <v>228</v>
      </c>
      <c r="AK25" s="177" t="s">
        <v>227</v>
      </c>
      <c r="AL25" s="179" t="s">
        <v>227</v>
      </c>
      <c r="AM25" s="175" t="s">
        <v>227</v>
      </c>
      <c r="AN25" s="176" t="s">
        <v>227</v>
      </c>
      <c r="AO25" s="177" t="s">
        <v>227</v>
      </c>
      <c r="AP25" s="179" t="s">
        <v>227</v>
      </c>
      <c r="AQ25" s="175" t="s">
        <v>227</v>
      </c>
      <c r="AR25" s="182" t="s">
        <v>228</v>
      </c>
      <c r="AS25" s="181" t="s">
        <v>227</v>
      </c>
      <c r="AT25" s="181" t="s">
        <v>227</v>
      </c>
      <c r="AU25" s="181" t="s">
        <v>228</v>
      </c>
      <c r="AV25" s="181" t="s">
        <v>227</v>
      </c>
      <c r="AW25" s="176" t="s">
        <v>227</v>
      </c>
      <c r="AX25" s="177" t="s">
        <v>227</v>
      </c>
      <c r="AY25" s="180" t="s">
        <v>227</v>
      </c>
      <c r="AZ25" s="180" t="s">
        <v>227</v>
      </c>
      <c r="BA25" s="179" t="s">
        <v>227</v>
      </c>
      <c r="BB25" s="175" t="s">
        <v>227</v>
      </c>
      <c r="BC25" s="176" t="s">
        <v>228</v>
      </c>
      <c r="BD25" s="177" t="s">
        <v>227</v>
      </c>
      <c r="BE25" s="179" t="s">
        <v>228</v>
      </c>
      <c r="BF25" s="175" t="s">
        <v>227</v>
      </c>
      <c r="BG25" s="176" t="s">
        <v>227</v>
      </c>
      <c r="BH25" s="177" t="s">
        <v>227</v>
      </c>
      <c r="BI25" s="183" t="s">
        <v>228</v>
      </c>
      <c r="BJ25" s="180" t="s">
        <v>227</v>
      </c>
      <c r="BK25" s="180" t="s">
        <v>227</v>
      </c>
      <c r="BL25" s="184" t="s">
        <v>228</v>
      </c>
      <c r="BM25" s="179" t="s">
        <v>227</v>
      </c>
      <c r="BN25" s="175" t="s">
        <v>227</v>
      </c>
      <c r="BO25" s="185" t="s">
        <v>228</v>
      </c>
      <c r="BP25" s="176" t="s">
        <v>227</v>
      </c>
      <c r="BQ25" s="177" t="s">
        <v>227</v>
      </c>
      <c r="BR25" s="179" t="s">
        <v>227</v>
      </c>
      <c r="BS25" s="175" t="s">
        <v>227</v>
      </c>
      <c r="BT25" s="176" t="s">
        <v>227</v>
      </c>
      <c r="BU25" s="177" t="s">
        <v>227</v>
      </c>
      <c r="BV25" s="180" t="s">
        <v>227</v>
      </c>
      <c r="BW25" s="186" t="s">
        <v>227</v>
      </c>
      <c r="BX25" s="180" t="s">
        <v>227</v>
      </c>
      <c r="BY25" s="180" t="s">
        <v>227</v>
      </c>
      <c r="BZ25" s="187" t="s">
        <v>227</v>
      </c>
      <c r="CA25" s="175" t="s">
        <v>227</v>
      </c>
      <c r="CB25" s="176" t="s">
        <v>227</v>
      </c>
      <c r="CC25" s="177" t="s">
        <v>227</v>
      </c>
      <c r="CD25" s="179" t="s">
        <v>227</v>
      </c>
      <c r="CE25" s="188" t="s">
        <v>227</v>
      </c>
      <c r="CF25" s="189" t="s">
        <v>227</v>
      </c>
      <c r="CG25" s="186" t="s">
        <v>227</v>
      </c>
      <c r="CH25" s="187" t="s">
        <v>227</v>
      </c>
      <c r="CI25" s="188" t="s">
        <v>227</v>
      </c>
      <c r="CJ25" s="177" t="s">
        <v>227</v>
      </c>
      <c r="CK25" s="183" t="s">
        <v>228</v>
      </c>
      <c r="CL25" s="180" t="s">
        <v>227</v>
      </c>
      <c r="CM25" s="179" t="s">
        <v>227</v>
      </c>
      <c r="CN25" s="175" t="s">
        <v>227</v>
      </c>
      <c r="CO25" s="182" t="s">
        <v>228</v>
      </c>
      <c r="CP25" s="181" t="s">
        <v>227</v>
      </c>
      <c r="CQ25" s="176" t="s">
        <v>227</v>
      </c>
      <c r="CR25" s="177" t="s">
        <v>227</v>
      </c>
      <c r="CS25" s="180" t="s">
        <v>227</v>
      </c>
      <c r="CT25" s="180" t="s">
        <v>227</v>
      </c>
      <c r="CU25" s="180" t="s">
        <v>227</v>
      </c>
      <c r="CV25" s="180" t="s">
        <v>227</v>
      </c>
      <c r="CW25" s="179" t="s">
        <v>227</v>
      </c>
      <c r="CX25" s="188" t="s">
        <v>227</v>
      </c>
      <c r="CY25" s="174" t="s">
        <v>227</v>
      </c>
      <c r="CZ25" s="188" t="s">
        <v>227</v>
      </c>
      <c r="DA25" s="174" t="s">
        <v>227</v>
      </c>
      <c r="DB25" s="188" t="s">
        <v>227</v>
      </c>
      <c r="DC25" s="190" t="s">
        <v>229</v>
      </c>
      <c r="DD25" s="203" t="s">
        <v>287</v>
      </c>
      <c r="DE25" s="192">
        <v>1</v>
      </c>
      <c r="DF25" s="204">
        <v>30</v>
      </c>
      <c r="DG25" s="194"/>
      <c r="DH25" s="195"/>
      <c r="DI25" s="195"/>
      <c r="DJ25" s="195"/>
      <c r="DK25" s="195"/>
      <c r="DL25" s="195"/>
      <c r="DM25" s="196"/>
      <c r="DN25" s="196"/>
      <c r="DO25" s="196"/>
      <c r="DP25" s="195"/>
      <c r="DQ25" s="196">
        <v>0</v>
      </c>
      <c r="DR25" s="239">
        <v>0.5</v>
      </c>
      <c r="DS25" s="239">
        <v>0</v>
      </c>
      <c r="DT25" s="239">
        <v>0</v>
      </c>
      <c r="DU25" s="239">
        <v>0</v>
      </c>
      <c r="DV25" s="239">
        <v>0</v>
      </c>
      <c r="DW25" s="239">
        <v>0</v>
      </c>
      <c r="DX25" s="196">
        <v>0.5</v>
      </c>
      <c r="DY25" s="196"/>
      <c r="DZ25" s="196"/>
      <c r="EA25" s="196"/>
      <c r="EB25" s="196"/>
      <c r="EC25" s="196"/>
      <c r="ED25" s="201" t="s">
        <v>288</v>
      </c>
      <c r="EE25" s="50" t="s">
        <v>220</v>
      </c>
      <c r="EF25" s="50" t="s">
        <v>232</v>
      </c>
      <c r="EG25" s="50" t="s">
        <v>221</v>
      </c>
      <c r="EH25" s="50" t="s">
        <v>221</v>
      </c>
      <c r="EI25" s="50" t="s">
        <v>221</v>
      </c>
      <c r="EJ25" s="74" t="s">
        <v>278</v>
      </c>
      <c r="EL25" s="50">
        <v>0</v>
      </c>
      <c r="EM25" s="50">
        <v>0</v>
      </c>
      <c r="EN25" s="50" t="s">
        <v>253</v>
      </c>
      <c r="EO25" s="163"/>
      <c r="EP25" s="163"/>
      <c r="EQ25" s="163"/>
      <c r="ER25" s="163"/>
      <c r="ES25" s="163"/>
      <c r="ET25" s="163"/>
      <c r="EU25" s="163"/>
      <c r="EV25" s="164"/>
      <c r="EX25" s="240">
        <v>0.5</v>
      </c>
      <c r="EY25" s="242"/>
      <c r="EZ25" s="242">
        <v>0.1</v>
      </c>
      <c r="FA25" s="240">
        <v>0</v>
      </c>
      <c r="FB25" s="240">
        <v>0</v>
      </c>
      <c r="FC25" s="240">
        <v>0</v>
      </c>
      <c r="FD25" s="240">
        <v>0</v>
      </c>
      <c r="FE25" s="50" t="str">
        <f t="shared" si="1"/>
        <v>6_5</v>
      </c>
      <c r="FF25" s="198">
        <f t="shared" si="2"/>
        <v>0.5</v>
      </c>
      <c r="FG25" s="198">
        <f t="shared" si="3"/>
        <v>0</v>
      </c>
      <c r="FI25" s="198">
        <f t="shared" si="4"/>
        <v>0</v>
      </c>
      <c r="FJ25" s="198">
        <f t="shared" si="5"/>
        <v>0</v>
      </c>
      <c r="FK25" s="198">
        <f t="shared" si="6"/>
        <v>0</v>
      </c>
    </row>
    <row r="26" spans="6:167" ht="60">
      <c r="F26" s="134">
        <v>7</v>
      </c>
      <c r="G26" s="135" t="s">
        <v>10</v>
      </c>
      <c r="H26" s="135" t="s">
        <v>10</v>
      </c>
      <c r="I26" s="136"/>
      <c r="J26" s="304" t="s">
        <v>289</v>
      </c>
      <c r="K26" s="305"/>
      <c r="L26" s="305"/>
      <c r="M26" s="306"/>
      <c r="N26" s="243"/>
      <c r="O26" s="138" t="s">
        <v>290</v>
      </c>
      <c r="P26" s="138"/>
      <c r="Q26" s="138"/>
      <c r="R26" s="138"/>
      <c r="S26" s="137"/>
      <c r="T26" s="137"/>
      <c r="U26" s="139"/>
      <c r="V26" s="140"/>
      <c r="W26" s="141"/>
      <c r="X26" s="142"/>
      <c r="Y26" s="143"/>
      <c r="Z26" s="144"/>
      <c r="AA26" s="140"/>
      <c r="AB26" s="141"/>
      <c r="AC26" s="142"/>
      <c r="AD26" s="145"/>
      <c r="AE26" s="145"/>
      <c r="AF26" s="145"/>
      <c r="AG26" s="144"/>
      <c r="AH26" s="140"/>
      <c r="AI26" s="146"/>
      <c r="AJ26" s="141"/>
      <c r="AK26" s="142"/>
      <c r="AL26" s="144"/>
      <c r="AM26" s="140"/>
      <c r="AN26" s="141"/>
      <c r="AO26" s="142"/>
      <c r="AP26" s="144"/>
      <c r="AQ26" s="140"/>
      <c r="AR26" s="147"/>
      <c r="AS26" s="146"/>
      <c r="AT26" s="146"/>
      <c r="AU26" s="146"/>
      <c r="AV26" s="146"/>
      <c r="AW26" s="141"/>
      <c r="AX26" s="142"/>
      <c r="AY26" s="145"/>
      <c r="AZ26" s="145"/>
      <c r="BA26" s="144"/>
      <c r="BB26" s="140"/>
      <c r="BC26" s="141"/>
      <c r="BD26" s="142"/>
      <c r="BE26" s="144"/>
      <c r="BF26" s="140"/>
      <c r="BG26" s="141"/>
      <c r="BH26" s="142"/>
      <c r="BI26" s="148"/>
      <c r="BJ26" s="145"/>
      <c r="BK26" s="145"/>
      <c r="BL26" s="149"/>
      <c r="BM26" s="144"/>
      <c r="BN26" s="140"/>
      <c r="BO26" s="150"/>
      <c r="BP26" s="141"/>
      <c r="BQ26" s="142"/>
      <c r="BR26" s="144"/>
      <c r="BS26" s="140"/>
      <c r="BT26" s="141"/>
      <c r="BU26" s="142"/>
      <c r="BV26" s="145"/>
      <c r="BW26" s="151"/>
      <c r="BX26" s="145"/>
      <c r="BY26" s="145"/>
      <c r="BZ26" s="152"/>
      <c r="CA26" s="140"/>
      <c r="CB26" s="141"/>
      <c r="CC26" s="142"/>
      <c r="CD26" s="144"/>
      <c r="CE26" s="153"/>
      <c r="CF26" s="154"/>
      <c r="CG26" s="151"/>
      <c r="CH26" s="152"/>
      <c r="CI26" s="153"/>
      <c r="CJ26" s="142"/>
      <c r="CK26" s="148"/>
      <c r="CL26" s="145"/>
      <c r="CM26" s="144"/>
      <c r="CN26" s="140"/>
      <c r="CO26" s="147"/>
      <c r="CP26" s="146"/>
      <c r="CQ26" s="141"/>
      <c r="CR26" s="142"/>
      <c r="CS26" s="145"/>
      <c r="CT26" s="145"/>
      <c r="CU26" s="145"/>
      <c r="CV26" s="145"/>
      <c r="CW26" s="144"/>
      <c r="CX26" s="153"/>
      <c r="CY26" s="139"/>
      <c r="CZ26" s="153"/>
      <c r="DA26" s="139"/>
      <c r="DB26" s="153"/>
      <c r="DC26" s="155"/>
      <c r="DD26" s="156"/>
      <c r="DE26" s="157"/>
      <c r="DF26" s="158"/>
      <c r="DG26" s="159"/>
      <c r="DH26" s="160"/>
      <c r="DI26" s="160"/>
      <c r="DJ26" s="160"/>
      <c r="DK26" s="160"/>
      <c r="DL26" s="160"/>
      <c r="DM26" s="161"/>
      <c r="DN26" s="161"/>
      <c r="DO26" s="161"/>
      <c r="DP26" s="160"/>
      <c r="DQ26" s="161" t="s">
        <v>10</v>
      </c>
      <c r="DR26" s="161" t="s">
        <v>10</v>
      </c>
      <c r="DS26" s="161" t="s">
        <v>10</v>
      </c>
      <c r="DT26" s="161" t="s">
        <v>10</v>
      </c>
      <c r="DU26" s="161" t="s">
        <v>10</v>
      </c>
      <c r="DV26" s="161"/>
      <c r="DW26" s="161"/>
      <c r="DX26" s="161">
        <v>0</v>
      </c>
      <c r="DY26" s="161">
        <v>0</v>
      </c>
      <c r="DZ26" s="161">
        <v>0</v>
      </c>
      <c r="EA26" s="161">
        <v>0</v>
      </c>
      <c r="EB26" s="161">
        <v>0</v>
      </c>
      <c r="EC26" s="161">
        <v>0</v>
      </c>
      <c r="ED26" s="162"/>
      <c r="EE26" s="50" t="s">
        <v>220</v>
      </c>
      <c r="EF26" s="74" t="s">
        <v>221</v>
      </c>
      <c r="EG26" s="74" t="s">
        <v>221</v>
      </c>
      <c r="EH26" s="74" t="s">
        <v>221</v>
      </c>
      <c r="EI26" s="74" t="s">
        <v>221</v>
      </c>
      <c r="EJ26" s="74">
        <v>17</v>
      </c>
      <c r="EK26" s="74" t="s">
        <v>241</v>
      </c>
      <c r="EN26" s="74" t="s">
        <v>221</v>
      </c>
      <c r="EO26" s="163"/>
      <c r="EP26" s="163"/>
      <c r="EQ26" s="163"/>
      <c r="ER26" s="163"/>
      <c r="ES26" s="163"/>
      <c r="ET26" s="163"/>
      <c r="EU26" s="163"/>
      <c r="EV26" s="164"/>
      <c r="EX26" s="163"/>
      <c r="EY26" s="163"/>
      <c r="EZ26" s="163"/>
      <c r="FA26" s="163"/>
      <c r="FB26" s="163"/>
      <c r="FC26" s="163"/>
      <c r="FD26" s="163"/>
      <c r="FE26" s="50" t="str">
        <f t="shared" si="1"/>
        <v>7</v>
      </c>
      <c r="FF26" s="198" t="str">
        <f t="shared" si="2"/>
        <v/>
      </c>
      <c r="FG26" s="198" t="str">
        <f t="shared" si="3"/>
        <v/>
      </c>
      <c r="FI26" s="198" t="str">
        <f t="shared" si="4"/>
        <v/>
      </c>
      <c r="FJ26" s="198">
        <f t="shared" si="5"/>
        <v>0</v>
      </c>
      <c r="FK26" s="198">
        <f t="shared" si="6"/>
        <v>0</v>
      </c>
    </row>
    <row r="27" spans="6:167" ht="33">
      <c r="F27" s="165">
        <v>7</v>
      </c>
      <c r="G27" s="166">
        <v>1</v>
      </c>
      <c r="H27" s="166"/>
      <c r="I27" s="167"/>
      <c r="J27" s="168"/>
      <c r="K27" s="169" t="s">
        <v>9</v>
      </c>
      <c r="L27" s="169"/>
      <c r="M27" s="170"/>
      <c r="N27" s="171" t="s">
        <v>291</v>
      </c>
      <c r="O27" s="172"/>
      <c r="P27" s="173"/>
      <c r="Q27" s="172"/>
      <c r="R27" s="172"/>
      <c r="S27" s="171"/>
      <c r="T27" s="171"/>
      <c r="U27" s="174" t="s">
        <v>227</v>
      </c>
      <c r="V27" s="175" t="s">
        <v>227</v>
      </c>
      <c r="W27" s="176" t="s">
        <v>227</v>
      </c>
      <c r="X27" s="177" t="s">
        <v>227</v>
      </c>
      <c r="Y27" s="178" t="s">
        <v>228</v>
      </c>
      <c r="Z27" s="179" t="s">
        <v>227</v>
      </c>
      <c r="AA27" s="175" t="s">
        <v>227</v>
      </c>
      <c r="AB27" s="176" t="s">
        <v>227</v>
      </c>
      <c r="AC27" s="177" t="s">
        <v>227</v>
      </c>
      <c r="AD27" s="180" t="s">
        <v>227</v>
      </c>
      <c r="AE27" s="180" t="s">
        <v>228</v>
      </c>
      <c r="AF27" s="180" t="s">
        <v>228</v>
      </c>
      <c r="AG27" s="180" t="s">
        <v>228</v>
      </c>
      <c r="AH27" s="175" t="s">
        <v>227</v>
      </c>
      <c r="AI27" s="181" t="s">
        <v>227</v>
      </c>
      <c r="AJ27" s="176" t="s">
        <v>228</v>
      </c>
      <c r="AK27" s="177" t="s">
        <v>227</v>
      </c>
      <c r="AL27" s="179" t="s">
        <v>227</v>
      </c>
      <c r="AM27" s="175" t="s">
        <v>227</v>
      </c>
      <c r="AN27" s="176" t="s">
        <v>227</v>
      </c>
      <c r="AO27" s="177" t="s">
        <v>227</v>
      </c>
      <c r="AP27" s="179" t="s">
        <v>227</v>
      </c>
      <c r="AQ27" s="175" t="s">
        <v>227</v>
      </c>
      <c r="AR27" s="182" t="s">
        <v>228</v>
      </c>
      <c r="AS27" s="181" t="s">
        <v>227</v>
      </c>
      <c r="AT27" s="181" t="s">
        <v>227</v>
      </c>
      <c r="AU27" s="181" t="s">
        <v>228</v>
      </c>
      <c r="AV27" s="181" t="s">
        <v>227</v>
      </c>
      <c r="AW27" s="176" t="s">
        <v>227</v>
      </c>
      <c r="AX27" s="177" t="s">
        <v>227</v>
      </c>
      <c r="AY27" s="180" t="s">
        <v>227</v>
      </c>
      <c r="AZ27" s="180" t="s">
        <v>227</v>
      </c>
      <c r="BA27" s="179" t="s">
        <v>227</v>
      </c>
      <c r="BB27" s="175" t="s">
        <v>227</v>
      </c>
      <c r="BC27" s="176" t="s">
        <v>228</v>
      </c>
      <c r="BD27" s="177" t="s">
        <v>227</v>
      </c>
      <c r="BE27" s="179" t="s">
        <v>228</v>
      </c>
      <c r="BF27" s="175" t="s">
        <v>227</v>
      </c>
      <c r="BG27" s="176" t="s">
        <v>227</v>
      </c>
      <c r="BH27" s="177" t="s">
        <v>227</v>
      </c>
      <c r="BI27" s="183" t="s">
        <v>228</v>
      </c>
      <c r="BJ27" s="180" t="s">
        <v>227</v>
      </c>
      <c r="BK27" s="180" t="s">
        <v>227</v>
      </c>
      <c r="BL27" s="184" t="s">
        <v>228</v>
      </c>
      <c r="BM27" s="179" t="s">
        <v>227</v>
      </c>
      <c r="BN27" s="175" t="s">
        <v>227</v>
      </c>
      <c r="BO27" s="185" t="s">
        <v>228</v>
      </c>
      <c r="BP27" s="176" t="s">
        <v>227</v>
      </c>
      <c r="BQ27" s="177" t="s">
        <v>227</v>
      </c>
      <c r="BR27" s="179" t="s">
        <v>227</v>
      </c>
      <c r="BS27" s="175" t="s">
        <v>227</v>
      </c>
      <c r="BT27" s="176" t="s">
        <v>227</v>
      </c>
      <c r="BU27" s="177" t="s">
        <v>227</v>
      </c>
      <c r="BV27" s="180" t="s">
        <v>227</v>
      </c>
      <c r="BW27" s="186" t="s">
        <v>227</v>
      </c>
      <c r="BX27" s="180" t="s">
        <v>227</v>
      </c>
      <c r="BY27" s="180" t="s">
        <v>227</v>
      </c>
      <c r="BZ27" s="187" t="s">
        <v>227</v>
      </c>
      <c r="CA27" s="175" t="s">
        <v>227</v>
      </c>
      <c r="CB27" s="176" t="s">
        <v>227</v>
      </c>
      <c r="CC27" s="177" t="s">
        <v>227</v>
      </c>
      <c r="CD27" s="179" t="s">
        <v>227</v>
      </c>
      <c r="CE27" s="188" t="s">
        <v>227</v>
      </c>
      <c r="CF27" s="189" t="s">
        <v>227</v>
      </c>
      <c r="CG27" s="186" t="s">
        <v>227</v>
      </c>
      <c r="CH27" s="187" t="s">
        <v>227</v>
      </c>
      <c r="CI27" s="175" t="s">
        <v>227</v>
      </c>
      <c r="CJ27" s="177" t="s">
        <v>227</v>
      </c>
      <c r="CK27" s="183" t="s">
        <v>228</v>
      </c>
      <c r="CL27" s="180" t="s">
        <v>227</v>
      </c>
      <c r="CM27" s="179" t="s">
        <v>227</v>
      </c>
      <c r="CN27" s="175" t="s">
        <v>227</v>
      </c>
      <c r="CO27" s="182" t="s">
        <v>228</v>
      </c>
      <c r="CP27" s="181" t="s">
        <v>227</v>
      </c>
      <c r="CQ27" s="176" t="s">
        <v>227</v>
      </c>
      <c r="CR27" s="177" t="s">
        <v>227</v>
      </c>
      <c r="CS27" s="180" t="s">
        <v>227</v>
      </c>
      <c r="CT27" s="180" t="s">
        <v>227</v>
      </c>
      <c r="CU27" s="180" t="s">
        <v>227</v>
      </c>
      <c r="CV27" s="180" t="s">
        <v>227</v>
      </c>
      <c r="CW27" s="179" t="s">
        <v>227</v>
      </c>
      <c r="CX27" s="188" t="s">
        <v>227</v>
      </c>
      <c r="CY27" s="174" t="s">
        <v>229</v>
      </c>
      <c r="CZ27" s="188" t="s">
        <v>227</v>
      </c>
      <c r="DA27" s="174" t="s">
        <v>227</v>
      </c>
      <c r="DB27" s="188" t="s">
        <v>227</v>
      </c>
      <c r="DC27" s="190" t="s">
        <v>227</v>
      </c>
      <c r="DD27" s="235" t="s">
        <v>292</v>
      </c>
      <c r="DE27" s="192">
        <v>1</v>
      </c>
      <c r="DF27" s="207">
        <v>40</v>
      </c>
      <c r="DG27" s="194"/>
      <c r="DH27" s="195"/>
      <c r="DI27" s="195"/>
      <c r="DJ27" s="195"/>
      <c r="DK27" s="195"/>
      <c r="DL27" s="195"/>
      <c r="DM27" s="196"/>
      <c r="DN27" s="196"/>
      <c r="DO27" s="196"/>
      <c r="DP27" s="195"/>
      <c r="DQ27" s="196">
        <v>0</v>
      </c>
      <c r="DR27" s="196">
        <v>0.625</v>
      </c>
      <c r="DS27" s="196">
        <v>1.125</v>
      </c>
      <c r="DT27" s="196">
        <v>1.125</v>
      </c>
      <c r="DU27" s="196">
        <v>0.25</v>
      </c>
      <c r="DV27" s="196">
        <v>0.74250000000000005</v>
      </c>
      <c r="DW27" s="196">
        <v>0.63249999999999995</v>
      </c>
      <c r="DX27" s="196">
        <v>3.125</v>
      </c>
      <c r="DY27" s="196">
        <v>0</v>
      </c>
      <c r="DZ27" s="196">
        <v>0</v>
      </c>
      <c r="EA27" s="196">
        <v>0</v>
      </c>
      <c r="EB27" s="196">
        <v>0</v>
      </c>
      <c r="EC27" s="196">
        <v>0</v>
      </c>
      <c r="ED27" s="201" t="s">
        <v>293</v>
      </c>
      <c r="EE27" s="50" t="s">
        <v>220</v>
      </c>
      <c r="EF27" s="50" t="s">
        <v>294</v>
      </c>
      <c r="EG27" s="50" t="s">
        <v>238</v>
      </c>
      <c r="EH27" s="50" t="s">
        <v>252</v>
      </c>
      <c r="EI27" s="50" t="s">
        <v>233</v>
      </c>
      <c r="EJ27" s="74">
        <v>17</v>
      </c>
      <c r="EL27" s="50">
        <v>0.74250000000000005</v>
      </c>
      <c r="EM27" s="50">
        <v>0.63249999999999995</v>
      </c>
      <c r="EN27" s="50" t="s">
        <v>253</v>
      </c>
      <c r="EO27" s="132">
        <v>0</v>
      </c>
      <c r="EP27" s="132">
        <v>0</v>
      </c>
      <c r="EQ27" s="132">
        <v>0</v>
      </c>
      <c r="ER27" s="132">
        <v>0.14850000000000002</v>
      </c>
      <c r="ES27" s="132">
        <v>0.14850000000000002</v>
      </c>
      <c r="ET27" s="132">
        <v>1.125</v>
      </c>
      <c r="EU27" s="196">
        <v>0.63249999999999995</v>
      </c>
      <c r="EV27" s="198"/>
      <c r="EX27" s="163"/>
      <c r="EY27" s="163"/>
      <c r="EZ27" s="163"/>
      <c r="FA27" s="163"/>
      <c r="FB27" s="163"/>
      <c r="FC27" s="163"/>
      <c r="FD27" s="163"/>
      <c r="FE27" s="50" t="str">
        <f t="shared" si="1"/>
        <v>7_1</v>
      </c>
      <c r="FF27" s="198">
        <f t="shared" si="2"/>
        <v>0.625</v>
      </c>
      <c r="FG27" s="198">
        <f t="shared" si="3"/>
        <v>1.125</v>
      </c>
      <c r="FI27" s="198">
        <f t="shared" si="4"/>
        <v>0.25</v>
      </c>
      <c r="FJ27" s="198">
        <f t="shared" si="5"/>
        <v>0.74250000000000005</v>
      </c>
      <c r="FK27" s="198">
        <f t="shared" si="6"/>
        <v>0.63249999999999995</v>
      </c>
    </row>
    <row r="28" spans="6:167" ht="33">
      <c r="F28" s="165">
        <v>7</v>
      </c>
      <c r="G28" s="166">
        <v>2</v>
      </c>
      <c r="H28" s="166"/>
      <c r="I28" s="167"/>
      <c r="J28" s="168"/>
      <c r="K28" s="169" t="s">
        <v>8</v>
      </c>
      <c r="L28" s="169"/>
      <c r="M28" s="170"/>
      <c r="N28" s="171" t="s">
        <v>295</v>
      </c>
      <c r="O28" s="172"/>
      <c r="P28" s="173"/>
      <c r="Q28" s="172"/>
      <c r="R28" s="172"/>
      <c r="S28" s="171" t="s">
        <v>296</v>
      </c>
      <c r="T28" s="171"/>
      <c r="U28" s="174" t="s">
        <v>227</v>
      </c>
      <c r="V28" s="175" t="s">
        <v>227</v>
      </c>
      <c r="W28" s="176" t="s">
        <v>227</v>
      </c>
      <c r="X28" s="177" t="s">
        <v>227</v>
      </c>
      <c r="Y28" s="178" t="s">
        <v>227</v>
      </c>
      <c r="Z28" s="179" t="s">
        <v>227</v>
      </c>
      <c r="AA28" s="175" t="s">
        <v>227</v>
      </c>
      <c r="AB28" s="176" t="s">
        <v>227</v>
      </c>
      <c r="AC28" s="177" t="s">
        <v>227</v>
      </c>
      <c r="AD28" s="180" t="s">
        <v>227</v>
      </c>
      <c r="AE28" s="180" t="s">
        <v>227</v>
      </c>
      <c r="AF28" s="180" t="s">
        <v>227</v>
      </c>
      <c r="AG28" s="180" t="s">
        <v>227</v>
      </c>
      <c r="AH28" s="175" t="s">
        <v>227</v>
      </c>
      <c r="AI28" s="181" t="s">
        <v>227</v>
      </c>
      <c r="AJ28" s="176" t="s">
        <v>227</v>
      </c>
      <c r="AK28" s="177" t="s">
        <v>227</v>
      </c>
      <c r="AL28" s="179" t="s">
        <v>227</v>
      </c>
      <c r="AM28" s="175" t="s">
        <v>227</v>
      </c>
      <c r="AN28" s="176" t="s">
        <v>227</v>
      </c>
      <c r="AO28" s="177" t="s">
        <v>227</v>
      </c>
      <c r="AP28" s="179" t="s">
        <v>227</v>
      </c>
      <c r="AQ28" s="175" t="s">
        <v>227</v>
      </c>
      <c r="AR28" s="182" t="s">
        <v>227</v>
      </c>
      <c r="AS28" s="181" t="s">
        <v>227</v>
      </c>
      <c r="AT28" s="181" t="s">
        <v>227</v>
      </c>
      <c r="AU28" s="181" t="s">
        <v>227</v>
      </c>
      <c r="AV28" s="181" t="s">
        <v>227</v>
      </c>
      <c r="AW28" s="176" t="s">
        <v>227</v>
      </c>
      <c r="AX28" s="177" t="s">
        <v>227</v>
      </c>
      <c r="AY28" s="180" t="s">
        <v>227</v>
      </c>
      <c r="AZ28" s="180" t="s">
        <v>227</v>
      </c>
      <c r="BA28" s="179" t="s">
        <v>227</v>
      </c>
      <c r="BB28" s="175" t="s">
        <v>227</v>
      </c>
      <c r="BC28" s="176" t="s">
        <v>227</v>
      </c>
      <c r="BD28" s="177" t="s">
        <v>227</v>
      </c>
      <c r="BE28" s="179" t="s">
        <v>227</v>
      </c>
      <c r="BF28" s="175" t="s">
        <v>227</v>
      </c>
      <c r="BG28" s="176" t="s">
        <v>227</v>
      </c>
      <c r="BH28" s="177" t="s">
        <v>227</v>
      </c>
      <c r="BI28" s="183" t="s">
        <v>227</v>
      </c>
      <c r="BJ28" s="180" t="s">
        <v>227</v>
      </c>
      <c r="BK28" s="180" t="s">
        <v>227</v>
      </c>
      <c r="BL28" s="184" t="s">
        <v>227</v>
      </c>
      <c r="BM28" s="179" t="s">
        <v>227</v>
      </c>
      <c r="BN28" s="175" t="s">
        <v>227</v>
      </c>
      <c r="BO28" s="185" t="s">
        <v>227</v>
      </c>
      <c r="BP28" s="176" t="s">
        <v>227</v>
      </c>
      <c r="BQ28" s="177" t="s">
        <v>227</v>
      </c>
      <c r="BR28" s="179" t="s">
        <v>227</v>
      </c>
      <c r="BS28" s="175" t="s">
        <v>257</v>
      </c>
      <c r="BT28" s="176" t="s">
        <v>257</v>
      </c>
      <c r="BU28" s="177" t="s">
        <v>227</v>
      </c>
      <c r="BV28" s="180" t="s">
        <v>227</v>
      </c>
      <c r="BW28" s="186" t="s">
        <v>227</v>
      </c>
      <c r="BX28" s="180" t="s">
        <v>227</v>
      </c>
      <c r="BY28" s="180" t="s">
        <v>227</v>
      </c>
      <c r="BZ28" s="187" t="s">
        <v>227</v>
      </c>
      <c r="CA28" s="175" t="s">
        <v>257</v>
      </c>
      <c r="CB28" s="176" t="s">
        <v>257</v>
      </c>
      <c r="CC28" s="177" t="s">
        <v>227</v>
      </c>
      <c r="CD28" s="179" t="s">
        <v>227</v>
      </c>
      <c r="CE28" s="188" t="s">
        <v>257</v>
      </c>
      <c r="CF28" s="189" t="s">
        <v>227</v>
      </c>
      <c r="CG28" s="186" t="s">
        <v>227</v>
      </c>
      <c r="CH28" s="187" t="s">
        <v>227</v>
      </c>
      <c r="CI28" s="188" t="s">
        <v>257</v>
      </c>
      <c r="CJ28" s="177" t="s">
        <v>227</v>
      </c>
      <c r="CK28" s="183" t="s">
        <v>227</v>
      </c>
      <c r="CL28" s="180" t="s">
        <v>227</v>
      </c>
      <c r="CM28" s="179" t="s">
        <v>227</v>
      </c>
      <c r="CN28" s="175" t="s">
        <v>227</v>
      </c>
      <c r="CO28" s="182" t="s">
        <v>227</v>
      </c>
      <c r="CP28" s="181" t="s">
        <v>227</v>
      </c>
      <c r="CQ28" s="176" t="s">
        <v>227</v>
      </c>
      <c r="CR28" s="177" t="s">
        <v>227</v>
      </c>
      <c r="CS28" s="180" t="s">
        <v>227</v>
      </c>
      <c r="CT28" s="180" t="s">
        <v>227</v>
      </c>
      <c r="CU28" s="180" t="s">
        <v>227</v>
      </c>
      <c r="CV28" s="180" t="s">
        <v>227</v>
      </c>
      <c r="CW28" s="179" t="s">
        <v>227</v>
      </c>
      <c r="CX28" s="188" t="s">
        <v>227</v>
      </c>
      <c r="CY28" s="174" t="s">
        <v>229</v>
      </c>
      <c r="CZ28" s="188" t="s">
        <v>227</v>
      </c>
      <c r="DA28" s="174" t="s">
        <v>227</v>
      </c>
      <c r="DB28" s="188" t="s">
        <v>227</v>
      </c>
      <c r="DC28" s="190" t="s">
        <v>227</v>
      </c>
      <c r="DD28" s="235" t="s">
        <v>292</v>
      </c>
      <c r="DE28" s="192">
        <v>7</v>
      </c>
      <c r="DF28" s="207">
        <v>60</v>
      </c>
      <c r="DG28" s="194"/>
      <c r="DH28" s="195"/>
      <c r="DI28" s="195"/>
      <c r="DJ28" s="195"/>
      <c r="DK28" s="195"/>
      <c r="DL28" s="195"/>
      <c r="DM28" s="196"/>
      <c r="DN28" s="196"/>
      <c r="DO28" s="196"/>
      <c r="DP28" s="195"/>
      <c r="DQ28" s="196">
        <v>0</v>
      </c>
      <c r="DR28" s="196">
        <v>2</v>
      </c>
      <c r="DS28" s="196">
        <v>3.75</v>
      </c>
      <c r="DT28" s="196">
        <v>3.75</v>
      </c>
      <c r="DU28" s="196">
        <v>0.625</v>
      </c>
      <c r="DV28" s="196">
        <v>2.3625000000000003</v>
      </c>
      <c r="DW28" s="196">
        <v>2.0124999999999997</v>
      </c>
      <c r="DX28" s="196">
        <v>10.125</v>
      </c>
      <c r="DY28" s="196">
        <v>0</v>
      </c>
      <c r="DZ28" s="196">
        <v>0</v>
      </c>
      <c r="EA28" s="196">
        <v>0</v>
      </c>
      <c r="EB28" s="196">
        <v>0</v>
      </c>
      <c r="EC28" s="196">
        <v>0</v>
      </c>
      <c r="ED28" s="201" t="s">
        <v>297</v>
      </c>
      <c r="EE28" s="50" t="s">
        <v>220</v>
      </c>
      <c r="EF28" s="50" t="s">
        <v>294</v>
      </c>
      <c r="EG28" s="50" t="s">
        <v>233</v>
      </c>
      <c r="EH28" s="50" t="s">
        <v>252</v>
      </c>
      <c r="EI28" s="50" t="s">
        <v>233</v>
      </c>
      <c r="EJ28" s="74">
        <v>17</v>
      </c>
      <c r="EL28" s="50">
        <v>2.3625000000000003</v>
      </c>
      <c r="EM28" s="50">
        <v>2.0124999999999997</v>
      </c>
      <c r="EN28" s="50" t="s">
        <v>253</v>
      </c>
      <c r="EO28" s="132">
        <v>0.4</v>
      </c>
      <c r="EP28" s="132">
        <v>0</v>
      </c>
      <c r="EQ28" s="132">
        <v>0.4</v>
      </c>
      <c r="ER28" s="132">
        <v>0.47250000000000009</v>
      </c>
      <c r="ES28" s="132">
        <v>0.47250000000000009</v>
      </c>
      <c r="ET28" s="132">
        <v>3.75</v>
      </c>
      <c r="EU28" s="196">
        <v>2.0124999999999997</v>
      </c>
      <c r="EV28" s="198"/>
      <c r="EX28" s="163"/>
      <c r="EY28" s="163"/>
      <c r="EZ28" s="163"/>
      <c r="FA28" s="163"/>
      <c r="FB28" s="163"/>
      <c r="FC28" s="163"/>
      <c r="FD28" s="163"/>
      <c r="FE28" s="50" t="str">
        <f t="shared" si="1"/>
        <v>7_2</v>
      </c>
      <c r="FF28" s="198">
        <f t="shared" si="2"/>
        <v>2</v>
      </c>
      <c r="FG28" s="198">
        <f t="shared" si="3"/>
        <v>3.75</v>
      </c>
      <c r="FI28" s="198">
        <f t="shared" si="4"/>
        <v>0.625</v>
      </c>
      <c r="FJ28" s="198">
        <f t="shared" si="5"/>
        <v>2.3625000000000003</v>
      </c>
      <c r="FK28" s="198">
        <f t="shared" si="6"/>
        <v>2.0124999999999997</v>
      </c>
    </row>
    <row r="29" spans="6:167" ht="29.25" customHeight="1">
      <c r="F29" s="165">
        <v>7</v>
      </c>
      <c r="G29" s="166">
        <v>3</v>
      </c>
      <c r="H29" s="166"/>
      <c r="I29" s="167"/>
      <c r="J29" s="168"/>
      <c r="K29" s="169" t="s">
        <v>298</v>
      </c>
      <c r="L29" s="169"/>
      <c r="M29" s="170"/>
      <c r="N29" s="171" t="s">
        <v>299</v>
      </c>
      <c r="O29" s="172"/>
      <c r="P29" s="173"/>
      <c r="Q29" s="172"/>
      <c r="R29" s="172"/>
      <c r="S29" s="171"/>
      <c r="T29" s="171"/>
      <c r="U29" s="174" t="s">
        <v>227</v>
      </c>
      <c r="V29" s="175" t="s">
        <v>227</v>
      </c>
      <c r="W29" s="176" t="s">
        <v>227</v>
      </c>
      <c r="X29" s="177" t="s">
        <v>227</v>
      </c>
      <c r="Y29" s="178" t="s">
        <v>227</v>
      </c>
      <c r="Z29" s="179" t="s">
        <v>227</v>
      </c>
      <c r="AA29" s="175" t="s">
        <v>227</v>
      </c>
      <c r="AB29" s="176" t="s">
        <v>227</v>
      </c>
      <c r="AC29" s="177" t="s">
        <v>227</v>
      </c>
      <c r="AD29" s="180" t="s">
        <v>227</v>
      </c>
      <c r="AE29" s="180" t="s">
        <v>227</v>
      </c>
      <c r="AF29" s="180" t="s">
        <v>227</v>
      </c>
      <c r="AG29" s="180" t="s">
        <v>227</v>
      </c>
      <c r="AH29" s="175" t="s">
        <v>227</v>
      </c>
      <c r="AI29" s="181" t="s">
        <v>227</v>
      </c>
      <c r="AJ29" s="176" t="s">
        <v>227</v>
      </c>
      <c r="AK29" s="177" t="s">
        <v>227</v>
      </c>
      <c r="AL29" s="179" t="s">
        <v>227</v>
      </c>
      <c r="AM29" s="175" t="s">
        <v>227</v>
      </c>
      <c r="AN29" s="176" t="s">
        <v>227</v>
      </c>
      <c r="AO29" s="177" t="s">
        <v>227</v>
      </c>
      <c r="AP29" s="179" t="s">
        <v>227</v>
      </c>
      <c r="AQ29" s="175" t="s">
        <v>227</v>
      </c>
      <c r="AR29" s="182" t="s">
        <v>227</v>
      </c>
      <c r="AS29" s="181" t="s">
        <v>227</v>
      </c>
      <c r="AT29" s="181" t="s">
        <v>227</v>
      </c>
      <c r="AU29" s="181" t="s">
        <v>227</v>
      </c>
      <c r="AV29" s="181" t="s">
        <v>227</v>
      </c>
      <c r="AW29" s="176" t="s">
        <v>227</v>
      </c>
      <c r="AX29" s="177" t="s">
        <v>227</v>
      </c>
      <c r="AY29" s="180" t="s">
        <v>227</v>
      </c>
      <c r="AZ29" s="180" t="s">
        <v>227</v>
      </c>
      <c r="BA29" s="179" t="s">
        <v>227</v>
      </c>
      <c r="BB29" s="175" t="s">
        <v>227</v>
      </c>
      <c r="BC29" s="176" t="s">
        <v>227</v>
      </c>
      <c r="BD29" s="177" t="s">
        <v>227</v>
      </c>
      <c r="BE29" s="179" t="s">
        <v>227</v>
      </c>
      <c r="BF29" s="175" t="s">
        <v>227</v>
      </c>
      <c r="BG29" s="176" t="s">
        <v>227</v>
      </c>
      <c r="BH29" s="177" t="s">
        <v>227</v>
      </c>
      <c r="BI29" s="183" t="s">
        <v>227</v>
      </c>
      <c r="BJ29" s="180" t="s">
        <v>227</v>
      </c>
      <c r="BK29" s="180" t="s">
        <v>227</v>
      </c>
      <c r="BL29" s="184" t="s">
        <v>227</v>
      </c>
      <c r="BM29" s="179" t="s">
        <v>227</v>
      </c>
      <c r="BN29" s="175" t="s">
        <v>227</v>
      </c>
      <c r="BO29" s="185" t="s">
        <v>227</v>
      </c>
      <c r="BP29" s="176" t="s">
        <v>227</v>
      </c>
      <c r="BQ29" s="177" t="s">
        <v>227</v>
      </c>
      <c r="BR29" s="179" t="s">
        <v>227</v>
      </c>
      <c r="BS29" s="175" t="s">
        <v>257</v>
      </c>
      <c r="BT29" s="176" t="s">
        <v>257</v>
      </c>
      <c r="BU29" s="177" t="s">
        <v>227</v>
      </c>
      <c r="BV29" s="180" t="s">
        <v>227</v>
      </c>
      <c r="BW29" s="186" t="s">
        <v>227</v>
      </c>
      <c r="BX29" s="180" t="s">
        <v>227</v>
      </c>
      <c r="BY29" s="180" t="s">
        <v>227</v>
      </c>
      <c r="BZ29" s="187" t="s">
        <v>227</v>
      </c>
      <c r="CA29" s="175" t="s">
        <v>257</v>
      </c>
      <c r="CB29" s="176" t="s">
        <v>257</v>
      </c>
      <c r="CC29" s="177" t="s">
        <v>227</v>
      </c>
      <c r="CD29" s="179" t="s">
        <v>227</v>
      </c>
      <c r="CE29" s="188" t="s">
        <v>257</v>
      </c>
      <c r="CF29" s="189" t="s">
        <v>227</v>
      </c>
      <c r="CG29" s="186" t="s">
        <v>227</v>
      </c>
      <c r="CH29" s="187" t="s">
        <v>227</v>
      </c>
      <c r="CI29" s="188" t="s">
        <v>257</v>
      </c>
      <c r="CJ29" s="177" t="s">
        <v>227</v>
      </c>
      <c r="CK29" s="183" t="s">
        <v>227</v>
      </c>
      <c r="CL29" s="180" t="s">
        <v>227</v>
      </c>
      <c r="CM29" s="179" t="s">
        <v>227</v>
      </c>
      <c r="CN29" s="175" t="s">
        <v>227</v>
      </c>
      <c r="CO29" s="182" t="s">
        <v>227</v>
      </c>
      <c r="CP29" s="181" t="s">
        <v>227</v>
      </c>
      <c r="CQ29" s="176" t="s">
        <v>227</v>
      </c>
      <c r="CR29" s="177" t="s">
        <v>227</v>
      </c>
      <c r="CS29" s="180" t="s">
        <v>227</v>
      </c>
      <c r="CT29" s="180" t="s">
        <v>227</v>
      </c>
      <c r="CU29" s="180" t="s">
        <v>227</v>
      </c>
      <c r="CV29" s="180" t="s">
        <v>227</v>
      </c>
      <c r="CW29" s="179" t="s">
        <v>227</v>
      </c>
      <c r="CX29" s="188" t="s">
        <v>227</v>
      </c>
      <c r="CY29" s="174" t="s">
        <v>227</v>
      </c>
      <c r="CZ29" s="188" t="s">
        <v>227</v>
      </c>
      <c r="DA29" s="174" t="s">
        <v>227</v>
      </c>
      <c r="DB29" s="188" t="s">
        <v>227</v>
      </c>
      <c r="DC29" s="190" t="s">
        <v>227</v>
      </c>
      <c r="DD29" s="203" t="s">
        <v>300</v>
      </c>
      <c r="DE29" s="192">
        <v>6</v>
      </c>
      <c r="DF29" s="204">
        <v>40</v>
      </c>
      <c r="DG29" s="194"/>
      <c r="DH29" s="195"/>
      <c r="DI29" s="195"/>
      <c r="DJ29" s="195"/>
      <c r="DK29" s="195"/>
      <c r="DL29" s="195"/>
      <c r="DM29" s="196"/>
      <c r="DN29" s="196"/>
      <c r="DO29" s="196"/>
      <c r="DP29" s="195"/>
      <c r="DQ29" s="196">
        <v>0</v>
      </c>
      <c r="DR29" s="196">
        <v>0</v>
      </c>
      <c r="DS29" s="196">
        <v>0</v>
      </c>
      <c r="DT29" s="196">
        <v>2.25</v>
      </c>
      <c r="DU29" s="196">
        <v>0.375</v>
      </c>
      <c r="DV29" s="196">
        <v>1.4175</v>
      </c>
      <c r="DW29" s="196">
        <v>1.2075</v>
      </c>
      <c r="DX29" s="196">
        <v>2.625</v>
      </c>
      <c r="DY29" s="196">
        <v>0</v>
      </c>
      <c r="DZ29" s="196">
        <v>0</v>
      </c>
      <c r="EA29" s="196">
        <v>0</v>
      </c>
      <c r="EB29" s="196">
        <v>0</v>
      </c>
      <c r="EC29" s="196">
        <v>0</v>
      </c>
      <c r="ED29" s="201" t="s">
        <v>301</v>
      </c>
      <c r="EE29" s="50" t="s">
        <v>220</v>
      </c>
      <c r="EF29" s="50" t="s">
        <v>232</v>
      </c>
      <c r="EG29" s="50" t="s">
        <v>302</v>
      </c>
      <c r="EH29" s="50" t="s">
        <v>302</v>
      </c>
      <c r="EI29" s="50" t="s">
        <v>233</v>
      </c>
      <c r="EJ29" s="74">
        <v>17</v>
      </c>
      <c r="EL29" s="50">
        <v>1.4175</v>
      </c>
      <c r="EM29" s="50">
        <v>1.2075</v>
      </c>
      <c r="EN29" s="50" t="s">
        <v>253</v>
      </c>
      <c r="EO29" s="132">
        <v>0</v>
      </c>
      <c r="EP29" s="132">
        <v>0</v>
      </c>
      <c r="EQ29" s="132">
        <v>0</v>
      </c>
      <c r="ER29" s="132">
        <v>0.28350000000000003</v>
      </c>
      <c r="ES29" s="132">
        <v>0.28350000000000003</v>
      </c>
      <c r="ET29" s="132">
        <v>0</v>
      </c>
      <c r="EU29" s="196">
        <v>1.2075</v>
      </c>
      <c r="EV29" s="198"/>
      <c r="EX29" s="163"/>
      <c r="EY29" s="163"/>
      <c r="EZ29" s="163"/>
      <c r="FA29" s="163"/>
      <c r="FB29" s="163"/>
      <c r="FC29" s="163"/>
      <c r="FD29" s="163"/>
      <c r="FE29" s="50" t="str">
        <f t="shared" si="1"/>
        <v>7_3</v>
      </c>
      <c r="FF29" s="198">
        <f t="shared" si="2"/>
        <v>0</v>
      </c>
      <c r="FG29" s="198">
        <f t="shared" si="3"/>
        <v>0</v>
      </c>
      <c r="FI29" s="198">
        <f t="shared" si="4"/>
        <v>0.375</v>
      </c>
      <c r="FJ29" s="198">
        <f t="shared" si="5"/>
        <v>1.4175</v>
      </c>
      <c r="FK29" s="198">
        <f t="shared" si="6"/>
        <v>1.2075</v>
      </c>
    </row>
    <row r="30" spans="6:167" ht="18.75">
      <c r="F30" s="228">
        <v>7</v>
      </c>
      <c r="G30" s="229">
        <v>4</v>
      </c>
      <c r="H30" s="229"/>
      <c r="I30" s="230"/>
      <c r="J30" s="231"/>
      <c r="K30" s="232" t="s">
        <v>242</v>
      </c>
      <c r="L30" s="232"/>
      <c r="M30" s="233"/>
      <c r="N30" s="234"/>
      <c r="O30" s="172"/>
      <c r="P30" s="173"/>
      <c r="Q30" s="172"/>
      <c r="R30" s="172"/>
      <c r="S30" s="171" t="s">
        <v>296</v>
      </c>
      <c r="T30" s="171"/>
      <c r="U30" s="174" t="s">
        <v>227</v>
      </c>
      <c r="V30" s="175" t="s">
        <v>227</v>
      </c>
      <c r="W30" s="176" t="s">
        <v>227</v>
      </c>
      <c r="X30" s="177" t="s">
        <v>227</v>
      </c>
      <c r="Y30" s="178" t="s">
        <v>228</v>
      </c>
      <c r="Z30" s="179" t="s">
        <v>227</v>
      </c>
      <c r="AA30" s="175" t="s">
        <v>227</v>
      </c>
      <c r="AB30" s="176" t="s">
        <v>227</v>
      </c>
      <c r="AC30" s="177" t="s">
        <v>227</v>
      </c>
      <c r="AD30" s="180" t="s">
        <v>227</v>
      </c>
      <c r="AE30" s="180" t="s">
        <v>228</v>
      </c>
      <c r="AF30" s="180" t="s">
        <v>228</v>
      </c>
      <c r="AG30" s="180" t="s">
        <v>228</v>
      </c>
      <c r="AH30" s="175" t="s">
        <v>227</v>
      </c>
      <c r="AI30" s="181" t="s">
        <v>227</v>
      </c>
      <c r="AJ30" s="176" t="s">
        <v>228</v>
      </c>
      <c r="AK30" s="177" t="s">
        <v>227</v>
      </c>
      <c r="AL30" s="179" t="s">
        <v>227</v>
      </c>
      <c r="AM30" s="175" t="s">
        <v>227</v>
      </c>
      <c r="AN30" s="176" t="s">
        <v>227</v>
      </c>
      <c r="AO30" s="177" t="s">
        <v>227</v>
      </c>
      <c r="AP30" s="179" t="s">
        <v>227</v>
      </c>
      <c r="AQ30" s="175" t="s">
        <v>227</v>
      </c>
      <c r="AR30" s="182" t="s">
        <v>228</v>
      </c>
      <c r="AS30" s="181" t="s">
        <v>227</v>
      </c>
      <c r="AT30" s="181" t="s">
        <v>227</v>
      </c>
      <c r="AU30" s="181" t="s">
        <v>228</v>
      </c>
      <c r="AV30" s="181" t="s">
        <v>227</v>
      </c>
      <c r="AW30" s="176" t="s">
        <v>227</v>
      </c>
      <c r="AX30" s="177" t="s">
        <v>227</v>
      </c>
      <c r="AY30" s="180" t="s">
        <v>227</v>
      </c>
      <c r="AZ30" s="180" t="s">
        <v>227</v>
      </c>
      <c r="BA30" s="179" t="s">
        <v>227</v>
      </c>
      <c r="BB30" s="175" t="s">
        <v>227</v>
      </c>
      <c r="BC30" s="176" t="s">
        <v>228</v>
      </c>
      <c r="BD30" s="177" t="s">
        <v>227</v>
      </c>
      <c r="BE30" s="179" t="s">
        <v>228</v>
      </c>
      <c r="BF30" s="175" t="s">
        <v>227</v>
      </c>
      <c r="BG30" s="176" t="s">
        <v>227</v>
      </c>
      <c r="BH30" s="177" t="s">
        <v>227</v>
      </c>
      <c r="BI30" s="183" t="s">
        <v>228</v>
      </c>
      <c r="BJ30" s="180" t="s">
        <v>227</v>
      </c>
      <c r="BK30" s="180" t="s">
        <v>227</v>
      </c>
      <c r="BL30" s="184" t="s">
        <v>228</v>
      </c>
      <c r="BM30" s="179" t="s">
        <v>227</v>
      </c>
      <c r="BN30" s="175" t="s">
        <v>227</v>
      </c>
      <c r="BO30" s="185" t="s">
        <v>228</v>
      </c>
      <c r="BP30" s="176" t="s">
        <v>227</v>
      </c>
      <c r="BQ30" s="177" t="s">
        <v>227</v>
      </c>
      <c r="BR30" s="179" t="s">
        <v>227</v>
      </c>
      <c r="BS30" s="175" t="s">
        <v>227</v>
      </c>
      <c r="BT30" s="176" t="s">
        <v>227</v>
      </c>
      <c r="BU30" s="177" t="s">
        <v>227</v>
      </c>
      <c r="BV30" s="180" t="s">
        <v>227</v>
      </c>
      <c r="BW30" s="186" t="s">
        <v>227</v>
      </c>
      <c r="BX30" s="180" t="s">
        <v>227</v>
      </c>
      <c r="BY30" s="180" t="s">
        <v>227</v>
      </c>
      <c r="BZ30" s="187" t="s">
        <v>227</v>
      </c>
      <c r="CA30" s="175" t="s">
        <v>227</v>
      </c>
      <c r="CB30" s="176" t="s">
        <v>227</v>
      </c>
      <c r="CC30" s="177" t="s">
        <v>227</v>
      </c>
      <c r="CD30" s="179" t="s">
        <v>227</v>
      </c>
      <c r="CE30" s="188" t="s">
        <v>227</v>
      </c>
      <c r="CF30" s="189" t="s">
        <v>227</v>
      </c>
      <c r="CG30" s="186" t="s">
        <v>227</v>
      </c>
      <c r="CH30" s="187" t="s">
        <v>227</v>
      </c>
      <c r="CI30" s="188" t="s">
        <v>227</v>
      </c>
      <c r="CJ30" s="177" t="s">
        <v>227</v>
      </c>
      <c r="CK30" s="183" t="s">
        <v>228</v>
      </c>
      <c r="CL30" s="180" t="s">
        <v>227</v>
      </c>
      <c r="CM30" s="179" t="s">
        <v>227</v>
      </c>
      <c r="CN30" s="175" t="s">
        <v>227</v>
      </c>
      <c r="CO30" s="182" t="s">
        <v>228</v>
      </c>
      <c r="CP30" s="181" t="s">
        <v>227</v>
      </c>
      <c r="CQ30" s="176" t="s">
        <v>227</v>
      </c>
      <c r="CR30" s="177" t="s">
        <v>227</v>
      </c>
      <c r="CS30" s="180" t="s">
        <v>227</v>
      </c>
      <c r="CT30" s="180" t="s">
        <v>227</v>
      </c>
      <c r="CU30" s="180" t="s">
        <v>227</v>
      </c>
      <c r="CV30" s="180" t="s">
        <v>227</v>
      </c>
      <c r="CW30" s="179" t="s">
        <v>227</v>
      </c>
      <c r="CX30" s="188" t="s">
        <v>227</v>
      </c>
      <c r="CY30" s="174" t="s">
        <v>227</v>
      </c>
      <c r="CZ30" s="188" t="s">
        <v>227</v>
      </c>
      <c r="DA30" s="174" t="s">
        <v>227</v>
      </c>
      <c r="DB30" s="188" t="s">
        <v>227</v>
      </c>
      <c r="DC30" s="190" t="s">
        <v>229</v>
      </c>
      <c r="DD30" s="235" t="s">
        <v>303</v>
      </c>
      <c r="DE30" s="192">
        <v>1</v>
      </c>
      <c r="DF30" s="237">
        <v>0</v>
      </c>
      <c r="DG30" s="194"/>
      <c r="DH30" s="195"/>
      <c r="DI30" s="195"/>
      <c r="DJ30" s="195"/>
      <c r="DK30" s="195"/>
      <c r="DL30" s="195"/>
      <c r="DM30" s="196"/>
      <c r="DN30" s="196"/>
      <c r="DO30" s="196"/>
      <c r="DP30" s="195"/>
      <c r="DQ30" s="196">
        <v>0</v>
      </c>
      <c r="DR30" s="196">
        <v>0</v>
      </c>
      <c r="DS30" s="196">
        <v>0</v>
      </c>
      <c r="DT30" s="196">
        <v>0</v>
      </c>
      <c r="DU30" s="196">
        <v>0</v>
      </c>
      <c r="DV30" s="196">
        <v>0</v>
      </c>
      <c r="DW30" s="196">
        <v>0</v>
      </c>
      <c r="DX30" s="196">
        <v>0</v>
      </c>
      <c r="DY30" s="196">
        <v>0</v>
      </c>
      <c r="DZ30" s="196">
        <v>0</v>
      </c>
      <c r="EA30" s="196">
        <v>0</v>
      </c>
      <c r="EB30" s="196">
        <v>0</v>
      </c>
      <c r="EC30" s="196">
        <v>0</v>
      </c>
      <c r="ED30" s="201" t="s">
        <v>304</v>
      </c>
      <c r="EE30" s="50" t="s">
        <v>220</v>
      </c>
      <c r="EF30" s="50" t="s">
        <v>232</v>
      </c>
      <c r="EG30" s="50" t="s">
        <v>238</v>
      </c>
      <c r="EH30" s="50" t="s">
        <v>252</v>
      </c>
      <c r="EI30" s="50" t="s">
        <v>233</v>
      </c>
      <c r="EJ30" s="74">
        <v>17</v>
      </c>
      <c r="EL30" s="50">
        <v>0</v>
      </c>
      <c r="EM30" s="50">
        <v>0</v>
      </c>
      <c r="EN30" s="50" t="s">
        <v>253</v>
      </c>
      <c r="EO30" s="132">
        <v>0</v>
      </c>
      <c r="EP30" s="132">
        <v>0</v>
      </c>
      <c r="EQ30" s="132">
        <v>0</v>
      </c>
      <c r="ER30" s="132">
        <v>0</v>
      </c>
      <c r="ES30" s="132">
        <v>0</v>
      </c>
      <c r="ET30" s="132">
        <v>0</v>
      </c>
      <c r="EU30" s="196">
        <v>0</v>
      </c>
      <c r="EV30" s="198"/>
      <c r="EX30" s="163"/>
      <c r="EY30" s="163"/>
      <c r="EZ30" s="163"/>
      <c r="FA30" s="163"/>
      <c r="FB30" s="163"/>
      <c r="FC30" s="163"/>
      <c r="FD30" s="163"/>
      <c r="FE30" s="50" t="str">
        <f t="shared" si="1"/>
        <v>7_4</v>
      </c>
      <c r="FF30" s="198">
        <f t="shared" si="2"/>
        <v>0</v>
      </c>
      <c r="FG30" s="198">
        <f t="shared" si="3"/>
        <v>0</v>
      </c>
      <c r="FI30" s="198">
        <f t="shared" si="4"/>
        <v>0</v>
      </c>
      <c r="FJ30" s="198">
        <f t="shared" si="5"/>
        <v>0</v>
      </c>
      <c r="FK30" s="198">
        <f t="shared" si="6"/>
        <v>0</v>
      </c>
    </row>
    <row r="31" spans="6:167" ht="18.75">
      <c r="F31" s="165" t="s">
        <v>10</v>
      </c>
      <c r="G31" s="166" t="s">
        <v>10</v>
      </c>
      <c r="H31" s="166" t="s">
        <v>10</v>
      </c>
      <c r="I31" s="167"/>
      <c r="J31" s="244"/>
      <c r="K31" s="245"/>
      <c r="L31" s="245"/>
      <c r="M31" s="246"/>
      <c r="N31" s="247"/>
      <c r="O31" s="247"/>
      <c r="P31" s="247"/>
      <c r="Q31" s="247"/>
      <c r="R31" s="247"/>
      <c r="S31" s="247"/>
      <c r="T31" s="247"/>
      <c r="U31" s="174" t="s">
        <v>227</v>
      </c>
      <c r="V31" s="175" t="s">
        <v>227</v>
      </c>
      <c r="W31" s="176" t="s">
        <v>227</v>
      </c>
      <c r="X31" s="177" t="s">
        <v>227</v>
      </c>
      <c r="Y31" s="178" t="s">
        <v>228</v>
      </c>
      <c r="Z31" s="179" t="s">
        <v>227</v>
      </c>
      <c r="AA31" s="175" t="s">
        <v>227</v>
      </c>
      <c r="AB31" s="176" t="s">
        <v>227</v>
      </c>
      <c r="AC31" s="177" t="s">
        <v>227</v>
      </c>
      <c r="AD31" s="180" t="s">
        <v>227</v>
      </c>
      <c r="AE31" s="180" t="s">
        <v>228</v>
      </c>
      <c r="AF31" s="180" t="s">
        <v>228</v>
      </c>
      <c r="AG31" s="179" t="s">
        <v>228</v>
      </c>
      <c r="AH31" s="175" t="s">
        <v>227</v>
      </c>
      <c r="AI31" s="181" t="s">
        <v>227</v>
      </c>
      <c r="AJ31" s="176" t="s">
        <v>228</v>
      </c>
      <c r="AK31" s="177" t="s">
        <v>227</v>
      </c>
      <c r="AL31" s="179" t="s">
        <v>227</v>
      </c>
      <c r="AM31" s="175" t="s">
        <v>227</v>
      </c>
      <c r="AN31" s="176" t="s">
        <v>227</v>
      </c>
      <c r="AO31" s="177" t="s">
        <v>227</v>
      </c>
      <c r="AP31" s="179" t="s">
        <v>227</v>
      </c>
      <c r="AQ31" s="175" t="s">
        <v>227</v>
      </c>
      <c r="AR31" s="182" t="s">
        <v>228</v>
      </c>
      <c r="AS31" s="181" t="s">
        <v>227</v>
      </c>
      <c r="AT31" s="181" t="s">
        <v>227</v>
      </c>
      <c r="AU31" s="181" t="s">
        <v>228</v>
      </c>
      <c r="AV31" s="181" t="s">
        <v>227</v>
      </c>
      <c r="AW31" s="176" t="s">
        <v>227</v>
      </c>
      <c r="AX31" s="177" t="s">
        <v>227</v>
      </c>
      <c r="AY31" s="180" t="s">
        <v>227</v>
      </c>
      <c r="AZ31" s="180" t="s">
        <v>227</v>
      </c>
      <c r="BA31" s="179" t="s">
        <v>227</v>
      </c>
      <c r="BB31" s="175" t="s">
        <v>227</v>
      </c>
      <c r="BC31" s="176" t="s">
        <v>228</v>
      </c>
      <c r="BD31" s="177" t="s">
        <v>227</v>
      </c>
      <c r="BE31" s="179" t="s">
        <v>228</v>
      </c>
      <c r="BF31" s="175" t="s">
        <v>227</v>
      </c>
      <c r="BG31" s="176" t="s">
        <v>227</v>
      </c>
      <c r="BH31" s="177" t="s">
        <v>227</v>
      </c>
      <c r="BI31" s="183" t="s">
        <v>228</v>
      </c>
      <c r="BJ31" s="180" t="s">
        <v>227</v>
      </c>
      <c r="BK31" s="180" t="s">
        <v>227</v>
      </c>
      <c r="BL31" s="184" t="s">
        <v>228</v>
      </c>
      <c r="BM31" s="179" t="s">
        <v>227</v>
      </c>
      <c r="BN31" s="175" t="s">
        <v>227</v>
      </c>
      <c r="BO31" s="185" t="s">
        <v>228</v>
      </c>
      <c r="BP31" s="176" t="s">
        <v>227</v>
      </c>
      <c r="BQ31" s="177" t="s">
        <v>227</v>
      </c>
      <c r="BR31" s="179" t="s">
        <v>227</v>
      </c>
      <c r="BS31" s="175" t="s">
        <v>227</v>
      </c>
      <c r="BT31" s="176" t="s">
        <v>227</v>
      </c>
      <c r="BU31" s="177" t="s">
        <v>227</v>
      </c>
      <c r="BV31" s="180" t="s">
        <v>227</v>
      </c>
      <c r="BW31" s="186" t="s">
        <v>227</v>
      </c>
      <c r="BX31" s="180" t="s">
        <v>227</v>
      </c>
      <c r="BY31" s="180" t="s">
        <v>227</v>
      </c>
      <c r="BZ31" s="187" t="s">
        <v>227</v>
      </c>
      <c r="CA31" s="175" t="s">
        <v>227</v>
      </c>
      <c r="CB31" s="176" t="s">
        <v>227</v>
      </c>
      <c r="CC31" s="177" t="s">
        <v>227</v>
      </c>
      <c r="CD31" s="179" t="s">
        <v>227</v>
      </c>
      <c r="CE31" s="188" t="s">
        <v>227</v>
      </c>
      <c r="CF31" s="189" t="s">
        <v>227</v>
      </c>
      <c r="CG31" s="186" t="s">
        <v>227</v>
      </c>
      <c r="CH31" s="187" t="s">
        <v>227</v>
      </c>
      <c r="CI31" s="188" t="s">
        <v>227</v>
      </c>
      <c r="CJ31" s="177" t="s">
        <v>227</v>
      </c>
      <c r="CK31" s="183" t="s">
        <v>228</v>
      </c>
      <c r="CL31" s="180" t="s">
        <v>227</v>
      </c>
      <c r="CM31" s="179" t="s">
        <v>227</v>
      </c>
      <c r="CN31" s="175" t="s">
        <v>227</v>
      </c>
      <c r="CO31" s="182" t="s">
        <v>228</v>
      </c>
      <c r="CP31" s="181" t="s">
        <v>227</v>
      </c>
      <c r="CQ31" s="176" t="s">
        <v>227</v>
      </c>
      <c r="CR31" s="177" t="s">
        <v>227</v>
      </c>
      <c r="CS31" s="180" t="s">
        <v>227</v>
      </c>
      <c r="CT31" s="180" t="s">
        <v>227</v>
      </c>
      <c r="CU31" s="180" t="s">
        <v>227</v>
      </c>
      <c r="CV31" s="180" t="s">
        <v>227</v>
      </c>
      <c r="CW31" s="179" t="s">
        <v>227</v>
      </c>
      <c r="CX31" s="188" t="s">
        <v>227</v>
      </c>
      <c r="CY31" s="174" t="s">
        <v>227</v>
      </c>
      <c r="CZ31" s="188" t="s">
        <v>227</v>
      </c>
      <c r="DA31" s="174" t="s">
        <v>227</v>
      </c>
      <c r="DB31" s="188" t="s">
        <v>227</v>
      </c>
      <c r="DC31" s="190" t="s">
        <v>227</v>
      </c>
      <c r="DD31" s="235"/>
      <c r="DE31" s="192"/>
      <c r="DF31" s="248"/>
      <c r="DG31" s="194"/>
      <c r="DH31" s="195"/>
      <c r="DI31" s="195"/>
      <c r="DJ31" s="195"/>
      <c r="DK31" s="195"/>
      <c r="DL31" s="195"/>
      <c r="DM31" s="196"/>
      <c r="DN31" s="196"/>
      <c r="DO31" s="196"/>
      <c r="DP31" s="195"/>
      <c r="DQ31" s="196" t="s">
        <v>10</v>
      </c>
      <c r="DR31" s="196" t="s">
        <v>10</v>
      </c>
      <c r="DS31" s="196" t="s">
        <v>10</v>
      </c>
      <c r="DT31" s="196" t="s">
        <v>10</v>
      </c>
      <c r="DU31" s="196" t="s">
        <v>10</v>
      </c>
      <c r="DV31" s="196"/>
      <c r="DW31" s="196"/>
      <c r="DX31" s="196">
        <v>0</v>
      </c>
      <c r="DY31" s="196">
        <v>0</v>
      </c>
      <c r="DZ31" s="196">
        <v>0</v>
      </c>
      <c r="EA31" s="196">
        <v>0</v>
      </c>
      <c r="EB31" s="196">
        <v>0</v>
      </c>
      <c r="EC31" s="196">
        <v>0</v>
      </c>
      <c r="ED31" s="201"/>
      <c r="FE31" s="50" t="str">
        <f t="shared" si="1"/>
        <v/>
      </c>
    </row>
    <row r="32" spans="6:167">
      <c r="DR32" s="198">
        <v>27.375</v>
      </c>
      <c r="DX32" s="198">
        <v>174.75</v>
      </c>
      <c r="DY32" s="50">
        <v>0</v>
      </c>
      <c r="DZ32" s="50">
        <v>0</v>
      </c>
      <c r="EA32" s="50">
        <v>0</v>
      </c>
      <c r="EB32" s="50">
        <v>0</v>
      </c>
      <c r="EC32" s="50">
        <v>0</v>
      </c>
      <c r="ED32" s="50" t="s">
        <v>305</v>
      </c>
    </row>
    <row r="33" spans="121:170">
      <c r="DX33" s="50">
        <v>8.7375000000000007</v>
      </c>
      <c r="DY33" s="50">
        <v>0</v>
      </c>
      <c r="DZ33" s="50">
        <v>0</v>
      </c>
      <c r="EA33" s="50">
        <v>0</v>
      </c>
      <c r="EB33" s="50">
        <v>0</v>
      </c>
      <c r="EC33" s="50">
        <v>0</v>
      </c>
      <c r="ED33" s="50" t="s">
        <v>306</v>
      </c>
      <c r="EO33" s="50" t="s">
        <v>307</v>
      </c>
      <c r="EX33" s="50" t="s">
        <v>308</v>
      </c>
      <c r="FE33" s="251"/>
      <c r="FF33" s="251"/>
      <c r="FG33" s="251" t="s">
        <v>309</v>
      </c>
      <c r="FH33" s="251"/>
      <c r="FI33" s="251"/>
      <c r="FJ33" s="251"/>
      <c r="FK33" s="251"/>
      <c r="FL33" s="251"/>
      <c r="FM33" s="251"/>
      <c r="FN33" s="251"/>
    </row>
    <row r="34" spans="121:170">
      <c r="EO34" s="132" t="s">
        <v>207</v>
      </c>
      <c r="EP34" s="132"/>
      <c r="EQ34" s="132" t="s">
        <v>215</v>
      </c>
      <c r="ER34" s="132" t="s">
        <v>25</v>
      </c>
      <c r="ES34" s="132" t="s">
        <v>48</v>
      </c>
      <c r="ET34" s="132" t="s">
        <v>208</v>
      </c>
      <c r="EU34" s="132" t="s">
        <v>49</v>
      </c>
      <c r="EV34" s="132" t="s">
        <v>175</v>
      </c>
      <c r="EX34" s="132" t="s">
        <v>207</v>
      </c>
      <c r="EY34" s="132"/>
      <c r="EZ34" s="132" t="s">
        <v>215</v>
      </c>
      <c r="FA34" s="132" t="s">
        <v>25</v>
      </c>
      <c r="FB34" s="132" t="s">
        <v>48</v>
      </c>
      <c r="FC34" s="132" t="s">
        <v>208</v>
      </c>
      <c r="FD34" s="132" t="s">
        <v>49</v>
      </c>
      <c r="FE34" s="252" t="s">
        <v>175</v>
      </c>
      <c r="FF34" s="251"/>
      <c r="FG34" s="252" t="s">
        <v>207</v>
      </c>
      <c r="FH34" s="252"/>
      <c r="FI34" s="252" t="s">
        <v>215</v>
      </c>
      <c r="FJ34" s="252" t="s">
        <v>25</v>
      </c>
      <c r="FK34" s="252" t="s">
        <v>48</v>
      </c>
      <c r="FL34" s="252" t="s">
        <v>208</v>
      </c>
      <c r="FM34" s="252" t="s">
        <v>49</v>
      </c>
      <c r="FN34" s="252" t="s">
        <v>310</v>
      </c>
    </row>
    <row r="35" spans="121:170" ht="14.25" thickBot="1">
      <c r="DQ35" s="50" t="s">
        <v>311</v>
      </c>
      <c r="EM35" s="253" t="s">
        <v>312</v>
      </c>
      <c r="EN35" s="242" t="s">
        <v>313</v>
      </c>
      <c r="EO35" s="254">
        <v>0.72500000000000009</v>
      </c>
      <c r="EP35" s="254">
        <v>0</v>
      </c>
      <c r="EQ35" s="254">
        <v>0.72500000000000009</v>
      </c>
      <c r="ER35" s="254">
        <v>1.0395000000000001</v>
      </c>
      <c r="ES35" s="254">
        <v>1.0395000000000001</v>
      </c>
      <c r="ET35" s="254">
        <v>0</v>
      </c>
      <c r="EU35" s="254">
        <v>5.9799999999999986</v>
      </c>
      <c r="EV35" s="254">
        <v>9.5090000000000003</v>
      </c>
      <c r="EW35" s="255"/>
      <c r="EX35" s="254">
        <v>0</v>
      </c>
      <c r="EY35" s="254">
        <v>0</v>
      </c>
      <c r="EZ35" s="254">
        <v>0</v>
      </c>
      <c r="FA35" s="254">
        <v>0</v>
      </c>
      <c r="FB35" s="254">
        <v>0</v>
      </c>
      <c r="FC35" s="254">
        <v>0</v>
      </c>
      <c r="FD35" s="254">
        <v>0</v>
      </c>
      <c r="FE35" s="256">
        <v>0</v>
      </c>
      <c r="FF35" s="251"/>
      <c r="FG35" s="256">
        <v>0.72500000000000009</v>
      </c>
      <c r="FH35" s="256">
        <v>0</v>
      </c>
      <c r="FI35" s="256">
        <v>0.72500000000000009</v>
      </c>
      <c r="FJ35" s="256">
        <v>1.0395000000000001</v>
      </c>
      <c r="FK35" s="256">
        <v>1.0395000000000001</v>
      </c>
      <c r="FL35" s="256">
        <v>0</v>
      </c>
      <c r="FM35" s="256">
        <v>5.9799999999999986</v>
      </c>
      <c r="FN35" s="256">
        <v>9.5090000000000003</v>
      </c>
    </row>
    <row r="36" spans="121:170" ht="14.25" thickBot="1">
      <c r="DQ36" s="257" t="s">
        <v>314</v>
      </c>
      <c r="DR36" s="132">
        <v>30.112500000000001</v>
      </c>
      <c r="DS36" s="50" t="s">
        <v>305</v>
      </c>
      <c r="EN36" s="258" t="s">
        <v>315</v>
      </c>
      <c r="EO36" s="259">
        <v>3.6250000000000004E-2</v>
      </c>
      <c r="EP36" s="259">
        <v>0</v>
      </c>
      <c r="EQ36" s="259">
        <v>3.6250000000000004E-2</v>
      </c>
      <c r="ER36" s="259">
        <v>5.1975000000000007E-2</v>
      </c>
      <c r="ES36" s="259">
        <v>5.1975000000000007E-2</v>
      </c>
      <c r="ET36" s="259">
        <v>0</v>
      </c>
      <c r="EU36" s="259">
        <v>0.29899999999999993</v>
      </c>
      <c r="EV36" s="260">
        <v>0.47545000000000004</v>
      </c>
      <c r="EW36" s="255"/>
      <c r="EX36" s="261">
        <v>0</v>
      </c>
      <c r="EY36" s="259">
        <v>0</v>
      </c>
      <c r="EZ36" s="259">
        <v>0</v>
      </c>
      <c r="FA36" s="259">
        <v>0</v>
      </c>
      <c r="FB36" s="259">
        <v>0</v>
      </c>
      <c r="FC36" s="259">
        <v>0</v>
      </c>
      <c r="FD36" s="259">
        <v>0</v>
      </c>
      <c r="FE36" s="262">
        <v>0</v>
      </c>
      <c r="FF36" s="251"/>
      <c r="FG36" s="263">
        <v>3.6250000000000004E-2</v>
      </c>
      <c r="FH36" s="264">
        <v>0</v>
      </c>
      <c r="FI36" s="264">
        <v>3.6250000000000004E-2</v>
      </c>
      <c r="FJ36" s="264">
        <v>5.1975000000000007E-2</v>
      </c>
      <c r="FK36" s="264">
        <v>5.1975000000000007E-2</v>
      </c>
      <c r="FL36" s="264">
        <v>0</v>
      </c>
      <c r="FM36" s="264">
        <v>0.29899999999999993</v>
      </c>
      <c r="FN36" s="262">
        <v>0.47545000000000004</v>
      </c>
    </row>
    <row r="37" spans="121:170">
      <c r="DQ37" s="257" t="s">
        <v>316</v>
      </c>
      <c r="DR37" s="132">
        <v>32.85</v>
      </c>
      <c r="DS37" s="50" t="s">
        <v>305</v>
      </c>
      <c r="EO37" s="255"/>
      <c r="EP37" s="255"/>
      <c r="EQ37" s="255"/>
      <c r="ER37" s="255"/>
      <c r="ES37" s="255"/>
      <c r="ET37" s="255"/>
      <c r="EU37" s="255"/>
      <c r="EV37" s="255"/>
      <c r="EW37" s="255"/>
      <c r="EX37" s="255"/>
      <c r="EY37" s="255"/>
      <c r="EZ37" s="255"/>
      <c r="FA37" s="255"/>
      <c r="FB37" s="255"/>
      <c r="FC37" s="255"/>
      <c r="FD37" s="255"/>
      <c r="FE37" s="265"/>
      <c r="FF37" s="251"/>
      <c r="FG37" s="265"/>
      <c r="FH37" s="265"/>
      <c r="FI37" s="265"/>
      <c r="FJ37" s="265"/>
      <c r="FK37" s="265"/>
      <c r="FL37" s="265"/>
      <c r="FM37" s="265"/>
      <c r="FN37" s="265"/>
    </row>
    <row r="38" spans="121:170" ht="14.25" thickBot="1">
      <c r="EM38" s="253" t="s">
        <v>317</v>
      </c>
      <c r="EN38" s="242" t="s">
        <v>313</v>
      </c>
      <c r="EO38" s="254">
        <v>3.5500000000000003</v>
      </c>
      <c r="EP38" s="254">
        <v>0</v>
      </c>
      <c r="EQ38" s="254">
        <v>3.5500000000000003</v>
      </c>
      <c r="ER38" s="254">
        <v>21.910499999999999</v>
      </c>
      <c r="ES38" s="254">
        <v>6.0885000000000016</v>
      </c>
      <c r="ET38" s="254">
        <v>34.25</v>
      </c>
      <c r="EU38" s="254">
        <v>25.932499999999997</v>
      </c>
      <c r="EV38" s="254">
        <v>95.281499999999994</v>
      </c>
      <c r="EW38" s="255"/>
      <c r="EX38" s="254">
        <v>2.5</v>
      </c>
      <c r="EY38" s="254">
        <v>0</v>
      </c>
      <c r="EZ38" s="254">
        <v>0.5</v>
      </c>
      <c r="FA38" s="254">
        <v>11.34</v>
      </c>
      <c r="FB38" s="254">
        <v>2.2680000000000002</v>
      </c>
      <c r="FC38" s="254">
        <v>7</v>
      </c>
      <c r="FD38" s="254">
        <v>9.66</v>
      </c>
      <c r="FE38" s="256">
        <v>33.268000000000001</v>
      </c>
      <c r="FF38" s="251"/>
      <c r="FG38" s="256">
        <v>6.0500000000000007</v>
      </c>
      <c r="FH38" s="256">
        <v>0</v>
      </c>
      <c r="FI38" s="256">
        <v>4.0500000000000007</v>
      </c>
      <c r="FJ38" s="256">
        <v>33.250500000000002</v>
      </c>
      <c r="FK38" s="256">
        <v>8.3565000000000023</v>
      </c>
      <c r="FL38" s="256">
        <v>41.25</v>
      </c>
      <c r="FM38" s="256">
        <v>35.592500000000001</v>
      </c>
      <c r="FN38" s="256">
        <v>128.54949999999999</v>
      </c>
    </row>
    <row r="39" spans="121:170" ht="14.25" thickBot="1">
      <c r="EN39" s="258" t="s">
        <v>315</v>
      </c>
      <c r="EO39" s="259">
        <v>0.17750000000000002</v>
      </c>
      <c r="EP39" s="259">
        <v>0</v>
      </c>
      <c r="EQ39" s="259">
        <v>0.17750000000000002</v>
      </c>
      <c r="ER39" s="259">
        <v>1.0955249999999999</v>
      </c>
      <c r="ES39" s="259">
        <v>0.30442500000000006</v>
      </c>
      <c r="ET39" s="259">
        <v>1.7124999999999999</v>
      </c>
      <c r="EU39" s="259">
        <v>1.2966249999999999</v>
      </c>
      <c r="EV39" s="260">
        <v>4.7640750000000001</v>
      </c>
      <c r="EW39" s="255"/>
      <c r="EX39" s="261">
        <v>0.125</v>
      </c>
      <c r="EY39" s="259">
        <v>0</v>
      </c>
      <c r="EZ39" s="259">
        <v>2.5000000000000001E-2</v>
      </c>
      <c r="FA39" s="259">
        <v>0.56699999999999995</v>
      </c>
      <c r="FB39" s="259">
        <v>0.11340000000000001</v>
      </c>
      <c r="FC39" s="259">
        <v>0.35</v>
      </c>
      <c r="FD39" s="259">
        <v>0.48299999999999998</v>
      </c>
      <c r="FE39" s="262">
        <v>1.6634</v>
      </c>
      <c r="FF39" s="251"/>
      <c r="FG39" s="263">
        <v>0.30250000000000005</v>
      </c>
      <c r="FH39" s="264">
        <v>0</v>
      </c>
      <c r="FI39" s="264">
        <v>0.20250000000000004</v>
      </c>
      <c r="FJ39" s="264">
        <v>1.662525</v>
      </c>
      <c r="FK39" s="264">
        <v>0.41782500000000011</v>
      </c>
      <c r="FL39" s="264">
        <v>2.0625</v>
      </c>
      <c r="FM39" s="264">
        <v>1.779625</v>
      </c>
      <c r="FN39" s="262">
        <v>6.4274749999999994</v>
      </c>
    </row>
    <row r="40" spans="121:170">
      <c r="FE40" s="251"/>
      <c r="FF40" s="251"/>
      <c r="FG40" s="251"/>
      <c r="FH40" s="251"/>
      <c r="FI40" s="251"/>
      <c r="FJ40" s="251"/>
      <c r="FK40" s="251"/>
      <c r="FL40" s="251"/>
      <c r="FM40" s="251"/>
      <c r="FN40" s="251"/>
    </row>
    <row r="41" spans="121:170">
      <c r="FE41" s="251"/>
      <c r="FF41" s="251"/>
      <c r="FG41" s="251"/>
      <c r="FH41" s="251"/>
      <c r="FI41" s="251"/>
      <c r="FJ41" s="251"/>
      <c r="FK41" s="251"/>
      <c r="FL41" s="251"/>
      <c r="FM41" s="251"/>
      <c r="FN41" s="251"/>
    </row>
    <row r="42" spans="121:170">
      <c r="FE42" s="251"/>
      <c r="FF42" s="251"/>
      <c r="FG42" s="251"/>
      <c r="FH42" s="251"/>
      <c r="FI42" s="251"/>
      <c r="FJ42" s="251"/>
      <c r="FK42" s="251"/>
      <c r="FL42" s="251"/>
      <c r="FM42" s="251"/>
      <c r="FN42" s="251"/>
    </row>
    <row r="43" spans="121:170">
      <c r="FE43" s="251" t="s">
        <v>318</v>
      </c>
      <c r="FF43" s="251"/>
      <c r="FG43" s="251" t="s">
        <v>319</v>
      </c>
      <c r="FH43" s="251"/>
      <c r="FI43" s="251" t="s">
        <v>320</v>
      </c>
      <c r="FJ43" s="251" t="s">
        <v>319</v>
      </c>
      <c r="FK43" s="251" t="s">
        <v>320</v>
      </c>
      <c r="FL43" s="251" t="s">
        <v>319</v>
      </c>
      <c r="FM43" s="251" t="s">
        <v>319</v>
      </c>
      <c r="FN43" s="251"/>
    </row>
    <row r="44" spans="121:170">
      <c r="FE44" s="251"/>
      <c r="FF44" s="251"/>
      <c r="FG44" s="252" t="s">
        <v>207</v>
      </c>
      <c r="FH44" s="252"/>
      <c r="FI44" s="252" t="s">
        <v>215</v>
      </c>
      <c r="FJ44" s="252" t="s">
        <v>25</v>
      </c>
      <c r="FK44" s="252" t="s">
        <v>48</v>
      </c>
      <c r="FL44" s="252" t="s">
        <v>208</v>
      </c>
      <c r="FM44" s="252" t="s">
        <v>49</v>
      </c>
      <c r="FN44" s="252" t="s">
        <v>310</v>
      </c>
    </row>
    <row r="45" spans="121:170">
      <c r="FE45" s="266"/>
      <c r="FF45" s="267" t="s">
        <v>312</v>
      </c>
      <c r="FG45" s="268">
        <v>1.49125</v>
      </c>
      <c r="FH45" s="268">
        <v>0</v>
      </c>
      <c r="FI45" s="268">
        <v>0.32124999999999992</v>
      </c>
      <c r="FJ45" s="268">
        <v>5.9859000000000009</v>
      </c>
      <c r="FK45" s="268">
        <v>1.935899999999998</v>
      </c>
      <c r="FL45" s="268">
        <v>3.2062499999999998</v>
      </c>
      <c r="FM45" s="268">
        <v>9.2488749999999946</v>
      </c>
      <c r="FN45" s="268">
        <v>22.189424999999993</v>
      </c>
    </row>
    <row r="46" spans="121:170" ht="14.25" thickBot="1">
      <c r="FE46" s="266"/>
      <c r="FF46" s="267" t="s">
        <v>317</v>
      </c>
      <c r="FG46" s="268">
        <v>3.9274999999999993</v>
      </c>
      <c r="FH46" s="268">
        <v>0</v>
      </c>
      <c r="FI46" s="268">
        <v>1.9174999999999993</v>
      </c>
      <c r="FJ46" s="268">
        <v>12.193200000000001</v>
      </c>
      <c r="FK46" s="268">
        <v>2.9537999999999984</v>
      </c>
      <c r="FL46" s="268">
        <v>19.381250000000001</v>
      </c>
      <c r="FM46" s="268">
        <v>12.618375000000002</v>
      </c>
      <c r="FN46" s="256">
        <v>52.991624999999999</v>
      </c>
    </row>
    <row r="47" spans="121:170" ht="14.25" thickBot="1">
      <c r="FE47" s="251"/>
      <c r="FF47" s="269" t="s">
        <v>202</v>
      </c>
      <c r="FG47" s="268">
        <v>5.4187499999999993</v>
      </c>
      <c r="FH47" s="268">
        <v>0</v>
      </c>
      <c r="FI47" s="268">
        <v>2.2387499999999991</v>
      </c>
      <c r="FJ47" s="268">
        <v>18.179100000000002</v>
      </c>
      <c r="FK47" s="268">
        <v>4.8896999999999959</v>
      </c>
      <c r="FL47" s="268">
        <v>22.587500000000002</v>
      </c>
      <c r="FM47" s="270">
        <v>21.867249999999999</v>
      </c>
      <c r="FN47" s="271">
        <v>75.181049999999999</v>
      </c>
    </row>
    <row r="48" spans="121:170">
      <c r="FE48" s="251"/>
      <c r="FF48" s="251"/>
      <c r="FG48" s="251"/>
      <c r="FH48" s="251"/>
      <c r="FI48" s="251"/>
      <c r="FJ48" s="251"/>
      <c r="FK48" s="251"/>
      <c r="FL48" s="251"/>
      <c r="FM48" s="251"/>
      <c r="FN48" s="251"/>
    </row>
    <row r="49" spans="161:170">
      <c r="FE49" s="251"/>
      <c r="FF49" s="252" t="s">
        <v>319</v>
      </c>
      <c r="FG49" s="268">
        <v>68.052599999999998</v>
      </c>
      <c r="FH49" s="251"/>
      <c r="FI49" s="251"/>
      <c r="FJ49" s="251"/>
      <c r="FK49" s="251"/>
      <c r="FL49" s="251"/>
      <c r="FM49" s="251"/>
      <c r="FN49" s="251"/>
    </row>
    <row r="50" spans="161:170">
      <c r="FE50" s="251"/>
      <c r="FF50" s="252" t="s">
        <v>320</v>
      </c>
      <c r="FG50" s="268">
        <v>7.1284499999999955</v>
      </c>
      <c r="FH50" s="251"/>
      <c r="FI50" s="251"/>
      <c r="FJ50" s="251"/>
      <c r="FK50" s="251"/>
      <c r="FL50" s="251"/>
      <c r="FM50" s="251"/>
      <c r="FN50" s="251"/>
    </row>
    <row r="51" spans="161:170">
      <c r="FE51" s="251"/>
      <c r="FF51" s="252" t="s">
        <v>202</v>
      </c>
      <c r="FG51" s="268">
        <v>75.181049999999999</v>
      </c>
      <c r="FH51" s="251"/>
      <c r="FI51" s="251"/>
      <c r="FJ51" s="251"/>
      <c r="FK51" s="251"/>
      <c r="FL51" s="251"/>
      <c r="FM51" s="251"/>
      <c r="FN51" s="251"/>
    </row>
    <row r="52" spans="161:170">
      <c r="FE52" s="251"/>
      <c r="FF52" s="251"/>
      <c r="FG52" s="251"/>
      <c r="FH52" s="251"/>
      <c r="FI52" s="251"/>
      <c r="FJ52" s="251"/>
      <c r="FK52" s="251"/>
      <c r="FL52" s="251"/>
      <c r="FM52" s="251"/>
      <c r="FN52" s="251"/>
    </row>
  </sheetData>
  <sheetProtection formatCells="0" formatColumns="0" formatRows="0" insertColumns="0" insertRows="0" insertHyperlinks="0" deleteColumns="0" deleteRows="0" sort="0" autoFilter="0" pivotTables="0"/>
  <autoFilter ref="A3:FN3" xr:uid="{00000000-0009-0000-0000-000006000000}"/>
  <mergeCells count="46">
    <mergeCell ref="J1:M2"/>
    <mergeCell ref="N1:N2"/>
    <mergeCell ref="P1:P2"/>
    <mergeCell ref="Q1:Q2"/>
    <mergeCell ref="R1:R2"/>
    <mergeCell ref="DR2:DR3"/>
    <mergeCell ref="DS2:DS3"/>
    <mergeCell ref="DT2:DT3"/>
    <mergeCell ref="S1:S2"/>
    <mergeCell ref="T1:T2"/>
    <mergeCell ref="DD1:DD3"/>
    <mergeCell ref="DE1:DE3"/>
    <mergeCell ref="DF1:DF3"/>
    <mergeCell ref="DG1:DG3"/>
    <mergeCell ref="EX1:FD1"/>
    <mergeCell ref="DH2:DH3"/>
    <mergeCell ref="DI2:DI3"/>
    <mergeCell ref="DJ2:DJ3"/>
    <mergeCell ref="DK2:DK3"/>
    <mergeCell ref="DL2:DL3"/>
    <mergeCell ref="DM2:DM3"/>
    <mergeCell ref="DN2:DN3"/>
    <mergeCell ref="DO2:DO3"/>
    <mergeCell ref="DP2:DP3"/>
    <mergeCell ref="DH1:DK1"/>
    <mergeCell ref="DR1:DX1"/>
    <mergeCell ref="DY1:EB1"/>
    <mergeCell ref="EC1:EC3"/>
    <mergeCell ref="ED1:ED3"/>
    <mergeCell ref="EO1:EU1"/>
    <mergeCell ref="J18:M18"/>
    <mergeCell ref="J21:M21"/>
    <mergeCell ref="J26:M26"/>
    <mergeCell ref="EA2:EA3"/>
    <mergeCell ref="EB2:EB3"/>
    <mergeCell ref="J4:M4"/>
    <mergeCell ref="J7:M7"/>
    <mergeCell ref="J9:M9"/>
    <mergeCell ref="J11:M11"/>
    <mergeCell ref="DU2:DU3"/>
    <mergeCell ref="DV2:DV3"/>
    <mergeCell ref="DW2:DW3"/>
    <mergeCell ref="DX2:DX3"/>
    <mergeCell ref="DY2:DY3"/>
    <mergeCell ref="DZ2:DZ3"/>
    <mergeCell ref="DQ2:DQ3"/>
  </mergeCells>
  <phoneticPr fontId="2"/>
  <conditionalFormatting sqref="N4:T4">
    <cfRule type="cellIs" priority="1" operator="notEqual">
      <formula>$J$4&lt;&gt;""</formula>
    </cfRule>
  </conditionalFormatting>
  <pageMargins left="0.78740157480314965" right="0.19685039370078741" top="0.59055118110236227" bottom="0.78740157480314965" header="0.19685039370078741" footer="0.19685039370078741"/>
  <pageSetup paperSize="9" scale="41" fitToHeight="0" orientation="landscape" horizontalDpi="400" r:id="rId1"/>
  <headerFooter alignWithMargins="0">
    <oddHeader>&amp;L&amp;12&amp;A</oddHeader>
    <oddFooter>&amp;LFM-071&amp;C&amp;10&amp;P / &amp;N ページ&amp;R&amp;10&amp;G</oddFooter>
  </headerFooter>
  <legacy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474aff-d3a8-473e-b754-f2827a83c261">
      <Terms xmlns="http://schemas.microsoft.com/office/infopath/2007/PartnerControls"/>
    </lcf76f155ced4ddcb4097134ff3c332f>
    <TaxCatchAll xmlns="071353b1-e453-4393-a9d3-0937593e44c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E6E450853BDCDD4BB8049938CAC22CA6" ma:contentTypeVersion="12" ma:contentTypeDescription="新しいドキュメントを作成します。" ma:contentTypeScope="" ma:versionID="fc1454691d632b17458be3ff5bd72b40">
  <xsd:schema xmlns:xsd="http://www.w3.org/2001/XMLSchema" xmlns:xs="http://www.w3.org/2001/XMLSchema" xmlns:p="http://schemas.microsoft.com/office/2006/metadata/properties" xmlns:ns2="65474aff-d3a8-473e-b754-f2827a83c261" xmlns:ns3="071353b1-e453-4393-a9d3-0937593e44c9" targetNamespace="http://schemas.microsoft.com/office/2006/metadata/properties" ma:root="true" ma:fieldsID="2155f94799f957f8b44d4307cc84016e" ns2:_="" ns3:_="">
    <xsd:import namespace="65474aff-d3a8-473e-b754-f2827a83c261"/>
    <xsd:import namespace="071353b1-e453-4393-a9d3-0937593e44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474aff-d3a8-473e-b754-f2827a83c2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e8202dfe-fe33-4a1c-9767-45568a588b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1353b1-e453-4393-a9d3-0937593e44c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3532004-50fc-4590-8c40-d9791cb8f555}" ma:internalName="TaxCatchAll" ma:showField="CatchAllData" ma:web="071353b1-e453-4393-a9d3-0937593e44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2FCFF47-B575-400C-A945-03DF1BF4EB0D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071353b1-e453-4393-a9d3-0937593e44c9"/>
    <ds:schemaRef ds:uri="http://schemas.openxmlformats.org/package/2006/metadata/core-properties"/>
    <ds:schemaRef ds:uri="http://www.w3.org/XML/1998/namespace"/>
    <ds:schemaRef ds:uri="65474aff-d3a8-473e-b754-f2827a83c261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6D631E3-4A73-446B-A4C1-CECD43A0B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E745A8-5962-472B-B7CA-A460E600A3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474aff-d3a8-473e-b754-f2827a83c261"/>
    <ds:schemaRef ds:uri="071353b1-e453-4393-a9d3-0937593e44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WBS</vt:lpstr>
      <vt:lpstr>予定一覧</vt:lpstr>
      <vt:lpstr>残工数</vt:lpstr>
      <vt:lpstr>R7</vt:lpstr>
      <vt:lpstr>'R7'!Print_Area</vt:lpstr>
      <vt:lpstr>WBS!Print_Area</vt:lpstr>
      <vt:lpstr>'R7'!Print_Titles</vt:lpstr>
      <vt:lpstr>'R7'!最小単位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杨忞</dc:creator>
  <cp:keywords/>
  <dc:description/>
  <cp:lastModifiedBy>韩少锋</cp:lastModifiedBy>
  <cp:revision/>
  <dcterms:created xsi:type="dcterms:W3CDTF">2023-11-13T00:52:48Z</dcterms:created>
  <dcterms:modified xsi:type="dcterms:W3CDTF">2025-11-20T07:26:39Z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0x010100E6E450853BDCDD4BB8049938CAC22CA6</vt:lpwstr>
  </property>
  <property fmtid="{D5CDD505-2E9C-101B-9397-08002B2CF9AE}" pid="3" name="MediaServiceImageTags">
    <vt:lpwstr/>
  </property>
</Properties>
</file>